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d Chain" sheetId="1" state="visible" r:id="rId1"/>
  </sheets>
  <definedNames>
    <definedName name="_xlnm._FilterDatabase" localSheetId="0" hidden="1">'Cold Chain'!$A$6:$F$57</definedName>
    <definedName name="_xlnm.Print_Titles" localSheetId="0">'Cold Chain'!$1:$6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zoomScale="12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รายการยา Cold Chain</t>
        </is>
      </c>
    </row>
    <row r="2" ht="32" customHeight="1">
      <c r="A2" s="2" t="inlineStr">
        <is>
          <t>คัดจากชื่อสินค้าในหมวดเวชภัณฑ์ยาที่ติ๊ก Cold Chain ไว้แล้ว เมื่อ 1 ตุลาคม 2569 ไม่ได้มาจากข้อมูลวิธีเก็บยาของคลัง จึงควรตรวจทานก่อนใช้</t>
        </is>
      </c>
    </row>
    <row r="3">
      <c r="A3" s="3" t="inlineStr">
        <is>
          <t>จำนวนรายการ</t>
        </is>
      </c>
      <c r="B3" s="4">
        <f>COUNTA(C7:C57)</f>
        <v/>
      </c>
      <c r="C3" s="3" t="inlineStr">
        <is>
          <t>วัคซีน</t>
        </is>
      </c>
      <c r="D3" s="4">
        <f>COUNTIF(E7:E57,"วัคซีน")</f>
        <v/>
      </c>
      <c r="E3" s="3" t="inlineStr">
        <is>
          <t>อินซูลิน</t>
        </is>
      </c>
      <c r="F3" s="4">
        <f>COUNTIF(E7:E57,"อินซูลิน")</f>
        <v/>
      </c>
    </row>
    <row r="4">
      <c r="A4" s="3" t="inlineStr">
        <is>
          <t>ชีววัตถุ</t>
        </is>
      </c>
      <c r="B4" s="4">
        <f>COUNTIF(E7:E57,"ชีววัตถุ")</f>
        <v/>
      </c>
    </row>
    <row r="6">
      <c r="A6" s="5" t="inlineStr">
        <is>
          <t>ลำดับ</t>
        </is>
      </c>
      <c r="B6" s="5" t="inlineStr">
        <is>
          <t>รหัส</t>
        </is>
      </c>
      <c r="C6" s="5" t="inlineStr">
        <is>
          <t>ชื่อยา</t>
        </is>
      </c>
      <c r="D6" s="5" t="inlineStr">
        <is>
          <t>หน่วย</t>
        </is>
      </c>
      <c r="E6" s="5" t="inlineStr">
        <is>
          <t>กลุ่ม</t>
        </is>
      </c>
      <c r="F6" s="5" t="inlineStr">
        <is>
          <t>Cold Chain</t>
        </is>
      </c>
    </row>
    <row r="7">
      <c r="A7" s="6" t="n">
        <v>1</v>
      </c>
      <c r="B7" s="7" t="inlineStr">
        <is>
          <t>15472</t>
        </is>
      </c>
      <c r="C7" s="8" t="inlineStr">
        <is>
          <t>DTaP-IPV-HB-Hib vaccine 0.5 mL(HEXAXIM)[NED]</t>
        </is>
      </c>
      <c r="D7" s="7" t="inlineStr">
        <is>
          <t>ไซริ้ง</t>
        </is>
      </c>
      <c r="E7" s="7" t="inlineStr">
        <is>
          <t>วัคซีน</t>
        </is>
      </c>
      <c r="F7" s="7" t="inlineStr">
        <is>
          <t>ใช่</t>
        </is>
      </c>
    </row>
    <row r="8">
      <c r="A8" s="9" t="n">
        <v>2</v>
      </c>
      <c r="B8" s="10" t="inlineStr">
        <is>
          <t>14498</t>
        </is>
      </c>
      <c r="C8" s="11" t="inlineStr">
        <is>
          <t>EFLUELDA (2024) Influenza virus vaccine INJ (High dose) [NED]</t>
        </is>
      </c>
      <c r="D8" s="10" t="inlineStr">
        <is>
          <t>ไซริ้ง</t>
        </is>
      </c>
      <c r="E8" s="10" t="inlineStr">
        <is>
          <t>วัคซีน</t>
        </is>
      </c>
      <c r="F8" s="10" t="inlineStr">
        <is>
          <t>ใช่</t>
        </is>
      </c>
    </row>
    <row r="9">
      <c r="A9" s="6" t="n">
        <v>3</v>
      </c>
      <c r="B9" s="7" t="inlineStr">
        <is>
          <t>00524</t>
        </is>
      </c>
      <c r="C9" s="8" t="inlineStr">
        <is>
          <t>ENGERIC- B VACCINE 20 MCG/1 ML(Euvax B, hepatitis B vaccine)</t>
        </is>
      </c>
      <c r="D9" s="7" t="inlineStr">
        <is>
          <t>VIAL</t>
        </is>
      </c>
      <c r="E9" s="7" t="inlineStr">
        <is>
          <t>วัคซีน</t>
        </is>
      </c>
      <c r="F9" s="7" t="inlineStr">
        <is>
          <t>ใช่</t>
        </is>
      </c>
    </row>
    <row r="10">
      <c r="A10" s="9" t="n">
        <v>4</v>
      </c>
      <c r="B10" s="10" t="inlineStr">
        <is>
          <t>01069</t>
        </is>
      </c>
      <c r="C10" s="11" t="inlineStr">
        <is>
          <t>EPI: BCG Vaccine 0-5ปี</t>
        </is>
      </c>
      <c r="D10" s="10" t="inlineStr">
        <is>
          <t>VIAL</t>
        </is>
      </c>
      <c r="E10" s="10" t="inlineStr">
        <is>
          <t>วัคซีน</t>
        </is>
      </c>
      <c r="F10" s="10" t="inlineStr">
        <is>
          <t>ใช่</t>
        </is>
      </c>
    </row>
    <row r="11">
      <c r="A11" s="6" t="n">
        <v>5</v>
      </c>
      <c r="B11" s="7" t="inlineStr">
        <is>
          <t>01015</t>
        </is>
      </c>
      <c r="C11" s="8" t="inlineStr">
        <is>
          <t>EPI: DTP +Hep B+HIB Vaccine 0-5ปี [10 dose/vial]</t>
        </is>
      </c>
      <c r="D11" s="7" t="inlineStr">
        <is>
          <t>VIAL</t>
        </is>
      </c>
      <c r="E11" s="7" t="inlineStr">
        <is>
          <t>วัคซีน</t>
        </is>
      </c>
      <c r="F11" s="7" t="inlineStr">
        <is>
          <t>ใช่</t>
        </is>
      </c>
    </row>
    <row r="12">
      <c r="A12" s="9" t="n">
        <v>6</v>
      </c>
      <c r="B12" s="10" t="inlineStr">
        <is>
          <t>00588</t>
        </is>
      </c>
      <c r="C12" s="11" t="inlineStr">
        <is>
          <t>EPI: DTP Vaccine 0-5 ปี</t>
        </is>
      </c>
      <c r="D12" s="10" t="inlineStr">
        <is>
          <t>VIAL</t>
        </is>
      </c>
      <c r="E12" s="10" t="inlineStr">
        <is>
          <t>วัคซีน</t>
        </is>
      </c>
      <c r="F12" s="10" t="inlineStr">
        <is>
          <t>ใช่</t>
        </is>
      </c>
    </row>
    <row r="13">
      <c r="A13" s="6" t="n">
        <v>7</v>
      </c>
      <c r="B13" s="7" t="inlineStr">
        <is>
          <t>13182</t>
        </is>
      </c>
      <c r="C13" s="8" t="inlineStr">
        <is>
          <t>EPI: DTP-Hep B + HIB Vaccine 0-5 ปี[Ampule]</t>
        </is>
      </c>
      <c r="D13" s="7" t="inlineStr">
        <is>
          <t>แอมป์</t>
        </is>
      </c>
      <c r="E13" s="7" t="inlineStr">
        <is>
          <t>วัคซีน</t>
        </is>
      </c>
      <c r="F13" s="7" t="inlineStr">
        <is>
          <t>ใช่</t>
        </is>
      </c>
    </row>
    <row r="14">
      <c r="A14" s="9" t="n">
        <v>8</v>
      </c>
      <c r="B14" s="10" t="inlineStr">
        <is>
          <t>00465</t>
        </is>
      </c>
      <c r="C14" s="11" t="inlineStr">
        <is>
          <t>EPI: HEPATITIS-B VACCINE 0.5 ML 0-5ปี</t>
        </is>
      </c>
      <c r="D14" s="10" t="inlineStr">
        <is>
          <t>VIAL</t>
        </is>
      </c>
      <c r="E14" s="10" t="inlineStr">
        <is>
          <t>วัคซีน</t>
        </is>
      </c>
      <c r="F14" s="10" t="inlineStr">
        <is>
          <t>ใช่</t>
        </is>
      </c>
    </row>
    <row r="15">
      <c r="A15" s="6" t="n">
        <v>9</v>
      </c>
      <c r="B15" s="7" t="inlineStr">
        <is>
          <t>14641</t>
        </is>
      </c>
      <c r="C15" s="8" t="inlineStr">
        <is>
          <t>EPI: HPV Vaccine (2 สายพันธุ์)</t>
        </is>
      </c>
      <c r="D15" s="7" t="inlineStr">
        <is>
          <t>VIAL</t>
        </is>
      </c>
      <c r="E15" s="7" t="inlineStr">
        <is>
          <t>วัคซีน</t>
        </is>
      </c>
      <c r="F15" s="7" t="inlineStr">
        <is>
          <t>ใช่</t>
        </is>
      </c>
    </row>
    <row r="16">
      <c r="A16" s="9" t="n">
        <v>10</v>
      </c>
      <c r="B16" s="10" t="inlineStr">
        <is>
          <t>14876</t>
        </is>
      </c>
      <c r="C16" s="11" t="inlineStr">
        <is>
          <t>EPI: HPV Vaccine (9 สายพันธุ์)</t>
        </is>
      </c>
      <c r="D16" s="10" t="inlineStr">
        <is>
          <t>VIAL</t>
        </is>
      </c>
      <c r="E16" s="10" t="inlineStr">
        <is>
          <t>วัคซีน</t>
        </is>
      </c>
      <c r="F16" s="10" t="inlineStr">
        <is>
          <t>ใช่</t>
        </is>
      </c>
    </row>
    <row r="17">
      <c r="A17" s="6" t="n">
        <v>11</v>
      </c>
      <c r="B17" s="7" t="inlineStr">
        <is>
          <t>12060</t>
        </is>
      </c>
      <c r="C17" s="8" t="inlineStr">
        <is>
          <t>EPI: INFLUENZA VACCINE for Pregnancy</t>
        </is>
      </c>
      <c r="D17" s="7" t="inlineStr">
        <is>
          <t>ไซริ้ง</t>
        </is>
      </c>
      <c r="E17" s="7" t="inlineStr">
        <is>
          <t>วัคซีน</t>
        </is>
      </c>
      <c r="F17" s="7" t="inlineStr">
        <is>
          <t>ใช่</t>
        </is>
      </c>
    </row>
    <row r="18">
      <c r="A18" s="9" t="n">
        <v>12</v>
      </c>
      <c r="B18" s="10" t="inlineStr">
        <is>
          <t>01085</t>
        </is>
      </c>
      <c r="C18" s="11" t="inlineStr">
        <is>
          <t>EPI: IPV Vaccine 0-5ปี</t>
        </is>
      </c>
      <c r="D18" s="10" t="inlineStr">
        <is>
          <t>VIAL</t>
        </is>
      </c>
      <c r="E18" s="10" t="inlineStr">
        <is>
          <t>วัคซีน</t>
        </is>
      </c>
      <c r="F18" s="10" t="inlineStr">
        <is>
          <t>ใช่</t>
        </is>
      </c>
    </row>
    <row r="19">
      <c r="A19" s="6" t="n">
        <v>13</v>
      </c>
      <c r="B19" s="7" t="inlineStr">
        <is>
          <t>00589</t>
        </is>
      </c>
      <c r="C19" s="8" t="inlineStr">
        <is>
          <t>EPI: JE Vaccine 0-5 ปี</t>
        </is>
      </c>
      <c r="D19" s="7" t="inlineStr">
        <is>
          <t>VIAL</t>
        </is>
      </c>
      <c r="E19" s="7" t="inlineStr">
        <is>
          <t>วัคซีน</t>
        </is>
      </c>
      <c r="F19" s="7" t="inlineStr">
        <is>
          <t>ใช่</t>
        </is>
      </c>
    </row>
    <row r="20">
      <c r="A20" s="9" t="n">
        <v>14</v>
      </c>
      <c r="B20" s="10" t="inlineStr">
        <is>
          <t>00587</t>
        </is>
      </c>
      <c r="C20" s="11" t="inlineStr">
        <is>
          <t>EPI: MMR Vaccine 0-5 ปี</t>
        </is>
      </c>
      <c r="D20" s="10" t="inlineStr">
        <is>
          <t>VIAL</t>
        </is>
      </c>
      <c r="E20" s="10" t="inlineStr">
        <is>
          <t>วัคซีน</t>
        </is>
      </c>
      <c r="F20" s="10" t="inlineStr">
        <is>
          <t>ใช่</t>
        </is>
      </c>
    </row>
    <row r="21">
      <c r="A21" s="6" t="n">
        <v>15</v>
      </c>
      <c r="B21" s="7" t="inlineStr">
        <is>
          <t>12065</t>
        </is>
      </c>
      <c r="C21" s="8" t="inlineStr">
        <is>
          <t>EPI: MR Vaccine</t>
        </is>
      </c>
      <c r="D21" s="7" t="inlineStr">
        <is>
          <t>VIAL</t>
        </is>
      </c>
      <c r="E21" s="7" t="inlineStr">
        <is>
          <t>วัคซีน</t>
        </is>
      </c>
      <c r="F21" s="7" t="inlineStr">
        <is>
          <t>ใช่</t>
        </is>
      </c>
    </row>
    <row r="22">
      <c r="A22" s="9" t="n">
        <v>16</v>
      </c>
      <c r="B22" s="10" t="inlineStr">
        <is>
          <t>01094</t>
        </is>
      </c>
      <c r="C22" s="11" t="inlineStr">
        <is>
          <t>EPI: OPV vaccine</t>
        </is>
      </c>
      <c r="D22" s="10" t="inlineStr">
        <is>
          <t>VIAL</t>
        </is>
      </c>
      <c r="E22" s="10" t="inlineStr">
        <is>
          <t>วัคซีน</t>
        </is>
      </c>
      <c r="F22" s="10" t="inlineStr">
        <is>
          <t>ใช่</t>
        </is>
      </c>
    </row>
    <row r="23">
      <c r="A23" s="6" t="n">
        <v>17</v>
      </c>
      <c r="B23" s="7" t="inlineStr">
        <is>
          <t>00942</t>
        </is>
      </c>
      <c r="C23" s="8" t="inlineStr">
        <is>
          <t>EPI: ROTAVIRUS VACCINE</t>
        </is>
      </c>
      <c r="D23" s="7" t="inlineStr">
        <is>
          <t>VIAL</t>
        </is>
      </c>
      <c r="E23" s="7" t="inlineStr">
        <is>
          <t>วัคซีน</t>
        </is>
      </c>
      <c r="F23" s="7" t="inlineStr">
        <is>
          <t>ใช่</t>
        </is>
      </c>
    </row>
    <row r="24">
      <c r="A24" s="9" t="n">
        <v>18</v>
      </c>
      <c r="B24" s="10" t="inlineStr">
        <is>
          <t>14236</t>
        </is>
      </c>
      <c r="C24" s="11" t="inlineStr">
        <is>
          <t>EPI: aP Vaccine for Pregnancy</t>
        </is>
      </c>
      <c r="D24" s="10" t="inlineStr">
        <is>
          <t>VIAL</t>
        </is>
      </c>
      <c r="E24" s="10" t="inlineStr">
        <is>
          <t>วัคซีน</t>
        </is>
      </c>
      <c r="F24" s="10" t="inlineStr">
        <is>
          <t>ใช่</t>
        </is>
      </c>
    </row>
    <row r="25">
      <c r="A25" s="6" t="n">
        <v>19</v>
      </c>
      <c r="B25" s="7" t="inlineStr">
        <is>
          <t>01104</t>
        </is>
      </c>
      <c r="C25" s="8" t="inlineStr">
        <is>
          <t>EPI: dT Vaccine</t>
        </is>
      </c>
      <c r="D25" s="7" t="inlineStr">
        <is>
          <t>VIAL</t>
        </is>
      </c>
      <c r="E25" s="7" t="inlineStr">
        <is>
          <t>วัคซีน</t>
        </is>
      </c>
      <c r="F25" s="7" t="inlineStr">
        <is>
          <t>ใช่</t>
        </is>
      </c>
    </row>
    <row r="26">
      <c r="A26" s="9" t="n">
        <v>20</v>
      </c>
      <c r="B26" s="10" t="inlineStr">
        <is>
          <t>14241</t>
        </is>
      </c>
      <c r="C26" s="11" t="inlineStr">
        <is>
          <t>GARDASIL 9 (HUMAN PAPILLOMAVIRUS VACCINE)(HPV)[NED]</t>
        </is>
      </c>
      <c r="D26" s="10" t="inlineStr">
        <is>
          <t>ไซริ้ง</t>
        </is>
      </c>
      <c r="E26" s="10" t="inlineStr">
        <is>
          <t>วัคซีน</t>
        </is>
      </c>
      <c r="F26" s="10" t="inlineStr">
        <is>
          <t>ใช่</t>
        </is>
      </c>
    </row>
    <row r="27">
      <c r="A27" s="6" t="n">
        <v>21</v>
      </c>
      <c r="B27" s="7" t="inlineStr">
        <is>
          <t>14508</t>
        </is>
      </c>
      <c r="C27" s="8" t="inlineStr">
        <is>
          <t>Hepatitis A virus vaccine 160 iu/0.5 mL (AVAXIM 160)[NED]</t>
        </is>
      </c>
      <c r="D27" s="7" t="inlineStr">
        <is>
          <t>ไซริ้ง</t>
        </is>
      </c>
      <c r="E27" s="7" t="inlineStr">
        <is>
          <t>วัคซีน</t>
        </is>
      </c>
      <c r="F27" s="7" t="inlineStr">
        <is>
          <t>ใช่</t>
        </is>
      </c>
    </row>
    <row r="28">
      <c r="A28" s="9" t="n">
        <v>22</v>
      </c>
      <c r="B28" s="10" t="inlineStr">
        <is>
          <t>15382</t>
        </is>
      </c>
      <c r="C28" s="11" t="inlineStr">
        <is>
          <t>Hepatitis B vaccine 20 mcg/mL INJ [บุคลากร]</t>
        </is>
      </c>
      <c r="D28" s="10" t="inlineStr">
        <is>
          <t>VIAL</t>
        </is>
      </c>
      <c r="E28" s="10" t="inlineStr">
        <is>
          <t>วัคซีน</t>
        </is>
      </c>
      <c r="F28" s="10" t="inlineStr">
        <is>
          <t>ใช่</t>
        </is>
      </c>
    </row>
    <row r="29">
      <c r="A29" s="6" t="n">
        <v>23</v>
      </c>
      <c r="B29" s="7" t="inlineStr">
        <is>
          <t>00634</t>
        </is>
      </c>
      <c r="C29" s="8" t="inlineStr">
        <is>
          <t>INFLUENZA VACCINE 0.5ml (Single dose)[สปสช/กลุ่มเสี่ยง]</t>
        </is>
      </c>
      <c r="D29" s="7" t="inlineStr">
        <is>
          <t>ไซริ้ง</t>
        </is>
      </c>
      <c r="E29" s="7" t="inlineStr">
        <is>
          <t>วัคซีน</t>
        </is>
      </c>
      <c r="F29" s="7" t="inlineStr">
        <is>
          <t>ใช่</t>
        </is>
      </c>
    </row>
    <row r="30">
      <c r="A30" s="9" t="n">
        <v>24</v>
      </c>
      <c r="B30" s="10" t="inlineStr">
        <is>
          <t>15130</t>
        </is>
      </c>
      <c r="C30" s="11" t="inlineStr">
        <is>
          <t>Influenza virus vaccine 0.5 mL (3 สายพันธุ์) [บุคลากร]</t>
        </is>
      </c>
      <c r="D30" s="10" t="inlineStr">
        <is>
          <t>VIAL</t>
        </is>
      </c>
      <c r="E30" s="10" t="inlineStr">
        <is>
          <t>วัคซีน</t>
        </is>
      </c>
      <c r="F30" s="10" t="inlineStr">
        <is>
          <t>ใช่</t>
        </is>
      </c>
    </row>
    <row r="31">
      <c r="A31" s="6" t="n">
        <v>25</v>
      </c>
      <c r="B31" s="7" t="inlineStr">
        <is>
          <t>13700</t>
        </is>
      </c>
      <c r="C31" s="8" t="inlineStr">
        <is>
          <t>Influenza virus vaccine 0.5 mL (4 สายพันธุ์) [บุคลากร]</t>
        </is>
      </c>
      <c r="D31" s="7" t="inlineStr">
        <is>
          <t>ไซริ้ง</t>
        </is>
      </c>
      <c r="E31" s="7" t="inlineStr">
        <is>
          <t>วัคซีน</t>
        </is>
      </c>
      <c r="F31" s="7" t="inlineStr">
        <is>
          <t>ใช่</t>
        </is>
      </c>
    </row>
    <row r="32">
      <c r="A32" s="9" t="n">
        <v>26</v>
      </c>
      <c r="B32" s="10" t="inlineStr">
        <is>
          <t>13864</t>
        </is>
      </c>
      <c r="C32" s="11" t="inlineStr">
        <is>
          <t>Influenza virus vaccine 0.5 mL(4 สายพันธุ์)(INFLUVAC TETRA)[NED]</t>
        </is>
      </c>
      <c r="D32" s="10" t="inlineStr">
        <is>
          <t>ไซริ้ง</t>
        </is>
      </c>
      <c r="E32" s="10" t="inlineStr">
        <is>
          <t>วัคซีน</t>
        </is>
      </c>
      <c r="F32" s="10" t="inlineStr">
        <is>
          <t>ใช่</t>
        </is>
      </c>
    </row>
    <row r="33">
      <c r="A33" s="6" t="n">
        <v>27</v>
      </c>
      <c r="B33" s="7" t="inlineStr">
        <is>
          <t>15673</t>
        </is>
      </c>
      <c r="C33" s="8" t="inlineStr">
        <is>
          <t>Meningococcal group B vaccine (BEXSERO)[NED]</t>
        </is>
      </c>
      <c r="D33" s="7" t="inlineStr">
        <is>
          <t>ไซริ้ง</t>
        </is>
      </c>
      <c r="E33" s="7" t="inlineStr">
        <is>
          <t>วัคซีน</t>
        </is>
      </c>
      <c r="F33" s="7" t="inlineStr">
        <is>
          <t>ใช่</t>
        </is>
      </c>
    </row>
    <row r="34">
      <c r="A34" s="9" t="n">
        <v>28</v>
      </c>
      <c r="B34" s="10" t="inlineStr">
        <is>
          <t>15146</t>
        </is>
      </c>
      <c r="C34" s="11" t="inlineStr">
        <is>
          <t>Monkeypox vaccine inj, lived, non-replicated [กรมควบคุมโรค, NED]</t>
        </is>
      </c>
      <c r="D34" s="10" t="inlineStr">
        <is>
          <t>VIAL</t>
        </is>
      </c>
      <c r="E34" s="10" t="inlineStr">
        <is>
          <t>วัคซีน</t>
        </is>
      </c>
      <c r="F34" s="10" t="inlineStr">
        <is>
          <t>ใช่</t>
        </is>
      </c>
    </row>
    <row r="35">
      <c r="A35" s="6" t="n">
        <v>29</v>
      </c>
      <c r="B35" s="7" t="inlineStr">
        <is>
          <t>14245</t>
        </is>
      </c>
      <c r="C35" s="8" t="inlineStr">
        <is>
          <t>PNEUMOCOCCAL CONJUGATE VACCINE (PREVNAR 13)[ยาโครงการ]</t>
        </is>
      </c>
      <c r="D35" s="7" t="inlineStr">
        <is>
          <t>VIAL</t>
        </is>
      </c>
      <c r="E35" s="7" t="inlineStr">
        <is>
          <t>วัคซีน</t>
        </is>
      </c>
      <c r="F35" s="7" t="inlineStr">
        <is>
          <t>ใช่</t>
        </is>
      </c>
    </row>
    <row r="36">
      <c r="A36" s="9" t="n">
        <v>30</v>
      </c>
      <c r="B36" s="10" t="inlineStr">
        <is>
          <t>14937</t>
        </is>
      </c>
      <c r="C36" s="11" t="inlineStr">
        <is>
          <t>PREVNAR 20 (PNEUMOCOCCAL CONJUGATE VACCINE)[NED]</t>
        </is>
      </c>
      <c r="D36" s="10" t="inlineStr">
        <is>
          <t>ไซริ้ง</t>
        </is>
      </c>
      <c r="E36" s="10" t="inlineStr">
        <is>
          <t>วัคซีน</t>
        </is>
      </c>
      <c r="F36" s="10" t="inlineStr">
        <is>
          <t>ใช่</t>
        </is>
      </c>
    </row>
    <row r="37">
      <c r="A37" s="6" t="n">
        <v>31</v>
      </c>
      <c r="B37" s="7" t="inlineStr">
        <is>
          <t>14222</t>
        </is>
      </c>
      <c r="C37" s="8" t="inlineStr">
        <is>
          <t>QDENGA VACCINE INJ 0.5 mL [NED]</t>
        </is>
      </c>
      <c r="D37" s="7" t="inlineStr">
        <is>
          <t>syringe</t>
        </is>
      </c>
      <c r="E37" s="7" t="inlineStr">
        <is>
          <t>วัคซีน</t>
        </is>
      </c>
      <c r="F37" s="7" t="inlineStr">
        <is>
          <t>ใช่</t>
        </is>
      </c>
    </row>
    <row r="38">
      <c r="A38" s="9" t="n">
        <v>32</v>
      </c>
      <c r="B38" s="10" t="inlineStr">
        <is>
          <t>15672</t>
        </is>
      </c>
      <c r="C38" s="11" t="inlineStr">
        <is>
          <t>RSV vaccine (AREXVY)[NED]</t>
        </is>
      </c>
      <c r="D38" s="10" t="inlineStr">
        <is>
          <t>กล่อง</t>
        </is>
      </c>
      <c r="E38" s="10" t="inlineStr">
        <is>
          <t>วัคซีน</t>
        </is>
      </c>
      <c r="F38" s="10" t="inlineStr">
        <is>
          <t>ใช่</t>
        </is>
      </c>
    </row>
    <row r="39">
      <c r="A39" s="6" t="n">
        <v>33</v>
      </c>
      <c r="B39" s="7" t="inlineStr">
        <is>
          <t>11937</t>
        </is>
      </c>
      <c r="C39" s="8" t="inlineStr">
        <is>
          <t>SKYCellflu Quadrivalent (Influenza virus vaccine) [NED]</t>
        </is>
      </c>
      <c r="D39" s="7" t="inlineStr">
        <is>
          <t>ไซริ้ง</t>
        </is>
      </c>
      <c r="E39" s="7" t="inlineStr">
        <is>
          <t>วัคซีน</t>
        </is>
      </c>
      <c r="F39" s="7" t="inlineStr">
        <is>
          <t>ใช่</t>
        </is>
      </c>
    </row>
    <row r="40">
      <c r="A40" s="9" t="n">
        <v>34</v>
      </c>
      <c r="B40" s="10" t="inlineStr">
        <is>
          <t>16220</t>
        </is>
      </c>
      <c r="C40" s="11" t="inlineStr">
        <is>
          <t>TdaP Vaccine 0.5 mL prefilled syringe (BOOSTAGEN-2) [NED]</t>
        </is>
      </c>
      <c r="D40" s="10" t="inlineStr">
        <is>
          <t>ไซริ้ง</t>
        </is>
      </c>
      <c r="E40" s="10" t="inlineStr">
        <is>
          <t>วัคซีน</t>
        </is>
      </c>
      <c r="F40" s="10" t="inlineStr">
        <is>
          <t>ใช่</t>
        </is>
      </c>
    </row>
    <row r="41">
      <c r="A41" s="6" t="n">
        <v>35</v>
      </c>
      <c r="B41" s="7" t="inlineStr">
        <is>
          <t>00395</t>
        </is>
      </c>
      <c r="C41" s="8" t="inlineStr">
        <is>
          <t>VERORAB VACCINE 2.5U/0.5ML INJ.</t>
        </is>
      </c>
      <c r="D41" s="7" t="inlineStr">
        <is>
          <t>VIAL</t>
        </is>
      </c>
      <c r="E41" s="7" t="inlineStr">
        <is>
          <t>วัคซีน</t>
        </is>
      </c>
      <c r="F41" s="7" t="inlineStr">
        <is>
          <t>ใช่</t>
        </is>
      </c>
    </row>
    <row r="42">
      <c r="A42" s="9" t="n">
        <v>36</v>
      </c>
      <c r="B42" s="10" t="inlineStr">
        <is>
          <t>14234</t>
        </is>
      </c>
      <c r="C42" s="11" t="inlineStr">
        <is>
          <t>Varicella zoster vaccine (SHINGRIX) 50 mcg [NED]</t>
        </is>
      </c>
      <c r="D42" s="10" t="inlineStr">
        <is>
          <t>VIAL</t>
        </is>
      </c>
      <c r="E42" s="10" t="inlineStr">
        <is>
          <t>วัคซีน</t>
        </is>
      </c>
      <c r="F42" s="10" t="inlineStr">
        <is>
          <t>ใช่</t>
        </is>
      </c>
    </row>
    <row r="43">
      <c r="A43" s="6" t="n">
        <v>37</v>
      </c>
      <c r="B43" s="7" t="inlineStr">
        <is>
          <t>14711</t>
        </is>
      </c>
      <c r="C43" s="8" t="inlineStr">
        <is>
          <t>Varicella zoster vaccine 1350 pfu/0.5mL INJ (VARIVAX)(เฉพาะOPD3)</t>
        </is>
      </c>
      <c r="D43" s="7" t="inlineStr">
        <is>
          <t>VIAL</t>
        </is>
      </c>
      <c r="E43" s="7" t="inlineStr">
        <is>
          <t>วัคซีน</t>
        </is>
      </c>
      <c r="F43" s="7" t="inlineStr">
        <is>
          <t>ใช่</t>
        </is>
      </c>
    </row>
    <row r="44">
      <c r="A44" s="9" t="n">
        <v>38</v>
      </c>
      <c r="B44" s="10" t="inlineStr">
        <is>
          <t>15017</t>
        </is>
      </c>
      <c r="C44" s="11" t="inlineStr">
        <is>
          <t>[X]TdaP Vaccine 0.5 mL prefilled syringe (BOOSTAGEN) [NED]</t>
        </is>
      </c>
      <c r="D44" s="10" t="inlineStr">
        <is>
          <t>ไซริ้ง</t>
        </is>
      </c>
      <c r="E44" s="10" t="inlineStr">
        <is>
          <t>วัคซีน</t>
        </is>
      </c>
      <c r="F44" s="10" t="inlineStr">
        <is>
          <t>ใช่</t>
        </is>
      </c>
    </row>
    <row r="45">
      <c r="A45" s="6" t="n">
        <v>39</v>
      </c>
      <c r="B45" s="7" t="inlineStr">
        <is>
          <t>00648</t>
        </is>
      </c>
      <c r="C45" s="8" t="inlineStr">
        <is>
          <t>dT Vaccine 5 ml/vial (code เบิก)</t>
        </is>
      </c>
      <c r="D45" s="7" t="inlineStr">
        <is>
          <t>VIAL</t>
        </is>
      </c>
      <c r="E45" s="7" t="inlineStr">
        <is>
          <t>วัคซีน</t>
        </is>
      </c>
      <c r="F45" s="7" t="inlineStr">
        <is>
          <t>ใช่</t>
        </is>
      </c>
    </row>
    <row r="46">
      <c r="A46" s="9" t="n">
        <v>40</v>
      </c>
      <c r="B46" s="10" t="inlineStr">
        <is>
          <t>00703</t>
        </is>
      </c>
      <c r="C46" s="11" t="inlineStr">
        <is>
          <t>INSULIN ASPART PENFILL 300U/3ML-(NovoRapid)</t>
        </is>
      </c>
      <c r="D46" s="10" t="inlineStr">
        <is>
          <t>หลอด</t>
        </is>
      </c>
      <c r="E46" s="10" t="inlineStr">
        <is>
          <t>อินซูลิน</t>
        </is>
      </c>
      <c r="F46" s="10" t="inlineStr">
        <is>
          <t>ใช่</t>
        </is>
      </c>
    </row>
    <row r="47">
      <c r="A47" s="6" t="n">
        <v>41</v>
      </c>
      <c r="B47" s="7" t="inlineStr">
        <is>
          <t>00792</t>
        </is>
      </c>
      <c r="C47" s="8" t="inlineStr">
        <is>
          <t>INSULIN GLARGINE 300UNIT/3ML INJ.(Lantus Solostar)</t>
        </is>
      </c>
      <c r="D47" s="7" t="inlineStr">
        <is>
          <t>ด้าม</t>
        </is>
      </c>
      <c r="E47" s="7" t="inlineStr">
        <is>
          <t>อินซูลิน</t>
        </is>
      </c>
      <c r="F47" s="7" t="inlineStr">
        <is>
          <t>ใช่</t>
        </is>
      </c>
    </row>
    <row r="48">
      <c r="A48" s="9" t="n">
        <v>42</v>
      </c>
      <c r="B48" s="10" t="inlineStr">
        <is>
          <t>15650</t>
        </is>
      </c>
      <c r="C48" s="11" t="inlineStr">
        <is>
          <t>Insulin degludec+Liraglutide (100iu+3.6 mg/mL),3 mL prefilled pen (XULTOPHY)[NED]</t>
        </is>
      </c>
      <c r="D48" s="10" t="inlineStr">
        <is>
          <t>ด้าม</t>
        </is>
      </c>
      <c r="E48" s="10" t="inlineStr">
        <is>
          <t>อินซูลิน</t>
        </is>
      </c>
      <c r="F48" s="10" t="inlineStr">
        <is>
          <t>ใช่</t>
        </is>
      </c>
    </row>
    <row r="49">
      <c r="A49" s="6" t="n">
        <v>43</v>
      </c>
      <c r="B49" s="7" t="inlineStr">
        <is>
          <t>00231</t>
        </is>
      </c>
      <c r="C49" s="8" t="inlineStr">
        <is>
          <t>REGULAR INSULIN (RI) 1,000 U/10 ML INJ (ACTRAPID HM)</t>
        </is>
      </c>
      <c r="D49" s="7" t="inlineStr">
        <is>
          <t>VIAL</t>
        </is>
      </c>
      <c r="E49" s="7" t="inlineStr">
        <is>
          <t>อินซูลิน</t>
        </is>
      </c>
      <c r="F49" s="7" t="inlineStr">
        <is>
          <t>ใช่</t>
        </is>
      </c>
    </row>
    <row r="50">
      <c r="A50" s="9" t="n">
        <v>44</v>
      </c>
      <c r="B50" s="10" t="inlineStr">
        <is>
          <t>14387</t>
        </is>
      </c>
      <c r="C50" s="11" t="inlineStr">
        <is>
          <t>WINSULIN-30/70 Penfill 300 iu/3 mL INJ</t>
        </is>
      </c>
      <c r="D50" s="10" t="inlineStr">
        <is>
          <t>cartridge</t>
        </is>
      </c>
      <c r="E50" s="10" t="inlineStr">
        <is>
          <t>อินซูลิน</t>
        </is>
      </c>
      <c r="F50" s="10" t="inlineStr">
        <is>
          <t>ใช่</t>
        </is>
      </c>
    </row>
    <row r="51">
      <c r="A51" s="6" t="n">
        <v>45</v>
      </c>
      <c r="B51" s="7" t="inlineStr">
        <is>
          <t>14386</t>
        </is>
      </c>
      <c r="C51" s="8" t="inlineStr">
        <is>
          <t>WINSULIN-N Penfill (isophane insulin) 300 iu/3 mL) INJ</t>
        </is>
      </c>
      <c r="D51" s="7" t="inlineStr">
        <is>
          <t>cartridge</t>
        </is>
      </c>
      <c r="E51" s="7" t="inlineStr">
        <is>
          <t>อินซูลิน</t>
        </is>
      </c>
      <c r="F51" s="7" t="inlineStr">
        <is>
          <t>ใช่</t>
        </is>
      </c>
    </row>
    <row r="52">
      <c r="A52" s="9" t="n">
        <v>46</v>
      </c>
      <c r="B52" s="10" t="inlineStr">
        <is>
          <t>14383</t>
        </is>
      </c>
      <c r="C52" s="11" t="inlineStr">
        <is>
          <t>WINSULIN-R Penfill (RI,insulin human) 300 iu/3 mL INJ</t>
        </is>
      </c>
      <c r="D52" s="10" t="inlineStr">
        <is>
          <t>cartridge</t>
        </is>
      </c>
      <c r="E52" s="10" t="inlineStr">
        <is>
          <t>อินซูลิน</t>
        </is>
      </c>
      <c r="F52" s="10" t="inlineStr">
        <is>
          <t>ใช่</t>
        </is>
      </c>
    </row>
    <row r="53">
      <c r="A53" s="6" t="n">
        <v>47</v>
      </c>
      <c r="B53" s="7" t="inlineStr">
        <is>
          <t>11753</t>
        </is>
      </c>
      <c r="C53" s="8" t="inlineStr">
        <is>
          <t>[X]REGULAR INSULIN (RI) PENFILL 300 U/3 ML INJ (ACTRAPID HM)</t>
        </is>
      </c>
      <c r="D53" s="7" t="inlineStr">
        <is>
          <t>หลอด</t>
        </is>
      </c>
      <c r="E53" s="7" t="inlineStr">
        <is>
          <t>อินซูลิน</t>
        </is>
      </c>
      <c r="F53" s="7" t="inlineStr">
        <is>
          <t>ใช่</t>
        </is>
      </c>
    </row>
    <row r="54">
      <c r="A54" s="9" t="n">
        <v>48</v>
      </c>
      <c r="B54" s="10" t="inlineStr">
        <is>
          <t>00529</t>
        </is>
      </c>
      <c r="C54" s="11" t="inlineStr">
        <is>
          <t>EPIAO 4,000U INJ.(ERYTHROPOIETIN)[e-biddingรพ 6/1/69ถึง1//70]</t>
        </is>
      </c>
      <c r="D54" s="10" t="inlineStr">
        <is>
          <t>ไซริ้ง</t>
        </is>
      </c>
      <c r="E54" s="10" t="inlineStr">
        <is>
          <t>ชีววัตถุ</t>
        </is>
      </c>
      <c r="F54" s="10" t="inlineStr">
        <is>
          <t>ใช่</t>
        </is>
      </c>
    </row>
    <row r="55">
      <c r="A55" s="6" t="n">
        <v>49</v>
      </c>
      <c r="B55" s="7" t="inlineStr">
        <is>
          <t>01066</t>
        </is>
      </c>
      <c r="C55" s="8" t="inlineStr">
        <is>
          <t>EPREX 8000 U INJ.(EPOETIN ALFA)[NED][e-biddingรพ 6/1/69ถึง1//70]</t>
        </is>
      </c>
      <c r="D55" s="7" t="inlineStr">
        <is>
          <t>ไซริ้ง</t>
        </is>
      </c>
      <c r="E55" s="7" t="inlineStr">
        <is>
          <t>ชีววัตถุ</t>
        </is>
      </c>
      <c r="F55" s="7" t="inlineStr">
        <is>
          <t>ใช่</t>
        </is>
      </c>
    </row>
    <row r="56">
      <c r="A56" s="9" t="n">
        <v>50</v>
      </c>
      <c r="B56" s="10" t="inlineStr">
        <is>
          <t>00281</t>
        </is>
      </c>
      <c r="C56" s="11" t="inlineStr">
        <is>
          <t>FILGRASTIM 300 mcg/1mL INJ (NEUTROMAX) (XF0020)</t>
        </is>
      </c>
      <c r="D56" s="10" t="inlineStr">
        <is>
          <t>ไซริ้ง</t>
        </is>
      </c>
      <c r="E56" s="10" t="inlineStr">
        <is>
          <t>ชีววัตถุ</t>
        </is>
      </c>
      <c r="F56" s="10" t="inlineStr">
        <is>
          <t>ใช่</t>
        </is>
      </c>
    </row>
    <row r="57">
      <c r="A57" s="6" t="n">
        <v>51</v>
      </c>
      <c r="B57" s="7" t="inlineStr">
        <is>
          <t>00639</t>
        </is>
      </c>
      <c r="C57" s="8" t="inlineStr">
        <is>
          <t>HUMAN TETANUS IMMUNOGLOBULIN 250 IU/ml Pre-filled Syr.(TIG)</t>
        </is>
      </c>
      <c r="D57" s="7" t="inlineStr">
        <is>
          <t>SYRINGE</t>
        </is>
      </c>
      <c r="E57" s="7" t="inlineStr">
        <is>
          <t>ชีววัตถุ</t>
        </is>
      </c>
      <c r="F57" s="7" t="inlineStr">
        <is>
          <t>ใช่</t>
        </is>
      </c>
    </row>
  </sheetData>
  <autoFilter ref="A6:F57"/>
  <mergeCells count="2">
    <mergeCell ref="A2:F2"/>
    <mergeCell ref="A1:F1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</oddHeader>
    <oddFooter>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2026-10-01T09:35:12Z</dcterms:created>
  <dcterms:modified xmlns:dcterms="http://purl.org/dc/terms/" xmlns:xsi="http://www.w3.org/2001/XMLSchema-instance" xsi:type="dcterms:W3CDTF">2026-10-01T09:35:30Z</dcterms:modified>
</cp:coreProperties>
</file>