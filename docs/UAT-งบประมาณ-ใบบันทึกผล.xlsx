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กแผน" sheetId="1" state="visible" r:id="rId1"/>
    <sheet xmlns:r="http://schemas.openxmlformats.org/officeDocument/2006/relationships" name="บันทึกผลเคส" sheetId="2" state="visible" r:id="rId2"/>
    <sheet xmlns:r="http://schemas.openxmlformats.org/officeDocument/2006/relationships" name="บั๊ก" sheetId="3" state="visible" r:id="rId3"/>
    <sheet xmlns:r="http://schemas.openxmlformats.org/officeDocument/2006/relationships" name="สรุป" sheetId="4" state="visible" r:id="rId4"/>
  </sheets>
  <definedNames>
    <definedName name="_xlnm._FilterDatabase" localSheetId="1" hidden="1">'บันทึกผลเคส'!$A$1:$J$40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Prompt"/>
      <b val="1"/>
      <color rgb="000F7A72"/>
      <sz val="14"/>
    </font>
    <font>
      <name val="Prompt"/>
      <b val="1"/>
      <color rgb="00123A56"/>
      <sz val="22"/>
    </font>
    <font>
      <name val="Prompt"/>
      <color rgb="005B6878"/>
      <sz val="12"/>
    </font>
    <font>
      <name val="Prompt"/>
      <b val="1"/>
      <color rgb="00FFFFFF"/>
      <sz val="11"/>
    </font>
    <font>
      <name val="Prompt"/>
      <color rgb="002F3A48"/>
      <sz val="11"/>
    </font>
    <font>
      <name val="Prompt"/>
      <b val="1"/>
      <color rgb="000F7A72"/>
      <sz val="12"/>
    </font>
    <font>
      <name val="Prompt"/>
      <b val="1"/>
      <color rgb="002F3A48"/>
      <sz val="11"/>
    </font>
    <font>
      <name val="Prompt"/>
      <color rgb="002F3A48"/>
      <sz val="12"/>
    </font>
    <font>
      <name val="Prompt"/>
      <b val="1"/>
      <color rgb="00123A56"/>
      <sz val="18"/>
    </font>
    <font>
      <name val="Prompt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23A56"/>
      </patternFill>
    </fill>
    <fill>
      <patternFill patternType="solid">
        <fgColor rgb="00FFFFFF"/>
      </patternFill>
    </fill>
    <fill>
      <patternFill patternType="solid">
        <fgColor rgb="00E5F5F3"/>
      </patternFill>
    </fill>
    <fill>
      <patternFill patternType="solid">
        <fgColor rgb="00FDECDC"/>
      </patternFill>
    </fill>
    <fill>
      <patternFill patternType="solid">
        <fgColor rgb="00E8F1F8"/>
      </patternFill>
    </fill>
    <fill>
      <patternFill patternType="solid">
        <fgColor rgb="00B4433A"/>
      </patternFill>
    </fill>
  </fills>
  <borders count="2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9" fontId="5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9" fontId="10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Prompt"/>
        <b val="1"/>
        <color rgb="002C7A45"/>
        <sz val="11"/>
      </font>
      <fill>
        <patternFill patternType="solid">
          <fgColor rgb="00E5F5EA"/>
        </patternFill>
      </fill>
    </dxf>
    <dxf>
      <font>
        <name val="Prompt"/>
        <b val="1"/>
        <color rgb="00B4433A"/>
        <sz val="11"/>
      </font>
      <fill>
        <patternFill patternType="solid">
          <fgColor rgb="00FBECEA"/>
        </patternFill>
      </fill>
    </dxf>
    <dxf>
      <font>
        <name val="Prompt"/>
        <color rgb="005B6878"/>
        <sz val="11"/>
      </font>
      <fill>
        <patternFill patternType="solid">
          <fgColor rgb="00F6F8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22" customWidth="1" min="4" max="4"/>
    <col width="18" customWidth="1" min="5" max="5"/>
    <col width="16" customWidth="1" min="6" max="6"/>
  </cols>
  <sheetData>
    <row r="2">
      <c r="B2" s="1" t="inlineStr">
        <is>
          <t>โรงพยาบาลวชิระภูเก็ต</t>
        </is>
      </c>
    </row>
    <row r="3">
      <c r="B3" s="2" t="inlineStr">
        <is>
          <t>ใบบันทึกผล UAT ระบบงบประมาณ</t>
        </is>
      </c>
    </row>
    <row r="4">
      <c r="B4" s="3" t="inlineStr">
        <is>
          <t>ใช้คู่กับเอกสารแผนการทดสอบ และไฟล์นำเสนอ workflow</t>
        </is>
      </c>
    </row>
    <row r="6">
      <c r="B6" s="4" t="inlineStr">
        <is>
          <t>ระบบ</t>
        </is>
      </c>
      <c r="C6" s="5" t="inlineStr">
        <is>
          <t>Odoo 18 · VPK Budget</t>
        </is>
      </c>
    </row>
    <row r="7">
      <c r="B7" s="4" t="inlineStr">
        <is>
          <t>ฐานข้อมูล</t>
        </is>
      </c>
      <c r="C7" s="5" t="inlineStr"/>
    </row>
    <row r="8">
      <c r="B8" s="4" t="inlineStr">
        <is>
          <t>รอบทดสอบ</t>
        </is>
      </c>
      <c r="C8" s="5" t="inlineStr">
        <is>
          <t>UAT ครั้งที่ 1</t>
        </is>
      </c>
    </row>
    <row r="9">
      <c r="B9" s="4" t="inlineStr">
        <is>
          <t>วันที่เริ่ม</t>
        </is>
      </c>
      <c r="C9" s="5" t="inlineStr"/>
    </row>
    <row r="10">
      <c r="B10" s="4" t="inlineStr">
        <is>
          <t>วันที่จบ</t>
        </is>
      </c>
      <c r="C10" s="5" t="inlineStr"/>
    </row>
    <row r="11">
      <c r="B11" s="4" t="inlineStr">
        <is>
          <t>ผู้ประสาน</t>
        </is>
      </c>
      <c r="C11" s="5" t="inlineStr"/>
    </row>
    <row r="12">
      <c r="B12" s="4" t="inlineStr">
        <is>
          <t>ปีงบที่ทดสอบ</t>
        </is>
      </c>
      <c r="C12" s="5" t="inlineStr"/>
    </row>
    <row r="13">
      <c r="B13" s="4" t="inlineStr">
        <is>
          <t>หน่วยงานตัวอย่าง</t>
        </is>
      </c>
      <c r="C13" s="5" t="inlineStr"/>
    </row>
    <row r="16">
      <c r="B16" s="6" t="inlineStr">
        <is>
          <t>เกณฑ์ผ่านรอบนี้: เคส P1 ผ่านทั้งหมด · ไม่มี Blocker ค้าง · ผู้แทน 4 ฝ่ายลงนาม</t>
        </is>
      </c>
    </row>
    <row r="18" ht="28" customHeight="1">
      <c r="A18" s="7" t="inlineStr">
        <is>
          <t>ลำดับ</t>
        </is>
      </c>
      <c r="B18" s="7" t="inlineStr">
        <is>
          <t>ฝ่าย</t>
        </is>
      </c>
      <c r="C18" s="7" t="inlineStr">
        <is>
          <t>ผู้ทดสอบ</t>
        </is>
      </c>
      <c r="D18" s="7" t="inlineStr">
        <is>
          <t>ลงชื่อ</t>
        </is>
      </c>
      <c r="E18" s="7" t="inlineStr">
        <is>
          <t>วันที่</t>
        </is>
      </c>
      <c r="F18" s="7" t="inlineStr">
        <is>
          <t>ผ่านภาพรวม</t>
        </is>
      </c>
    </row>
    <row r="19">
      <c r="A19" s="8" t="n">
        <v>1</v>
      </c>
      <c r="B19" s="9" t="inlineStr">
        <is>
          <t>หน่วยงาน</t>
        </is>
      </c>
      <c r="C19" s="10" t="inlineStr"/>
      <c r="D19" s="10" t="inlineStr"/>
      <c r="E19" s="10" t="inlineStr"/>
      <c r="F19" s="10" t="inlineStr"/>
    </row>
    <row r="20">
      <c r="A20" s="8" t="n">
        <v>2</v>
      </c>
      <c r="B20" s="9" t="inlineStr">
        <is>
          <t>งานงบประมาณ</t>
        </is>
      </c>
      <c r="C20" s="10" t="inlineStr"/>
      <c r="D20" s="10" t="inlineStr"/>
      <c r="E20" s="10" t="inlineStr"/>
      <c r="F20" s="10" t="inlineStr"/>
    </row>
    <row r="21">
      <c r="A21" s="8" t="n">
        <v>3</v>
      </c>
      <c r="B21" s="9" t="inlineStr">
        <is>
          <t>พัสดุ</t>
        </is>
      </c>
      <c r="C21" s="10" t="inlineStr"/>
      <c r="D21" s="10" t="inlineStr"/>
      <c r="E21" s="10" t="inlineStr"/>
      <c r="F21" s="10" t="inlineStr"/>
    </row>
    <row r="22">
      <c r="A22" s="8" t="n">
        <v>4</v>
      </c>
      <c r="B22" s="9" t="inlineStr">
        <is>
          <t>การเงิน</t>
        </is>
      </c>
      <c r="C22" s="10" t="inlineStr"/>
      <c r="D22" s="10" t="inlineStr"/>
      <c r="E22" s="10" t="inlineStr"/>
      <c r="F22" s="10" t="inlineStr"/>
    </row>
    <row r="24">
      <c r="B24" s="11" t="inlineStr">
        <is>
          <t>วิธีใช้
1) กรอกปกนี้ก่อนเริ่ม   2) เดินเคสตามลำดับในชีต “บันทึกผลเคส”
3) ถ้าไม่ผ่าน ให้เปิดรายการในชีต “บั๊ก”   4) ดูจำนวนผ่านที่ชีต “สรุป”
ห้ามข้ามชุด A และ B ก่อนทำชุด D เพราะขั้นใช้งบต้องมีวงเงินที่อนุมัติแล้ว</t>
        </is>
      </c>
    </row>
    <row r="25"/>
    <row r="26"/>
    <row r="27"/>
  </sheetData>
  <mergeCells count="13">
    <mergeCell ref="B2:F2"/>
    <mergeCell ref="B3:F3"/>
    <mergeCell ref="B4:F4"/>
    <mergeCell ref="C6:E6"/>
    <mergeCell ref="C7:E7"/>
    <mergeCell ref="C8:E8"/>
    <mergeCell ref="C9:E9"/>
    <mergeCell ref="C10:E10"/>
    <mergeCell ref="C11:E11"/>
    <mergeCell ref="C12:E12"/>
    <mergeCell ref="C13:E13"/>
    <mergeCell ref="B16:F16"/>
    <mergeCell ref="B24:F27"/>
  </mergeCells>
  <pageMargins left="0.75" right="0.75" top="1" bottom="1" header="0.5" footer="0.5"/>
  <pageSetup orientation="landscape" paperSize="9" fitToHeight="1" fitToWidth="1"/>
  <headerFooter>
    <oddHeader>&amp;Lโรงพยาบาลวชิระภูเก็ต · UAT งบประมาณ</oddHeader>
    <oddFooter>&amp;Lเอกสารภายใน สำหรับทดสอบระบบ&amp;Rหน้า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30" customWidth="1" min="4" max="4"/>
    <col width="50" customWidth="1" min="5" max="5"/>
    <col width="48" customWidth="1" min="6" max="6"/>
    <col width="12" customWidth="1" min="7" max="7"/>
    <col width="16" customWidth="1" min="8" max="8"/>
    <col width="14" customWidth="1" min="9" max="9"/>
    <col width="28" customWidth="1" min="10" max="10"/>
  </cols>
  <sheetData>
    <row r="1" ht="28" customHeight="1">
      <c r="A1" s="7" t="inlineStr">
        <is>
          <t>รหัส</t>
        </is>
      </c>
      <c r="B1" s="7" t="inlineStr">
        <is>
          <t>ชุด</t>
        </is>
      </c>
      <c r="C1" s="7" t="inlineStr">
        <is>
          <t>P</t>
        </is>
      </c>
      <c r="D1" s="7" t="inlineStr">
        <is>
          <t>หัวข้อ</t>
        </is>
      </c>
      <c r="E1" s="7" t="inlineStr">
        <is>
          <t>ขั้นตอนโดยย่อ</t>
        </is>
      </c>
      <c r="F1" s="7" t="inlineStr">
        <is>
          <t>ผลที่ต้องเห็น</t>
        </is>
      </c>
      <c r="G1" s="7" t="inlineStr">
        <is>
          <t>ผล</t>
        </is>
      </c>
      <c r="H1" s="7" t="inlineStr">
        <is>
          <t>ผู้ทดสอบ</t>
        </is>
      </c>
      <c r="I1" s="7" t="inlineStr">
        <is>
          <t>วันที่</t>
        </is>
      </c>
      <c r="J1" s="7" t="inlineStr">
        <is>
          <t>หลักฐาน/หมายเหตุ</t>
        </is>
      </c>
    </row>
    <row r="2" ht="46" customHeight="1">
      <c r="A2" s="12" t="inlineStr">
        <is>
          <t>A01</t>
        </is>
      </c>
      <c r="B2" s="10" t="inlineStr">
        <is>
          <t>A ข้อมูลหลัก</t>
        </is>
      </c>
      <c r="C2" s="13" t="inlineStr">
        <is>
          <t>P1</t>
        </is>
      </c>
      <c r="D2" s="10" t="inlineStr">
        <is>
          <t>เมนูแบบฟอร์มเหลือ 4 ใบ</t>
        </is>
      </c>
      <c r="E2" s="10" t="inlineStr">
        <is>
          <t>เข้าเมนูคำของบหน่วยงาน ดูรายการแบบฟอร์ม</t>
        </is>
      </c>
      <c r="F2" s="10" t="inlineStr">
        <is>
          <t>เห็นเฉพาะ ตั้งงบวัสดุ / ครุภัณฑ์ / ก่อสร้าง / โครงการ</t>
        </is>
      </c>
    </row>
    <row r="3" ht="46" customHeight="1">
      <c r="A3" s="12" t="inlineStr">
        <is>
          <t>A02</t>
        </is>
      </c>
      <c r="B3" s="10" t="inlineStr">
        <is>
          <t>A ข้อมูลหลัก</t>
        </is>
      </c>
      <c r="C3" s="13" t="inlineStr">
        <is>
          <t>P1</t>
        </is>
      </c>
      <c r="D3" s="10" t="inlineStr">
        <is>
          <t>เปิดแบบฟอร์มวัสดุ</t>
        </is>
      </c>
      <c r="E3" s="10" t="inlineStr">
        <is>
          <t>สร้างคำของบจากแบบฟอร์มตั้งงบวัสดุ</t>
        </is>
      </c>
      <c r="F3" s="10" t="inlineStr">
        <is>
          <t>เป็นหน้าวัสดุ มีที่กรอกรายละเอียดสินค้า</t>
        </is>
      </c>
    </row>
    <row r="4" ht="46" customHeight="1">
      <c r="A4" s="12" t="inlineStr">
        <is>
          <t>A03</t>
        </is>
      </c>
      <c r="B4" s="10" t="inlineStr">
        <is>
          <t>A ข้อมูลหลัก</t>
        </is>
      </c>
      <c r="C4" s="13" t="inlineStr">
        <is>
          <t>P1</t>
        </is>
      </c>
      <c r="D4" s="10" t="inlineStr">
        <is>
          <t>เปิด 3 แบบฟอร์มที่เหลือ</t>
        </is>
      </c>
      <c r="E4" s="10" t="inlineStr">
        <is>
          <t>เปิดครุภัณฑ์ ก่อสร้าง โครงการ</t>
        </is>
      </c>
      <c r="F4" s="10" t="inlineStr">
        <is>
          <t>แต่ละใบคนละหน้าจอ ไม่ปนแท็บวัสดุ</t>
        </is>
      </c>
    </row>
    <row r="5" ht="46" customHeight="1">
      <c r="A5" s="12" t="inlineStr">
        <is>
          <t>A04</t>
        </is>
      </c>
      <c r="B5" s="10" t="inlineStr">
        <is>
          <t>A ข้อมูลหลัก</t>
        </is>
      </c>
      <c r="C5" s="13" t="inlineStr">
        <is>
          <t>P1</t>
        </is>
      </c>
      <c r="D5" s="10" t="inlineStr">
        <is>
          <t>แหล่งเงินเลือกได้</t>
        </is>
      </c>
      <c r="E5" s="10" t="inlineStr">
        <is>
          <t>เปิดคำของบ แล้วเปิดช่องแหล่งเงิน</t>
        </is>
      </c>
      <c r="F5" s="10" t="inlineStr">
        <is>
          <t>มีแหล่งเงินที่ใช้จริง เช่น เงินบำรุง งบประมาณ UC</t>
        </is>
      </c>
    </row>
    <row r="6" ht="46" customHeight="1">
      <c r="A6" s="12" t="inlineStr">
        <is>
          <t>A05</t>
        </is>
      </c>
      <c r="B6" s="10" t="inlineStr">
        <is>
          <t>A ข้อมูลหลัก</t>
        </is>
      </c>
      <c r="C6" s="13" t="inlineStr">
        <is>
          <t>P1</t>
        </is>
      </c>
      <c r="D6" s="10" t="inlineStr">
        <is>
          <t>แผนประจำปีพร้อมใช้</t>
        </is>
      </c>
      <c r="E6" s="10" t="inlineStr">
        <is>
          <t>เลือกแผนงบประมาณประจำปี</t>
        </is>
      </c>
      <c r="F6" s="10" t="inlineStr">
        <is>
          <t>มีแผนปีที่ทดสอบ และมีช่วงวันที่</t>
        </is>
      </c>
    </row>
    <row r="7" ht="46" customHeight="1">
      <c r="A7" s="12" t="inlineStr">
        <is>
          <t>A06</t>
        </is>
      </c>
      <c r="B7" s="10" t="inlineStr">
        <is>
          <t>A ข้อมูลหลัก</t>
        </is>
      </c>
      <c r="C7" s="13" t="inlineStr">
        <is>
          <t>P1</t>
        </is>
      </c>
      <c r="D7" s="10" t="inlineStr">
        <is>
          <t>สิทธิ์หน่วยงาน</t>
        </is>
      </c>
      <c r="E7" s="10" t="inlineStr">
        <is>
          <t>login user หน่วยงาน แล้วหาเมนูกำหนดค่า master</t>
        </is>
      </c>
      <c r="F7" s="10" t="inlineStr">
        <is>
          <t>เข้าแก้ไข master ไม่ได้</t>
        </is>
      </c>
    </row>
    <row r="8" ht="46" customHeight="1">
      <c r="A8" s="12" t="inlineStr">
        <is>
          <t>A07</t>
        </is>
      </c>
      <c r="B8" s="10" t="inlineStr">
        <is>
          <t>A ข้อมูลหลัก</t>
        </is>
      </c>
      <c r="C8" s="14" t="inlineStr">
        <is>
          <t>P2</t>
        </is>
      </c>
      <c r="D8" s="10" t="inlineStr">
        <is>
          <t>สิทธิ์งานงบ</t>
        </is>
      </c>
      <c r="E8" s="10" t="inlineStr">
        <is>
          <t>login user งานงบ เข้าเมนูกำหนดค่า</t>
        </is>
      </c>
      <c r="F8" s="10" t="inlineStr">
        <is>
          <t>แก้แหล่งเงิน / แบบฟอร์ม / กลุ่มวัสดุได้</t>
        </is>
      </c>
    </row>
    <row r="9" ht="46" customHeight="1">
      <c r="A9" s="12" t="inlineStr">
        <is>
          <t>B01</t>
        </is>
      </c>
      <c r="B9" s="10" t="inlineStr">
        <is>
          <t>B ตั้งงบผ่าน</t>
        </is>
      </c>
      <c r="C9" s="13" t="inlineStr">
        <is>
          <t>P1</t>
        </is>
      </c>
      <c r="D9" s="10" t="inlineStr">
        <is>
          <t>หน่วยงานส่งคำของบวัสดุ</t>
        </is>
      </c>
      <c r="E9" s="10" t="inlineStr">
        <is>
          <t>สร้างใบวัสดุ กรอกเหตุผล รายการ รายละเอียดสินค้า ยอดขอ เช่น 10,000 แล้วส่ง</t>
        </is>
      </c>
      <c r="F9" s="10" t="inlineStr">
        <is>
          <t>สถานะ Submitted to Budget Unit</t>
        </is>
      </c>
    </row>
    <row r="10" ht="46" customHeight="1">
      <c r="A10" s="12" t="inlineStr">
        <is>
          <t>B02</t>
        </is>
      </c>
      <c r="B10" s="10" t="inlineStr">
        <is>
          <t>B ตั้งงบผ่าน</t>
        </is>
      </c>
      <c r="C10" s="13" t="inlineStr">
        <is>
          <t>P1</t>
        </is>
      </c>
      <c r="D10" s="10" t="inlineStr">
        <is>
          <t>งานงบรับเรื่อง</t>
        </is>
      </c>
      <c r="E10" s="10" t="inlineStr">
        <is>
          <t>login งานงบ เปิดใบจาก B01 กดรับเรื่อง</t>
        </is>
      </c>
      <c r="F10" s="10" t="inlineStr">
        <is>
          <t>สถานะ Received by Budget Unit</t>
        </is>
      </c>
    </row>
    <row r="11" ht="46" customHeight="1">
      <c r="A11" s="12" t="inlineStr">
        <is>
          <t>B03</t>
        </is>
      </c>
      <c r="B11" s="10" t="inlineStr">
        <is>
          <t>B ตั้งงบผ่าน</t>
        </is>
      </c>
      <c r="C11" s="13" t="inlineStr">
        <is>
          <t>P1</t>
        </is>
      </c>
      <c r="D11" s="10" t="inlineStr">
        <is>
          <t>ใส่ยอดจัดสรร</t>
        </is>
      </c>
      <c r="E11" s="10" t="inlineStr">
        <is>
          <t>เริ่มพิจารณา ใส่ยอดจัดสรรครบทุกบรรทัด น้อยกว่ายอดขอ เช่น 8,000</t>
        </is>
      </c>
      <c r="F11" s="10" t="inlineStr">
        <is>
          <t>บันทึกได้</t>
        </is>
      </c>
    </row>
    <row r="12" ht="46" customHeight="1">
      <c r="A12" s="12" t="inlineStr">
        <is>
          <t>B04</t>
        </is>
      </c>
      <c r="B12" s="10" t="inlineStr">
        <is>
          <t>B ตั้งงบผ่าน</t>
        </is>
      </c>
      <c r="C12" s="13" t="inlineStr">
        <is>
          <t>P1</t>
        </is>
      </c>
      <c r="D12" s="10" t="inlineStr">
        <is>
          <t>อนุมัติวัสดุเข้าแผน</t>
        </is>
      </c>
      <c r="E12" s="10" t="inlineStr">
        <is>
          <t>กดอนุมัติ</t>
        </is>
      </c>
      <c r="F12" s="10" t="inlineStr">
        <is>
          <t>สถานะ Approved มีบรรทัดในแผนปี ยอดใช้จ่าย = ยอดจัดสรร</t>
        </is>
      </c>
    </row>
    <row r="13" ht="46" customHeight="1">
      <c r="A13" s="12" t="inlineStr">
        <is>
          <t>B05</t>
        </is>
      </c>
      <c r="B13" s="10" t="inlineStr">
        <is>
          <t>B ตั้งงบผ่าน</t>
        </is>
      </c>
      <c r="C13" s="13" t="inlineStr">
        <is>
          <t>P1</t>
        </is>
      </c>
      <c r="D13" s="10" t="inlineStr">
        <is>
          <t>อนุมัติครุภัณฑ์</t>
        </is>
      </c>
      <c r="E13" s="10" t="inlineStr">
        <is>
          <t>ทำ B01–B04 ซ้ำด้วยแบบฟอร์มครุภัณฑ์</t>
        </is>
      </c>
      <c r="F13" s="10" t="inlineStr">
        <is>
          <t>เข้าแผนหมวดครุภัณฑ์</t>
        </is>
      </c>
    </row>
    <row r="14" ht="46" customHeight="1">
      <c r="A14" s="12" t="inlineStr">
        <is>
          <t>B06</t>
        </is>
      </c>
      <c r="B14" s="10" t="inlineStr">
        <is>
          <t>B ตั้งงบผ่าน</t>
        </is>
      </c>
      <c r="C14" s="13" t="inlineStr">
        <is>
          <t>P1</t>
        </is>
      </c>
      <c r="D14" s="10" t="inlineStr">
        <is>
          <t>อนุมัติก่อสร้าง</t>
        </is>
      </c>
      <c r="E14" s="10" t="inlineStr">
        <is>
          <t>ทำ B01–B04 ซ้ำด้วยแบบฟอร์ม ก่อสร้าง</t>
        </is>
      </c>
      <c r="F14" s="10" t="inlineStr">
        <is>
          <t>เข้าแผนหมวดก่อสร้าง</t>
        </is>
      </c>
    </row>
    <row r="15" ht="46" customHeight="1">
      <c r="A15" s="12" t="inlineStr">
        <is>
          <t>B07</t>
        </is>
      </c>
      <c r="B15" s="10" t="inlineStr">
        <is>
          <t>B ตั้งงบผ่าน</t>
        </is>
      </c>
      <c r="C15" s="13" t="inlineStr">
        <is>
          <t>P1</t>
        </is>
      </c>
      <c r="D15" s="10" t="inlineStr">
        <is>
          <t>อนุมัติโครงการ</t>
        </is>
      </c>
      <c r="E15" s="10" t="inlineStr">
        <is>
          <t>ทำ B01–B04 ซ้ำด้วยแบบฟอร์มโครงการ</t>
        </is>
      </c>
      <c r="F15" s="10" t="inlineStr">
        <is>
          <t>เข้าแผนหมวดโครงการ</t>
        </is>
      </c>
    </row>
    <row r="16" ht="46" customHeight="1">
      <c r="A16" s="12" t="inlineStr">
        <is>
          <t>B08</t>
        </is>
      </c>
      <c r="B16" s="10" t="inlineStr">
        <is>
          <t>B ตั้งงบผ่าน</t>
        </is>
      </c>
      <c r="C16" s="14" t="inlineStr">
        <is>
          <t>P2</t>
        </is>
      </c>
      <c r="D16" s="10" t="inlineStr">
        <is>
          <t>หน่วยงานแก้ใบที่อนุมัติแล้ว</t>
        </is>
      </c>
      <c r="E16" s="10" t="inlineStr">
        <is>
          <t>login หน่วยงาน เปิดใบ Approved แล้วพยายามแก้รายการ</t>
        </is>
      </c>
      <c r="F16" s="10" t="inlineStr">
        <is>
          <t>แก้รายการหลักไม่ได้</t>
        </is>
      </c>
    </row>
    <row r="17" ht="46" customHeight="1">
      <c r="A17" s="12" t="inlineStr">
        <is>
          <t>C01</t>
        </is>
      </c>
      <c r="B17" s="10" t="inlineStr">
        <is>
          <t>C กติกากันได้</t>
        </is>
      </c>
      <c r="C17" s="13" t="inlineStr">
        <is>
          <t>P1</t>
        </is>
      </c>
      <c r="D17" s="10" t="inlineStr">
        <is>
          <t>ส่งโดยไม่มีเหตุผล</t>
        </is>
      </c>
      <c r="E17" s="10" t="inlineStr">
        <is>
          <t>สร้างคำของบวัสดุ ไม่ใส่เหตุผล แล้วส่ง</t>
        </is>
      </c>
      <c r="F17" s="10" t="inlineStr">
        <is>
          <t>ส่งไม่ได้ ระบบบังคับเหตุผล</t>
        </is>
      </c>
    </row>
    <row r="18" ht="46" customHeight="1">
      <c r="A18" s="12" t="inlineStr">
        <is>
          <t>C02</t>
        </is>
      </c>
      <c r="B18" s="10" t="inlineStr">
        <is>
          <t>C กติกากันได้</t>
        </is>
      </c>
      <c r="C18" s="13" t="inlineStr">
        <is>
          <t>P1</t>
        </is>
      </c>
      <c r="D18" s="10" t="inlineStr">
        <is>
          <t>วัสดุไม่มีรายละเอียดสินค้า</t>
        </is>
      </c>
      <c r="E18" s="10" t="inlineStr">
        <is>
          <t>มีบรรทัดงบ แต่ไม่มีรายละเอียดสินค้า แล้วส่ง</t>
        </is>
      </c>
      <c r="F18" s="10" t="inlineStr">
        <is>
          <t>ส่งไม่ได้</t>
        </is>
      </c>
    </row>
    <row r="19" ht="46" customHeight="1">
      <c r="A19" s="12" t="inlineStr">
        <is>
          <t>C03</t>
        </is>
      </c>
      <c r="B19" s="10" t="inlineStr">
        <is>
          <t>C กติกากันได้</t>
        </is>
      </c>
      <c r="C19" s="13" t="inlineStr">
        <is>
          <t>P1</t>
        </is>
      </c>
      <c r="D19" s="10" t="inlineStr">
        <is>
          <t>อนุมัติทั้งที่จัดสรรว่าง</t>
        </is>
      </c>
      <c r="E19" s="10" t="inlineStr">
        <is>
          <t>งานงบพยายามอนุมัติทั้งที่ยอดจัดสรรบางบรรทัดว่าง</t>
        </is>
      </c>
      <c r="F19" s="10" t="inlineStr">
        <is>
          <t>อนุมัติไม่ได้</t>
        </is>
      </c>
    </row>
    <row r="20" ht="46" customHeight="1">
      <c r="A20" s="12" t="inlineStr">
        <is>
          <t>C04</t>
        </is>
      </c>
      <c r="B20" s="10" t="inlineStr">
        <is>
          <t>C กติกากันได้</t>
        </is>
      </c>
      <c r="C20" s="13" t="inlineStr">
        <is>
          <t>P1</t>
        </is>
      </c>
      <c r="D20" s="10" t="inlineStr">
        <is>
          <t>ตีกลับคำขอ</t>
        </is>
      </c>
      <c r="E20" s="10" t="inlineStr">
        <is>
          <t>งานงบตีกลับ</t>
        </is>
      </c>
      <c r="F20" s="10" t="inlineStr">
        <is>
          <t>สถานะ Rejected และไม่มีวงเงินเข้าแผน</t>
        </is>
      </c>
    </row>
    <row r="21" ht="46" customHeight="1">
      <c r="A21" s="12" t="inlineStr">
        <is>
          <t>C05</t>
        </is>
      </c>
      <c r="B21" s="10" t="inlineStr">
        <is>
          <t>C กติกากันได้</t>
        </is>
      </c>
      <c r="C21" s="13" t="inlineStr">
        <is>
          <t>P1</t>
        </is>
      </c>
      <c r="D21" s="10" t="inlineStr">
        <is>
          <t>แก้ใบที่ถูกตีกลับแล้วส่งใหม่</t>
        </is>
      </c>
      <c r="E21" s="10" t="inlineStr">
        <is>
          <t>ตั้งเป็นร่าง แก้ แล้วส่งใหม่</t>
        </is>
      </c>
      <c r="F21" s="10" t="inlineStr">
        <is>
          <t>ส่งได้ เข้าคิวงานงบใหม่</t>
        </is>
      </c>
    </row>
    <row r="22" ht="46" customHeight="1">
      <c r="A22" s="12" t="inlineStr">
        <is>
          <t>C06</t>
        </is>
      </c>
      <c r="B22" s="10" t="inlineStr">
        <is>
          <t>C กติกากันได้</t>
        </is>
      </c>
      <c r="C22" s="14" t="inlineStr">
        <is>
          <t>P2</t>
        </is>
      </c>
      <c r="D22" s="10" t="inlineStr">
        <is>
          <t>ดึงใบอนุมัติกลับเป็นร่าง</t>
        </is>
      </c>
      <c r="E22" s="10" t="inlineStr">
        <is>
          <t>อนุมัติแล้วตั้งกลับเป็นร่าง</t>
        </is>
      </c>
      <c r="F22" s="10" t="inlineStr">
        <is>
          <t>บรรทัดงบที่ซิงก์เข้าแผนของใบนั้นถูกลบ</t>
        </is>
      </c>
    </row>
    <row r="23" ht="46" customHeight="1">
      <c r="A23" s="12" t="inlineStr">
        <is>
          <t>D01</t>
        </is>
      </c>
      <c r="B23" s="10" t="inlineStr">
        <is>
          <t>D ใช้งบ</t>
        </is>
      </c>
      <c r="C23" s="13" t="inlineStr">
        <is>
          <t>P1</t>
        </is>
      </c>
      <c r="D23" s="10" t="inlineStr">
        <is>
          <t>เช็คงบ PR ในวงเงิน</t>
        </is>
      </c>
      <c r="E23" s="10" t="inlineStr">
        <is>
          <t>สร้าง PR วัสดุ มิติตรงแผน ยอด 3,000 แล้วกดเช็คงบ</t>
        </is>
      </c>
      <c r="F23" s="10" t="inlineStr">
        <is>
          <t>งบเพียงพอ ยังไม่กันเงิน</t>
        </is>
      </c>
    </row>
    <row r="24" ht="46" customHeight="1">
      <c r="A24" s="12" t="inlineStr">
        <is>
          <t>D02</t>
        </is>
      </c>
      <c r="B24" s="10" t="inlineStr">
        <is>
          <t>D ใช้งบ</t>
        </is>
      </c>
      <c r="C24" s="13" t="inlineStr">
        <is>
          <t>P1</t>
        </is>
      </c>
      <c r="D24" s="10" t="inlineStr">
        <is>
          <t>ส่ง PR แล้วจองงบ</t>
        </is>
      </c>
      <c r="E24" s="10" t="inlineStr">
        <is>
          <t>ส่งอนุมัติ PR จาก D01</t>
        </is>
      </c>
      <c r="F24" s="10" t="inlineStr">
        <is>
          <t>จอง 3,000 คงเหลือ = จัดสรร − 3,000</t>
        </is>
      </c>
    </row>
    <row r="25" ht="46" customHeight="1">
      <c r="A25" s="12" t="inlineStr">
        <is>
          <t>D03</t>
        </is>
      </c>
      <c r="B25" s="10" t="inlineStr">
        <is>
          <t>D ใช้งบ</t>
        </is>
      </c>
      <c r="C25" s="13" t="inlineStr">
        <is>
          <t>P1</t>
        </is>
      </c>
      <c r="D25" s="10" t="inlineStr">
        <is>
          <t>PR เกินคงเหลือ</t>
        </is>
      </c>
      <c r="E25" s="10" t="inlineStr">
        <is>
          <t>สร้าง PR ใหม่ยอดเกินคงเหลือ แล้วเช็คงบ / ส่ง</t>
        </is>
      </c>
      <c r="F25" s="10" t="inlineStr">
        <is>
          <t>งบไม่พอ และส่งอนุมัติไม่ได้</t>
        </is>
      </c>
    </row>
    <row r="26" ht="46" customHeight="1">
      <c r="A26" s="12" t="inlineStr">
        <is>
          <t>D04</t>
        </is>
      </c>
      <c r="B26" s="10" t="inlineStr">
        <is>
          <t>D ใช้งบ</t>
        </is>
      </c>
      <c r="C26" s="13" t="inlineStr">
        <is>
          <t>P1</t>
        </is>
      </c>
      <c r="D26" s="10" t="inlineStr">
        <is>
          <t>ยืนยัน PO</t>
        </is>
      </c>
      <c r="E26" s="10" t="inlineStr">
        <is>
          <t>สร้างและยืนยัน PO จาก PR ใน D01 ทั้งจำนวน</t>
        </is>
      </c>
      <c r="F26" s="10" t="inlineStr">
        <is>
          <t>ยอดย้ายจากจอง PR เป็นผูกพัน PO</t>
        </is>
      </c>
    </row>
    <row r="27" ht="46" customHeight="1">
      <c r="A27" s="12" t="inlineStr">
        <is>
          <t>D05</t>
        </is>
      </c>
      <c r="B27" s="10" t="inlineStr">
        <is>
          <t>D ใช้งบ</t>
        </is>
      </c>
      <c r="C27" s="13" t="inlineStr">
        <is>
          <t>P1</t>
        </is>
      </c>
      <c r="D27" s="10" t="inlineStr">
        <is>
          <t>โพสต์ใบตั้งเจ้าหนี้</t>
        </is>
      </c>
      <c r="E27" s="10" t="inlineStr">
        <is>
          <t>ตั้งเจ้าหนี้ตาม PO แล้วโพสต์</t>
        </is>
      </c>
      <c r="F27" s="10" t="inlineStr">
        <is>
          <t>ผูกพันลด ใช้จริงเพิ่ม ตามยอดบิล</t>
        </is>
      </c>
    </row>
    <row r="28" ht="46" customHeight="1">
      <c r="A28" s="12" t="inlineStr">
        <is>
          <t>D06</t>
        </is>
      </c>
      <c r="B28" s="10" t="inlineStr">
        <is>
          <t>D ใช้งบ</t>
        </is>
      </c>
      <c r="C28" s="13" t="inlineStr">
        <is>
          <t>P1</t>
        </is>
      </c>
      <c r="D28" s="10" t="inlineStr">
        <is>
          <t>เทียบสูตรคงเหลือ</t>
        </is>
      </c>
      <c r="E28" s="10" t="inlineStr">
        <is>
          <t>คำนวณมือ: จัดสรร − ใช้จริง − จอง PR − ผูกพัน PO เทียบหน้าจอ</t>
        </is>
      </c>
      <c r="F28" s="10" t="inlineStr">
        <is>
          <t>ตัวเลขตรงกัน</t>
        </is>
      </c>
    </row>
    <row r="29" ht="46" customHeight="1">
      <c r="A29" s="12" t="inlineStr">
        <is>
          <t>D07</t>
        </is>
      </c>
      <c r="B29" s="10" t="inlineStr">
        <is>
          <t>D ใช้งบ</t>
        </is>
      </c>
      <c r="C29" s="14" t="inlineStr">
        <is>
          <t>P2</t>
        </is>
      </c>
      <c r="D29" s="10" t="inlineStr">
        <is>
          <t>ทิ้ง PR ฉบับร่าง</t>
        </is>
      </c>
      <c r="E29" s="10" t="inlineStr">
        <is>
          <t>เช็คงบแล้วแต่ยังไม่ส่ง จากนั้นยกเลิก/ไม่ใช้</t>
        </is>
      </c>
      <c r="F29" s="10" t="inlineStr">
        <is>
          <t>ไม่กันเงิน</t>
        </is>
      </c>
    </row>
    <row r="30" ht="46" customHeight="1">
      <c r="A30" s="12" t="inlineStr">
        <is>
          <t>D08</t>
        </is>
      </c>
      <c r="B30" s="10" t="inlineStr">
        <is>
          <t>D ใช้งบ</t>
        </is>
      </c>
      <c r="C30" s="14" t="inlineStr">
        <is>
          <t>P2</t>
        </is>
      </c>
      <c r="D30" s="10" t="inlineStr">
        <is>
          <t>ยกเลิก PR ที่จองแล้ว</t>
        </is>
      </c>
      <c r="E30" s="10" t="inlineStr">
        <is>
          <t>ยกเลิก PR ที่ส่งไปแล้ว</t>
        </is>
      </c>
      <c r="F30" s="10" t="inlineStr">
        <is>
          <t>คืนวงเงินที่จอง</t>
        </is>
      </c>
    </row>
    <row r="31" ht="46" customHeight="1">
      <c r="A31" s="12" t="inlineStr">
        <is>
          <t>E01</t>
        </is>
      </c>
      <c r="B31" s="10" t="inlineStr">
        <is>
          <t>E จับคู่มิติ</t>
        </is>
      </c>
      <c r="C31" s="13" t="inlineStr">
        <is>
          <t>P1</t>
        </is>
      </c>
      <c r="D31" s="10" t="inlineStr">
        <is>
          <t>PR หน่วยงานไม่ตรงแผน</t>
        </is>
      </c>
      <c r="E31" s="10" t="inlineStr">
        <is>
          <t>เลือกหน่วยงานคนละแผนกกับงบที่อนุมัติ แล้วเช็คงบ</t>
        </is>
      </c>
      <c r="F31" s="10" t="inlineStr">
        <is>
          <t>ไม่เจอวงเงิน หรืองบไม่พอ</t>
        </is>
      </c>
    </row>
    <row r="32" ht="46" customHeight="1">
      <c r="A32" s="12" t="inlineStr">
        <is>
          <t>E02</t>
        </is>
      </c>
      <c r="B32" s="10" t="inlineStr">
        <is>
          <t>E จับคู่มิติ</t>
        </is>
      </c>
      <c r="C32" s="13" t="inlineStr">
        <is>
          <t>P1</t>
        </is>
      </c>
      <c r="D32" s="10" t="inlineStr">
        <is>
          <t>PR แหล่งเงินไม่ตรงแผน</t>
        </is>
      </c>
      <c r="E32" s="10" t="inlineStr">
        <is>
          <t>เลือกแหล่งเงินคนละแหล่ง แล้วเช็คงบ</t>
        </is>
      </c>
      <c r="F32" s="10" t="inlineStr">
        <is>
          <t>ไม่เจอวงเงิน หรืองบไม่พอ</t>
        </is>
      </c>
    </row>
    <row r="33" ht="46" customHeight="1">
      <c r="A33" s="12" t="inlineStr">
        <is>
          <t>E03</t>
        </is>
      </c>
      <c r="B33" s="10" t="inlineStr">
        <is>
          <t>E จับคู่มิติ</t>
        </is>
      </c>
      <c r="C33" s="13" t="inlineStr">
        <is>
          <t>P1</t>
        </is>
      </c>
      <c r="D33" s="10" t="inlineStr">
        <is>
          <t>PR วัสดุไม่เลือกกลุ่มวัสดุ</t>
        </is>
      </c>
      <c r="E33" s="10" t="inlineStr">
        <is>
          <t>สร้าง PR วัสดุเว้นกลุ่มวัสดุ</t>
        </is>
      </c>
      <c r="F33" s="10" t="inlineStr">
        <is>
          <t>บังคับกรอก หรือจับคู่ไม่เจอ</t>
        </is>
      </c>
    </row>
    <row r="34" ht="46" customHeight="1">
      <c r="A34" s="12" t="inlineStr">
        <is>
          <t>E04</t>
        </is>
      </c>
      <c r="B34" s="10" t="inlineStr">
        <is>
          <t>E จับคู่มิติ</t>
        </is>
      </c>
      <c r="C34" s="14" t="inlineStr">
        <is>
          <t>P2</t>
        </is>
      </c>
      <c r="D34" s="10" t="inlineStr">
        <is>
          <t>PR ครุภัณฑ์ไม่ต้องมีกลุ่มวัสดุ</t>
        </is>
      </c>
      <c r="E34" s="10" t="inlineStr">
        <is>
          <t>สร้าง PR ครุภัณฑ์ ไม่ใส่กลุ่มวัสดุ แล้วเช็คงบ</t>
        </is>
      </c>
      <c r="F34" s="10" t="inlineStr">
        <is>
          <t>เช็คงบได้</t>
        </is>
      </c>
    </row>
    <row r="35" ht="46" customHeight="1">
      <c r="A35" s="12" t="inlineStr">
        <is>
          <t>E05</t>
        </is>
      </c>
      <c r="B35" s="10" t="inlineStr">
        <is>
          <t>E จับคู่มิติ</t>
        </is>
      </c>
      <c r="C35" s="14" t="inlineStr">
        <is>
          <t>P2</t>
        </is>
      </c>
      <c r="D35" s="10" t="inlineStr">
        <is>
          <t>ห้ามใช้งบข้ามแหล่งเงิน</t>
        </is>
      </c>
      <c r="E35" s="10" t="inlineStr">
        <is>
          <t>มีงบเหลือแหล่ง B แต่ซื้อด้วยแหล่ง A</t>
        </is>
      </c>
      <c r="F35" s="10" t="inlineStr">
        <is>
          <t>ใช้เงิน B ไม่ได้</t>
        </is>
      </c>
    </row>
    <row r="36" ht="46" customHeight="1">
      <c r="A36" s="12" t="inlineStr">
        <is>
          <t>E06</t>
        </is>
      </c>
      <c r="B36" s="10" t="inlineStr">
        <is>
          <t>E จับคู่มิติ</t>
        </is>
      </c>
      <c r="C36" s="14" t="inlineStr">
        <is>
          <t>P2</t>
        </is>
      </c>
      <c r="D36" s="10" t="inlineStr">
        <is>
          <t>PO บางส่วนของ PR</t>
        </is>
      </c>
      <c r="E36" s="10" t="inlineStr">
        <is>
          <t>ยืนยัน PO น้อยกว่ายอด PR</t>
        </is>
      </c>
      <c r="F36" s="10" t="inlineStr">
        <is>
          <t>จอง PR ลดเฉพาะส่วนที่ PO ครอบคลุม</t>
        </is>
      </c>
    </row>
    <row r="37" ht="46" customHeight="1">
      <c r="A37" s="12" t="inlineStr">
        <is>
          <t>F01</t>
        </is>
      </c>
      <c r="B37" s="10" t="inlineStr">
        <is>
          <t>F สรุปผล</t>
        </is>
      </c>
      <c r="C37" s="13" t="inlineStr">
        <is>
          <t>P1</t>
        </is>
      </c>
      <c r="D37" s="10" t="inlineStr">
        <is>
          <t>Dashboard รายปี</t>
        </is>
      </c>
      <c r="E37" s="10" t="inlineStr">
        <is>
          <t>เปิดภาพรวมรายจ่ายประจำปี</t>
        </is>
      </c>
      <c r="F37" s="10" t="inlineStr">
        <is>
          <t>เห็นจัดสรร ใช้จริง คงเหลือ ของปีที่ทดสอบ</t>
        </is>
      </c>
    </row>
    <row r="38" ht="46" customHeight="1">
      <c r="A38" s="12" t="inlineStr">
        <is>
          <t>F02</t>
        </is>
      </c>
      <c r="B38" s="10" t="inlineStr">
        <is>
          <t>F สรุปผล</t>
        </is>
      </c>
      <c r="C38" s="14" t="inlineStr">
        <is>
          <t>P2</t>
        </is>
      </c>
      <c r="D38" s="10" t="inlineStr">
        <is>
          <t>Dashboard รายแผนก</t>
        </is>
      </c>
      <c r="E38" s="10" t="inlineStr">
        <is>
          <t>เปิดรายแผนกของหน่วยงานที่ทดสอบ</t>
        </is>
      </c>
      <c r="F38" s="10" t="inlineStr">
        <is>
          <t>ยอดสอดคล้องชุด D</t>
        </is>
      </c>
    </row>
    <row r="39" ht="46" customHeight="1">
      <c r="A39" s="12" t="inlineStr">
        <is>
          <t>F03</t>
        </is>
      </c>
      <c r="B39" s="10" t="inlineStr">
        <is>
          <t>F สรุปผล</t>
        </is>
      </c>
      <c r="C39" s="14" t="inlineStr">
        <is>
          <t>P2</t>
        </is>
      </c>
      <c r="D39" s="10" t="inlineStr">
        <is>
          <t>สรุปคำของบแยกแบบฟอร์ม</t>
        </is>
      </c>
      <c r="E39" s="10" t="inlineStr">
        <is>
          <t>เปิดวิซาร์ดสรุป เลือกแบบฟอร์มวัสดุ</t>
        </is>
      </c>
      <c r="F39" s="10" t="inlineStr">
        <is>
          <t>รวมเฉพาะใบวัสดุ</t>
        </is>
      </c>
    </row>
    <row r="40" ht="46" customHeight="1">
      <c r="A40" s="12" t="inlineStr">
        <is>
          <t>F04</t>
        </is>
      </c>
      <c r="B40" s="10" t="inlineStr">
        <is>
          <t>F สรุปผล</t>
        </is>
      </c>
      <c r="C40" s="14" t="inlineStr">
        <is>
          <t>P2</t>
        </is>
      </c>
      <c r="D40" s="10" t="inlineStr">
        <is>
          <t>ส่งออกรายงานวัสดุ</t>
        </is>
      </c>
      <c r="E40" s="10" t="inlineStr">
        <is>
          <t>พิมพ์หรือส่งออกถ้าใช้ในรอบนี้</t>
        </is>
      </c>
      <c r="F40" s="10" t="inlineStr">
        <is>
          <t>เปิดได้ ยอดรวมตรง</t>
        </is>
      </c>
    </row>
  </sheetData>
  <autoFilter ref="A1:J40"/>
  <conditionalFormatting sqref="G2:G80">
    <cfRule type="cellIs" priority="1" operator="equal" dxfId="0">
      <formula>"ผ่าน"</formula>
    </cfRule>
    <cfRule type="cellIs" priority="2" operator="equal" dxfId="1">
      <formula>"ไม่ผ่าน"</formula>
    </cfRule>
    <cfRule type="cellIs" priority="3" operator="equal" dxfId="2">
      <formula>"ข้าม"</formula>
    </cfRule>
  </conditionalFormatting>
  <dataValidations count="1">
    <dataValidation sqref="G2:G80" showErrorMessage="1" showInputMessage="1" allowBlank="1" errorTitle="ผลทดสอบ" error="เลือก ผ่าน / ไม่ผ่าน / ข้าม" type="list">
      <formula1>"ผ่าน,ไม่ผ่าน,ข้าม"</formula1>
    </dataValidation>
  </dataValidations>
  <pageMargins left="0.75" right="0.75" top="1" bottom="1" header="0.5" footer="0.5"/>
  <pageSetup orientation="landscape" paperSize="9" fitToHeight="0" fitToWidth="1"/>
  <headerFooter>
    <oddHeader>&amp;Lโรงพยาบาลวชิระภูเก็ต · UAT งบประมาณ</oddHeader>
    <oddFooter>&amp;Lเอกสารภายใน สำหรับทดสอบระบบ&amp;Rหน้า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32" customWidth="1" min="5" max="5"/>
    <col width="26" customWidth="1" min="6" max="6"/>
    <col width="26" customWidth="1" min="7" max="7"/>
    <col width="14" customWidth="1" min="8" max="8"/>
    <col width="14" customWidth="1" min="9" max="9"/>
    <col width="18" customWidth="1" min="10" max="10"/>
  </cols>
  <sheetData>
    <row r="1" ht="28" customHeight="1">
      <c r="A1" s="15" t="inlineStr">
        <is>
          <t>รหัสบั๊ก</t>
        </is>
      </c>
      <c r="B1" s="15" t="inlineStr">
        <is>
          <t>เคสที่พบ</t>
        </is>
      </c>
      <c r="C1" s="15" t="inlineStr">
        <is>
          <t>ระดับ</t>
        </is>
      </c>
      <c r="D1" s="15" t="inlineStr">
        <is>
          <t>สรุปปัญหา</t>
        </is>
      </c>
      <c r="E1" s="15" t="inlineStr">
        <is>
          <t>ขั้นตอนที่เกิด</t>
        </is>
      </c>
      <c r="F1" s="15" t="inlineStr">
        <is>
          <t>ผลที่คาด</t>
        </is>
      </c>
      <c r="G1" s="15" t="inlineStr">
        <is>
          <t>ผลที่เกิดจริง</t>
        </is>
      </c>
      <c r="H1" s="15" t="inlineStr">
        <is>
          <t>ผู้พบ</t>
        </is>
      </c>
      <c r="I1" s="15" t="inlineStr">
        <is>
          <t>วันที่</t>
        </is>
      </c>
      <c r="J1" s="15" t="inlineStr">
        <is>
          <t>สถานะแก้</t>
        </is>
      </c>
    </row>
    <row r="2">
      <c r="A2" s="12" t="inlineStr">
        <is>
          <t>BUG-01</t>
        </is>
      </c>
      <c r="B2" s="10" t="inlineStr"/>
      <c r="C2" s="12" t="inlineStr"/>
      <c r="D2" s="10" t="inlineStr"/>
      <c r="E2" s="10" t="inlineStr"/>
      <c r="F2" s="10" t="inlineStr"/>
      <c r="G2" s="10" t="inlineStr"/>
      <c r="H2" s="10" t="inlineStr"/>
      <c r="I2" s="12" t="inlineStr"/>
      <c r="J2" s="12" t="inlineStr"/>
    </row>
    <row r="3">
      <c r="A3" s="12" t="inlineStr">
        <is>
          <t>BUG-02</t>
        </is>
      </c>
      <c r="B3" s="10" t="inlineStr"/>
      <c r="C3" s="12" t="inlineStr"/>
      <c r="D3" s="10" t="inlineStr"/>
      <c r="E3" s="10" t="inlineStr"/>
      <c r="F3" s="10" t="inlineStr"/>
      <c r="G3" s="10" t="inlineStr"/>
      <c r="H3" s="10" t="inlineStr"/>
      <c r="I3" s="12" t="inlineStr"/>
      <c r="J3" s="12" t="inlineStr"/>
    </row>
    <row r="4">
      <c r="A4" s="12" t="inlineStr">
        <is>
          <t>BUG-03</t>
        </is>
      </c>
      <c r="B4" s="10" t="inlineStr"/>
      <c r="C4" s="12" t="inlineStr"/>
      <c r="D4" s="10" t="inlineStr"/>
      <c r="E4" s="10" t="inlineStr"/>
      <c r="F4" s="10" t="inlineStr"/>
      <c r="G4" s="10" t="inlineStr"/>
      <c r="H4" s="10" t="inlineStr"/>
      <c r="I4" s="12" t="inlineStr"/>
      <c r="J4" s="12" t="inlineStr"/>
    </row>
    <row r="5">
      <c r="A5" s="12" t="inlineStr">
        <is>
          <t>BUG-04</t>
        </is>
      </c>
      <c r="B5" s="10" t="inlineStr"/>
      <c r="C5" s="12" t="inlineStr"/>
      <c r="D5" s="10" t="inlineStr"/>
      <c r="E5" s="10" t="inlineStr"/>
      <c r="F5" s="10" t="inlineStr"/>
      <c r="G5" s="10" t="inlineStr"/>
      <c r="H5" s="10" t="inlineStr"/>
      <c r="I5" s="12" t="inlineStr"/>
      <c r="J5" s="12" t="inlineStr"/>
    </row>
    <row r="6">
      <c r="A6" s="12" t="inlineStr">
        <is>
          <t>BUG-05</t>
        </is>
      </c>
      <c r="B6" s="10" t="inlineStr"/>
      <c r="C6" s="12" t="inlineStr"/>
      <c r="D6" s="10" t="inlineStr"/>
      <c r="E6" s="10" t="inlineStr"/>
      <c r="F6" s="10" t="inlineStr"/>
      <c r="G6" s="10" t="inlineStr"/>
      <c r="H6" s="10" t="inlineStr"/>
      <c r="I6" s="12" t="inlineStr"/>
      <c r="J6" s="12" t="inlineStr"/>
    </row>
    <row r="7">
      <c r="A7" s="12" t="inlineStr">
        <is>
          <t>BUG-06</t>
        </is>
      </c>
      <c r="B7" s="10" t="inlineStr"/>
      <c r="C7" s="12" t="inlineStr"/>
      <c r="D7" s="10" t="inlineStr"/>
      <c r="E7" s="10" t="inlineStr"/>
      <c r="F7" s="10" t="inlineStr"/>
      <c r="G7" s="10" t="inlineStr"/>
      <c r="H7" s="10" t="inlineStr"/>
      <c r="I7" s="12" t="inlineStr"/>
      <c r="J7" s="12" t="inlineStr"/>
    </row>
    <row r="8">
      <c r="A8" s="12" t="inlineStr">
        <is>
          <t>BUG-07</t>
        </is>
      </c>
      <c r="B8" s="10" t="inlineStr"/>
      <c r="C8" s="12" t="inlineStr"/>
      <c r="D8" s="10" t="inlineStr"/>
      <c r="E8" s="10" t="inlineStr"/>
      <c r="F8" s="10" t="inlineStr"/>
      <c r="G8" s="10" t="inlineStr"/>
      <c r="H8" s="10" t="inlineStr"/>
      <c r="I8" s="12" t="inlineStr"/>
      <c r="J8" s="12" t="inlineStr"/>
    </row>
    <row r="9">
      <c r="A9" s="12" t="inlineStr">
        <is>
          <t>BUG-08</t>
        </is>
      </c>
      <c r="B9" s="10" t="inlineStr"/>
      <c r="C9" s="12" t="inlineStr"/>
      <c r="D9" s="10" t="inlineStr"/>
      <c r="E9" s="10" t="inlineStr"/>
      <c r="F9" s="10" t="inlineStr"/>
      <c r="G9" s="10" t="inlineStr"/>
      <c r="H9" s="10" t="inlineStr"/>
      <c r="I9" s="12" t="inlineStr"/>
      <c r="J9" s="12" t="inlineStr"/>
    </row>
    <row r="10">
      <c r="A10" s="12" t="inlineStr">
        <is>
          <t>BUG-09</t>
        </is>
      </c>
      <c r="B10" s="10" t="inlineStr"/>
      <c r="C10" s="12" t="inlineStr"/>
      <c r="D10" s="10" t="inlineStr"/>
      <c r="E10" s="10" t="inlineStr"/>
      <c r="F10" s="10" t="inlineStr"/>
      <c r="G10" s="10" t="inlineStr"/>
      <c r="H10" s="10" t="inlineStr"/>
      <c r="I10" s="12" t="inlineStr"/>
      <c r="J10" s="12" t="inlineStr"/>
    </row>
    <row r="11">
      <c r="A11" s="12" t="inlineStr">
        <is>
          <t>BUG-10</t>
        </is>
      </c>
      <c r="B11" s="10" t="inlineStr"/>
      <c r="C11" s="12" t="inlineStr"/>
      <c r="D11" s="10" t="inlineStr"/>
      <c r="E11" s="10" t="inlineStr"/>
      <c r="F11" s="10" t="inlineStr"/>
      <c r="G11" s="10" t="inlineStr"/>
      <c r="H11" s="10" t="inlineStr"/>
      <c r="I11" s="12" t="inlineStr"/>
      <c r="J11" s="12" t="inlineStr"/>
    </row>
    <row r="12">
      <c r="A12" s="12" t="inlineStr">
        <is>
          <t>BUG-11</t>
        </is>
      </c>
      <c r="B12" s="10" t="inlineStr"/>
      <c r="C12" s="12" t="inlineStr"/>
      <c r="D12" s="10" t="inlineStr"/>
      <c r="E12" s="10" t="inlineStr"/>
      <c r="F12" s="10" t="inlineStr"/>
      <c r="G12" s="10" t="inlineStr"/>
      <c r="H12" s="10" t="inlineStr"/>
      <c r="I12" s="12" t="inlineStr"/>
      <c r="J12" s="12" t="inlineStr"/>
    </row>
    <row r="13">
      <c r="A13" s="12" t="inlineStr">
        <is>
          <t>BUG-12</t>
        </is>
      </c>
      <c r="B13" s="10" t="inlineStr"/>
      <c r="C13" s="12" t="inlineStr"/>
      <c r="D13" s="10" t="inlineStr"/>
      <c r="E13" s="10" t="inlineStr"/>
      <c r="F13" s="10" t="inlineStr"/>
      <c r="G13" s="10" t="inlineStr"/>
      <c r="H13" s="10" t="inlineStr"/>
      <c r="I13" s="12" t="inlineStr"/>
      <c r="J13" s="12" t="inlineStr"/>
    </row>
    <row r="14">
      <c r="A14" s="12" t="inlineStr">
        <is>
          <t>BUG-13</t>
        </is>
      </c>
      <c r="B14" s="10" t="inlineStr"/>
      <c r="C14" s="12" t="inlineStr"/>
      <c r="D14" s="10" t="inlineStr"/>
      <c r="E14" s="10" t="inlineStr"/>
      <c r="F14" s="10" t="inlineStr"/>
      <c r="G14" s="10" t="inlineStr"/>
      <c r="H14" s="10" t="inlineStr"/>
      <c r="I14" s="12" t="inlineStr"/>
      <c r="J14" s="12" t="inlineStr"/>
    </row>
    <row r="15">
      <c r="A15" s="12" t="inlineStr">
        <is>
          <t>BUG-14</t>
        </is>
      </c>
      <c r="B15" s="10" t="inlineStr"/>
      <c r="C15" s="12" t="inlineStr"/>
      <c r="D15" s="10" t="inlineStr"/>
      <c r="E15" s="10" t="inlineStr"/>
      <c r="F15" s="10" t="inlineStr"/>
      <c r="G15" s="10" t="inlineStr"/>
      <c r="H15" s="10" t="inlineStr"/>
      <c r="I15" s="12" t="inlineStr"/>
      <c r="J15" s="12" t="inlineStr"/>
    </row>
    <row r="16">
      <c r="A16" s="12" t="inlineStr">
        <is>
          <t>BUG-15</t>
        </is>
      </c>
      <c r="B16" s="10" t="inlineStr"/>
      <c r="C16" s="12" t="inlineStr"/>
      <c r="D16" s="10" t="inlineStr"/>
      <c r="E16" s="10" t="inlineStr"/>
      <c r="F16" s="10" t="inlineStr"/>
      <c r="G16" s="10" t="inlineStr"/>
      <c r="H16" s="10" t="inlineStr"/>
      <c r="I16" s="12" t="inlineStr"/>
      <c r="J16" s="12" t="inlineStr"/>
    </row>
    <row r="17">
      <c r="A17" s="12" t="inlineStr">
        <is>
          <t>BUG-16</t>
        </is>
      </c>
      <c r="B17" s="10" t="inlineStr"/>
      <c r="C17" s="12" t="inlineStr"/>
      <c r="D17" s="10" t="inlineStr"/>
      <c r="E17" s="10" t="inlineStr"/>
      <c r="F17" s="10" t="inlineStr"/>
      <c r="G17" s="10" t="inlineStr"/>
      <c r="H17" s="10" t="inlineStr"/>
      <c r="I17" s="12" t="inlineStr"/>
      <c r="J17" s="12" t="inlineStr"/>
    </row>
    <row r="18">
      <c r="A18" s="12" t="inlineStr">
        <is>
          <t>BUG-17</t>
        </is>
      </c>
      <c r="B18" s="10" t="inlineStr"/>
      <c r="C18" s="12" t="inlineStr"/>
      <c r="D18" s="10" t="inlineStr"/>
      <c r="E18" s="10" t="inlineStr"/>
      <c r="F18" s="10" t="inlineStr"/>
      <c r="G18" s="10" t="inlineStr"/>
      <c r="H18" s="10" t="inlineStr"/>
      <c r="I18" s="12" t="inlineStr"/>
      <c r="J18" s="12" t="inlineStr"/>
    </row>
    <row r="19">
      <c r="A19" s="12" t="inlineStr">
        <is>
          <t>BUG-18</t>
        </is>
      </c>
      <c r="B19" s="10" t="inlineStr"/>
      <c r="C19" s="12" t="inlineStr"/>
      <c r="D19" s="10" t="inlineStr"/>
      <c r="E19" s="10" t="inlineStr"/>
      <c r="F19" s="10" t="inlineStr"/>
      <c r="G19" s="10" t="inlineStr"/>
      <c r="H19" s="10" t="inlineStr"/>
      <c r="I19" s="12" t="inlineStr"/>
      <c r="J19" s="12" t="inlineStr"/>
    </row>
    <row r="20">
      <c r="A20" s="12" t="inlineStr">
        <is>
          <t>BUG-19</t>
        </is>
      </c>
      <c r="B20" s="10" t="inlineStr"/>
      <c r="C20" s="12" t="inlineStr"/>
      <c r="D20" s="10" t="inlineStr"/>
      <c r="E20" s="10" t="inlineStr"/>
      <c r="F20" s="10" t="inlineStr"/>
      <c r="G20" s="10" t="inlineStr"/>
      <c r="H20" s="10" t="inlineStr"/>
      <c r="I20" s="12" t="inlineStr"/>
      <c r="J20" s="12" t="inlineStr"/>
    </row>
  </sheetData>
  <dataValidations count="2">
    <dataValidation sqref="C2:C20" showErrorMessage="1" showInputMessage="1" allowBlank="1" type="list">
      <formula1>"Blocker,Major,Minor,Cosmetic"</formula1>
    </dataValidation>
    <dataValidation sqref="J2:J20" showErrorMessage="1" showInputMessage="1" allowBlank="1" type="list">
      <formula1>"เปิด,กำลังแก้,แก้แล้วรอทดสอบซ้ำ,ปิด"</formula1>
    </dataValidation>
  </dataValidations>
  <pageMargins left="0.75" right="0.75" top="1" bottom="1" header="0.5" footer="0.5"/>
  <pageSetup orientation="landscape" paperSize="9" fitToHeight="1" fitToWidth="1"/>
  <headerFooter>
    <oddHeader>&amp;Lโรงพยาบาลวชิระภูเก็ต · UAT งบประมาณ</oddHeader>
    <oddFooter>&amp;Lเอกสารภายใน สำหรับทดสอบระบบ&amp;Rหน้า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H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2">
      <c r="B2" s="16" t="inlineStr">
        <is>
          <t>สรุปผลการทดสอบระบบงบประมาณ</t>
        </is>
      </c>
    </row>
    <row r="4" ht="28" customHeight="1">
      <c r="A4" s="7" t="inlineStr"/>
      <c r="B4" s="7" t="inlineStr">
        <is>
          <t>ชุด</t>
        </is>
      </c>
      <c r="C4" s="7" t="inlineStr">
        <is>
          <t>ทั้งหมด</t>
        </is>
      </c>
      <c r="D4" s="7" t="inlineStr">
        <is>
          <t>ผ่าน</t>
        </is>
      </c>
      <c r="E4" s="7" t="inlineStr">
        <is>
          <t>ไม่ผ่าน</t>
        </is>
      </c>
      <c r="F4" s="7" t="inlineStr">
        <is>
          <t>ข้าม</t>
        </is>
      </c>
      <c r="G4" s="7" t="inlineStr">
        <is>
          <t>ยังไม่ทำ</t>
        </is>
      </c>
      <c r="H4" s="7" t="inlineStr">
        <is>
          <t>% ผ่าน P1</t>
        </is>
      </c>
    </row>
    <row r="5">
      <c r="A5" s="8" t="n">
        <v>1</v>
      </c>
      <c r="B5" s="9" t="inlineStr">
        <is>
          <t>A ข้อมูลหลัก</t>
        </is>
      </c>
      <c r="C5" s="12">
        <f>COUNTIF('บันทึกผลเคส'!A:A,"A*")</f>
        <v/>
      </c>
      <c r="D5" s="12">
        <f>COUNTIFS('บันทึกผลเคส'!A:A,"A*",'บันทึกผลเคส'!G:G,"ผ่าน")</f>
        <v/>
      </c>
      <c r="E5" s="12">
        <f>COUNTIFS('บันทึกผลเคส'!A:A,"A*",'บันทึกผลเคส'!G:G,"ไม่ผ่าน")</f>
        <v/>
      </c>
      <c r="F5" s="12">
        <f>COUNTIFS('บันทึกผลเคส'!A:A,"A*",'บันทึกผลเคส'!G:G,"ข้าม")</f>
        <v/>
      </c>
      <c r="G5" s="12">
        <f>C5-D5-E5-F5</f>
        <v/>
      </c>
      <c r="H5" s="17">
        <f>IFERROR(COUNTIFS('บันทึกผลเคส'!A:A,"A*",'บันทึกผลเคส'!C:C,"P1",'บันทึกผลเคส'!G:G,"ผ่าน")/COUNTIFS('บันทึกผลเคส'!A:A,"A*",'บันทึกผลเคส'!C:C,"P1"),0)</f>
        <v/>
      </c>
    </row>
    <row r="6">
      <c r="A6" s="8" t="n">
        <v>2</v>
      </c>
      <c r="B6" s="9" t="inlineStr">
        <is>
          <t>B ตั้งงบผ่าน</t>
        </is>
      </c>
      <c r="C6" s="12">
        <f>COUNTIF('บันทึกผลเคส'!A:A,"B*")</f>
        <v/>
      </c>
      <c r="D6" s="12">
        <f>COUNTIFS('บันทึกผลเคส'!A:A,"B*",'บันทึกผลเคส'!G:G,"ผ่าน")</f>
        <v/>
      </c>
      <c r="E6" s="12">
        <f>COUNTIFS('บันทึกผลเคส'!A:A,"B*",'บันทึกผลเคส'!G:G,"ไม่ผ่าน")</f>
        <v/>
      </c>
      <c r="F6" s="12">
        <f>COUNTIFS('บันทึกผลเคส'!A:A,"B*",'บันทึกผลเคส'!G:G,"ข้าม")</f>
        <v/>
      </c>
      <c r="G6" s="12">
        <f>C6-D6-E6-F6</f>
        <v/>
      </c>
      <c r="H6" s="17">
        <f>IFERROR(COUNTIFS('บันทึกผลเคส'!A:A,"B*",'บันทึกผลเคส'!C:C,"P1",'บันทึกผลเคส'!G:G,"ผ่าน")/COUNTIFS('บันทึกผลเคส'!A:A,"B*",'บันทึกผลเคส'!C:C,"P1"),0)</f>
        <v/>
      </c>
    </row>
    <row r="7">
      <c r="A7" s="8" t="n">
        <v>3</v>
      </c>
      <c r="B7" s="9" t="inlineStr">
        <is>
          <t>C กติกากันได้</t>
        </is>
      </c>
      <c r="C7" s="12">
        <f>COUNTIF('บันทึกผลเคส'!A:A,"C*")</f>
        <v/>
      </c>
      <c r="D7" s="12">
        <f>COUNTIFS('บันทึกผลเคส'!A:A,"C*",'บันทึกผลเคส'!G:G,"ผ่าน")</f>
        <v/>
      </c>
      <c r="E7" s="12">
        <f>COUNTIFS('บันทึกผลเคส'!A:A,"C*",'บันทึกผลเคส'!G:G,"ไม่ผ่าน")</f>
        <v/>
      </c>
      <c r="F7" s="12">
        <f>COUNTIFS('บันทึกผลเคส'!A:A,"C*",'บันทึกผลเคส'!G:G,"ข้าม")</f>
        <v/>
      </c>
      <c r="G7" s="12">
        <f>C7-D7-E7-F7</f>
        <v/>
      </c>
      <c r="H7" s="17">
        <f>IFERROR(COUNTIFS('บันทึกผลเคส'!A:A,"C*",'บันทึกผลเคส'!C:C,"P1",'บันทึกผลเคส'!G:G,"ผ่าน")/COUNTIFS('บันทึกผลเคส'!A:A,"C*",'บันทึกผลเคส'!C:C,"P1"),0)</f>
        <v/>
      </c>
    </row>
    <row r="8">
      <c r="A8" s="8" t="n">
        <v>4</v>
      </c>
      <c r="B8" s="9" t="inlineStr">
        <is>
          <t>D ใช้งบ</t>
        </is>
      </c>
      <c r="C8" s="12">
        <f>COUNTIF('บันทึกผลเคส'!A:A,"D*")</f>
        <v/>
      </c>
      <c r="D8" s="12">
        <f>COUNTIFS('บันทึกผลเคส'!A:A,"D*",'บันทึกผลเคส'!G:G,"ผ่าน")</f>
        <v/>
      </c>
      <c r="E8" s="12">
        <f>COUNTIFS('บันทึกผลเคส'!A:A,"D*",'บันทึกผลเคส'!G:G,"ไม่ผ่าน")</f>
        <v/>
      </c>
      <c r="F8" s="12">
        <f>COUNTIFS('บันทึกผลเคส'!A:A,"D*",'บันทึกผลเคส'!G:G,"ข้าม")</f>
        <v/>
      </c>
      <c r="G8" s="12">
        <f>C8-D8-E8-F8</f>
        <v/>
      </c>
      <c r="H8" s="17">
        <f>IFERROR(COUNTIFS('บันทึกผลเคส'!A:A,"D*",'บันทึกผลเคส'!C:C,"P1",'บันทึกผลเคส'!G:G,"ผ่าน")/COUNTIFS('บันทึกผลเคส'!A:A,"D*",'บันทึกผลเคส'!C:C,"P1"),0)</f>
        <v/>
      </c>
    </row>
    <row r="9">
      <c r="A9" s="8" t="n">
        <v>5</v>
      </c>
      <c r="B9" s="9" t="inlineStr">
        <is>
          <t>E จับคู่มิติ</t>
        </is>
      </c>
      <c r="C9" s="12">
        <f>COUNTIF('บันทึกผลเคส'!A:A,"E*")</f>
        <v/>
      </c>
      <c r="D9" s="12">
        <f>COUNTIFS('บันทึกผลเคส'!A:A,"E*",'บันทึกผลเคส'!G:G,"ผ่าน")</f>
        <v/>
      </c>
      <c r="E9" s="12">
        <f>COUNTIFS('บันทึกผลเคส'!A:A,"E*",'บันทึกผลเคส'!G:G,"ไม่ผ่าน")</f>
        <v/>
      </c>
      <c r="F9" s="12">
        <f>COUNTIFS('บันทึกผลเคส'!A:A,"E*",'บันทึกผลเคส'!G:G,"ข้าม")</f>
        <v/>
      </c>
      <c r="G9" s="12">
        <f>C9-D9-E9-F9</f>
        <v/>
      </c>
      <c r="H9" s="17">
        <f>IFERROR(COUNTIFS('บันทึกผลเคส'!A:A,"E*",'บันทึกผลเคส'!C:C,"P1",'บันทึกผลเคส'!G:G,"ผ่าน")/COUNTIFS('บันทึกผลเคส'!A:A,"E*",'บันทึกผลเคส'!C:C,"P1"),0)</f>
        <v/>
      </c>
    </row>
    <row r="10">
      <c r="A10" s="8" t="n">
        <v>6</v>
      </c>
      <c r="B10" s="9" t="inlineStr">
        <is>
          <t>F สรุปผล</t>
        </is>
      </c>
      <c r="C10" s="12">
        <f>COUNTIF('บันทึกผลเคส'!A:A,"F*")</f>
        <v/>
      </c>
      <c r="D10" s="12">
        <f>COUNTIFS('บันทึกผลเคส'!A:A,"F*",'บันทึกผลเคส'!G:G,"ผ่าน")</f>
        <v/>
      </c>
      <c r="E10" s="12">
        <f>COUNTIFS('บันทึกผลเคส'!A:A,"F*",'บันทึกผลเคส'!G:G,"ไม่ผ่าน")</f>
        <v/>
      </c>
      <c r="F10" s="12">
        <f>COUNTIFS('บันทึกผลเคส'!A:A,"F*",'บันทึกผลเคส'!G:G,"ข้าม")</f>
        <v/>
      </c>
      <c r="G10" s="12">
        <f>C10-D10-E10-F10</f>
        <v/>
      </c>
      <c r="H10" s="17">
        <f>IFERROR(COUNTIFS('บันทึกผลเคส'!A:A,"F*",'บันทึกผลเคส'!C:C,"P1",'บันทึกผลเคส'!G:G,"ผ่าน")/COUNTIFS('บันทึกผลเคส'!A:A,"F*",'บันทึกผลเคส'!C:C,"P1"),0)</f>
        <v/>
      </c>
    </row>
    <row r="12">
      <c r="B12" s="18" t="inlineStr">
        <is>
          <t>รวมทุกชุด</t>
        </is>
      </c>
      <c r="C12" s="19">
        <f>SUM(C5:C10)</f>
        <v/>
      </c>
      <c r="D12" s="19">
        <f>SUM(D5:D10)</f>
        <v/>
      </c>
      <c r="E12" s="19">
        <f>SUM(E5:E10)</f>
        <v/>
      </c>
      <c r="F12" s="19">
        <f>SUM(F5:F10)</f>
        <v/>
      </c>
      <c r="G12" s="19">
        <f>SUM(G5:G10)</f>
        <v/>
      </c>
      <c r="H12" s="20">
        <f>IFERROR(COUNTIFS('บันทึกผลเคส'!C:C,"P1",'บันทึกผลเคส'!G:G,"ผ่าน")/COUNTIF('บันทึกผลเคส'!C:C,"P1"),0)</f>
        <v/>
      </c>
    </row>
    <row r="15">
      <c r="B15" s="21" t="inlineStr">
        <is>
          <t>ตัดสินใจ:  ผ่าน UAT และไป Go-Live ได้   /   ผ่านแบบมีเงื่อนไข   /   ต้องทดสอบซ้ำ
เงื่อนไขที่ค้าง: .................................................................
ลงนามผู้ประสาน: ....................................     วันที่: ................</t>
        </is>
      </c>
    </row>
    <row r="16"/>
    <row r="17"/>
    <row r="18"/>
  </sheetData>
  <mergeCells count="2">
    <mergeCell ref="B2:H2"/>
    <mergeCell ref="B15:H18"/>
  </mergeCells>
  <pageMargins left="0.75" right="0.75" top="1" bottom="1" header="0.5" footer="0.5"/>
  <pageSetup orientation="landscape" paperSize="9" fitToHeight="1" fitToWidth="1"/>
  <headerFooter>
    <oddHeader>&amp;Lโรงพยาบาลวชิระภูเก็ต · UAT งบประมาณ</oddHeader>
    <oddFooter>&amp;Lเอกสารภายใน สำหรับทดสอบระบบ&amp;Rหน้า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2026-08-23T20:35:20Z</dcterms:created>
  <dcterms:modified xmlns:dcterms="http://purl.org/dc/terms/" xmlns:xsi="http://www.w3.org/2001/XMLSchema-instance" xsi:type="dcterms:W3CDTF">2026-08-23T20:35:20Z</dcterms:modified>
</cp:coreProperties>
</file>