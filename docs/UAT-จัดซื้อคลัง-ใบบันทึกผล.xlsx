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ปกแผน" sheetId="1" state="visible" r:id="rId1"/>
    <sheet xmlns:r="http://schemas.openxmlformats.org/officeDocument/2006/relationships" name="บันทึกผลเคส" sheetId="2" state="visible" r:id="rId2"/>
    <sheet xmlns:r="http://schemas.openxmlformats.org/officeDocument/2006/relationships" name="บั๊ก" sheetId="3" state="visible" r:id="rId3"/>
    <sheet xmlns:r="http://schemas.openxmlformats.org/officeDocument/2006/relationships" name="สรุป" sheetId="4" state="visible" r:id="rId4"/>
  </sheets>
  <definedNames>
    <definedName name="_xlnm._FilterDatabase" localSheetId="1" hidden="1">'บันทึกผลเคส'!$A$1:$J$44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Prompt"/>
      <b val="1"/>
      <color rgb="000F7A72"/>
      <sz val="14"/>
    </font>
    <font>
      <name val="Prompt"/>
      <b val="1"/>
      <color rgb="00123A56"/>
      <sz val="20"/>
    </font>
    <font>
      <name val="Prompt"/>
      <color rgb="005B6878"/>
      <sz val="12"/>
    </font>
    <font>
      <name val="Prompt"/>
      <b val="1"/>
      <color rgb="00FFFFFF"/>
      <sz val="11"/>
    </font>
    <font>
      <name val="Prompt"/>
      <color rgb="002F3A48"/>
      <sz val="11"/>
    </font>
    <font>
      <name val="Prompt"/>
      <b val="1"/>
      <color rgb="000F7A72"/>
      <sz val="12"/>
    </font>
    <font>
      <name val="Prompt"/>
      <b val="1"/>
      <color rgb="002F3A48"/>
      <sz val="11"/>
    </font>
    <font>
      <name val="Prompt"/>
      <color rgb="002F3A48"/>
      <sz val="12"/>
    </font>
    <font>
      <name val="Prompt"/>
      <b val="1"/>
      <color rgb="00123A56"/>
      <sz val="18"/>
    </font>
    <font>
      <name val="Prompt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23A56"/>
      </patternFill>
    </fill>
    <fill>
      <patternFill patternType="solid">
        <fgColor rgb="00FFFFFF"/>
      </patternFill>
    </fill>
    <fill>
      <patternFill patternType="solid">
        <fgColor rgb="00E5F5F3"/>
      </patternFill>
    </fill>
    <fill>
      <patternFill patternType="solid">
        <fgColor rgb="00FDECDC"/>
      </patternFill>
    </fill>
    <fill>
      <patternFill patternType="solid">
        <fgColor rgb="00E8F1F8"/>
      </patternFill>
    </fill>
    <fill>
      <patternFill patternType="solid">
        <fgColor rgb="00B4433A"/>
      </patternFill>
    </fill>
  </fills>
  <borders count="2">
    <border>
      <left/>
      <right/>
      <top/>
      <bottom/>
      <diagonal/>
    </border>
    <border>
      <left style="thin">
        <color rgb="00D7DEE6"/>
      </left>
      <right style="thin">
        <color rgb="00D7DEE6"/>
      </right>
      <top style="thin">
        <color rgb="00D7DEE6"/>
      </top>
      <bottom style="thin">
        <color rgb="00D7DEE6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8" fillId="4" borderId="0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9" fillId="0" borderId="0" pivotButton="0" quotePrefix="0" xfId="0"/>
    <xf numFmtId="9" fontId="5" fillId="0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9" fontId="10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name val="Prompt"/>
        <b val="1"/>
        <color rgb="002C7A45"/>
        <sz val="11"/>
      </font>
      <fill>
        <patternFill patternType="solid">
          <fgColor rgb="00E5F5EA"/>
        </patternFill>
      </fill>
    </dxf>
    <dxf>
      <font>
        <name val="Prompt"/>
        <b val="1"/>
        <color rgb="00B4433A"/>
        <sz val="11"/>
      </font>
      <fill>
        <patternFill patternType="solid">
          <fgColor rgb="00FBECEA"/>
        </patternFill>
      </fill>
    </dxf>
    <dxf>
      <font>
        <name val="Prompt"/>
        <color rgb="005B6878"/>
        <sz val="11"/>
      </font>
      <fill>
        <patternFill patternType="solid">
          <fgColor rgb="00F6F8F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F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22" customWidth="1" min="4" max="4"/>
    <col width="18" customWidth="1" min="5" max="5"/>
    <col width="16" customWidth="1" min="6" max="6"/>
  </cols>
  <sheetData>
    <row r="2">
      <c r="B2" s="1" t="inlineStr">
        <is>
          <t>โรงพยาบาลวชิระภูเก็ต</t>
        </is>
      </c>
    </row>
    <row r="3">
      <c r="B3" s="2" t="inlineStr">
        <is>
          <t>ใบบันทึกผล UAT ขอซื้อ จัดซื้อ งานคลังสินค้า</t>
        </is>
      </c>
    </row>
    <row r="4">
      <c r="B4" s="3" t="inlineStr">
        <is>
          <t>ใช้คู่กับเอกสารแผนการทดสอบ · วงจร PR → PO → รับของเข้าคลัง</t>
        </is>
      </c>
    </row>
    <row r="6">
      <c r="B6" s="4" t="inlineStr">
        <is>
          <t>ระบบ</t>
        </is>
      </c>
      <c r="C6" s="5" t="inlineStr">
        <is>
          <t>Odoo 18 · Purchase Request / Purchase / Inventory</t>
        </is>
      </c>
    </row>
    <row r="7">
      <c r="B7" s="4" t="inlineStr">
        <is>
          <t>ฐานข้อมูล</t>
        </is>
      </c>
      <c r="C7" s="5" t="inlineStr">
        <is>
          <t>VPK-S1</t>
        </is>
      </c>
    </row>
    <row r="8">
      <c r="B8" s="4" t="inlineStr">
        <is>
          <t>รอบทดสอบ</t>
        </is>
      </c>
      <c r="C8" s="5" t="inlineStr">
        <is>
          <t>UAT ครั้งที่ 1</t>
        </is>
      </c>
    </row>
    <row r="9">
      <c r="B9" s="4" t="inlineStr">
        <is>
          <t>วันที่เริ่ม</t>
        </is>
      </c>
      <c r="C9" s="5" t="inlineStr"/>
    </row>
    <row r="10">
      <c r="B10" s="4" t="inlineStr">
        <is>
          <t>วันที่จบ</t>
        </is>
      </c>
      <c r="C10" s="5" t="inlineStr"/>
    </row>
    <row r="11">
      <c r="B11" s="4" t="inlineStr">
        <is>
          <t>ผู้ประสาน</t>
        </is>
      </c>
      <c r="C11" s="5" t="inlineStr"/>
    </row>
    <row r="12">
      <c r="B12" s="4" t="inlineStr">
        <is>
          <t>สินค้าตัวอย่าง</t>
        </is>
      </c>
      <c r="C12" s="5" t="inlineStr"/>
    </row>
    <row r="13">
      <c r="B13" s="4" t="inlineStr">
        <is>
          <t>คลังรับของ</t>
        </is>
      </c>
      <c r="C13" s="5" t="inlineStr"/>
    </row>
    <row r="16">
      <c r="B16" s="6" t="inlineStr">
        <is>
          <t>เกณฑ์ผ่านรอบนี้: เคส P1 ชุด A–E ผ่านทั้งหมด · ไม่มี Blocker ค้าง · ผู้แทน 3 ฝ่ายลงนาม</t>
        </is>
      </c>
    </row>
    <row r="18" ht="28" customHeight="1">
      <c r="A18" s="7" t="inlineStr">
        <is>
          <t>ลำดับ</t>
        </is>
      </c>
      <c r="B18" s="7" t="inlineStr">
        <is>
          <t>ฝ่าย</t>
        </is>
      </c>
      <c r="C18" s="7" t="inlineStr">
        <is>
          <t>ผู้ทดสอบ</t>
        </is>
      </c>
      <c r="D18" s="7" t="inlineStr">
        <is>
          <t>ลงชื่อ</t>
        </is>
      </c>
      <c r="E18" s="7" t="inlineStr">
        <is>
          <t>วันที่</t>
        </is>
      </c>
      <c r="F18" s="7" t="inlineStr">
        <is>
          <t>ผ่านภาพรวม</t>
        </is>
      </c>
    </row>
    <row r="19">
      <c r="A19" s="8" t="n">
        <v>1</v>
      </c>
      <c r="B19" s="9" t="inlineStr">
        <is>
          <t>หน่วยงาน</t>
        </is>
      </c>
      <c r="C19" s="10" t="inlineStr"/>
      <c r="D19" s="10" t="inlineStr"/>
      <c r="E19" s="10" t="inlineStr"/>
      <c r="F19" s="10" t="inlineStr"/>
    </row>
    <row r="20">
      <c r="A20" s="8" t="n">
        <v>2</v>
      </c>
      <c r="B20" s="9" t="inlineStr">
        <is>
          <t>พัสดุ / จัดซื้อ</t>
        </is>
      </c>
      <c r="C20" s="10" t="inlineStr"/>
      <c r="D20" s="10" t="inlineStr"/>
      <c r="E20" s="10" t="inlineStr"/>
      <c r="F20" s="10" t="inlineStr"/>
    </row>
    <row r="21">
      <c r="A21" s="8" t="n">
        <v>3</v>
      </c>
      <c r="B21" s="9" t="inlineStr">
        <is>
          <t>งานคลังสินค้า</t>
        </is>
      </c>
      <c r="C21" s="10" t="inlineStr"/>
      <c r="D21" s="10" t="inlineStr"/>
      <c r="E21" s="10" t="inlineStr"/>
      <c r="F21" s="10" t="inlineStr"/>
    </row>
    <row r="23">
      <c r="B23" s="11" t="inlineStr">
        <is>
          <t>วิธีใช้
1) กรอกปกนี้ก่อนเริ่ม   2) เดินเคสตามลำดับในชีต “บันทึกผลเคส” ห้ามข้ามชุด A
3) ถ้าไม่ผ่าน ให้เปิดรายการในชีต “บั๊ก”   4) ดูจำนวนผ่านที่ชีต “สรุป”
บัญชี UAT: uat.dept / uat.procurement / uat.committee1–3   รหัสผ่าน: VpkUat@2569</t>
        </is>
      </c>
    </row>
    <row r="24"/>
    <row r="25"/>
    <row r="26"/>
  </sheetData>
  <mergeCells count="13">
    <mergeCell ref="B2:F2"/>
    <mergeCell ref="B3:F3"/>
    <mergeCell ref="B4:F4"/>
    <mergeCell ref="C6:E6"/>
    <mergeCell ref="C7:E7"/>
    <mergeCell ref="C8:E8"/>
    <mergeCell ref="C9:E9"/>
    <mergeCell ref="C10:E10"/>
    <mergeCell ref="C11:E11"/>
    <mergeCell ref="C12:E12"/>
    <mergeCell ref="C13:E13"/>
    <mergeCell ref="B16:F16"/>
    <mergeCell ref="B23:F26"/>
  </mergeCells>
  <pageMargins left="0.75" right="0.75" top="1" bottom="1" header="0.5" footer="0.5"/>
  <pageSetup orientation="landscape" paperSize="9" fitToHeight="1" fitToWidth="1"/>
  <headerFooter>
    <oddHeader>&amp;Lโรงพยาบาลวชิระภูเก็ต · UAT ขอซื้อ จัดซื้อ คลังสินค้า</oddHeader>
    <oddFooter>&amp;Lเอกสารภายใน สำหรับทดสอบระบบ&amp;Rหน้า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6" customWidth="1" min="3" max="3"/>
    <col width="32" customWidth="1" min="4" max="4"/>
    <col width="52" customWidth="1" min="5" max="5"/>
    <col width="50" customWidth="1" min="6" max="6"/>
    <col width="12" customWidth="1" min="7" max="7"/>
    <col width="16" customWidth="1" min="8" max="8"/>
    <col width="14" customWidth="1" min="9" max="9"/>
    <col width="28" customWidth="1" min="10" max="10"/>
  </cols>
  <sheetData>
    <row r="1" ht="28" customHeight="1">
      <c r="A1" s="7" t="inlineStr">
        <is>
          <t>รหัส</t>
        </is>
      </c>
      <c r="B1" s="7" t="inlineStr">
        <is>
          <t>ชุด</t>
        </is>
      </c>
      <c r="C1" s="7" t="inlineStr">
        <is>
          <t>P</t>
        </is>
      </c>
      <c r="D1" s="7" t="inlineStr">
        <is>
          <t>หัวข้อ</t>
        </is>
      </c>
      <c r="E1" s="7" t="inlineStr">
        <is>
          <t>ขั้นตอนโดยย่อ</t>
        </is>
      </c>
      <c r="F1" s="7" t="inlineStr">
        <is>
          <t>ผลที่ต้องเห็น</t>
        </is>
      </c>
      <c r="G1" s="7" t="inlineStr">
        <is>
          <t>ผล</t>
        </is>
      </c>
      <c r="H1" s="7" t="inlineStr">
        <is>
          <t>ผู้ทดสอบ</t>
        </is>
      </c>
      <c r="I1" s="7" t="inlineStr">
        <is>
          <t>วันที่</t>
        </is>
      </c>
      <c r="J1" s="7" t="inlineStr">
        <is>
          <t>หลักฐาน/หมายเหตุ</t>
        </is>
      </c>
    </row>
    <row r="2" ht="46" customHeight="1">
      <c r="A2" s="12" t="inlineStr">
        <is>
          <t>A01</t>
        </is>
      </c>
      <c r="B2" s="10" t="inlineStr">
        <is>
          <t>A สิทธิ์/ข้อมูลหลัก</t>
        </is>
      </c>
      <c r="C2" s="13" t="inlineStr">
        <is>
          <t>P1</t>
        </is>
      </c>
      <c r="D2" s="10" t="inlineStr">
        <is>
          <t>หน่วยงานสร้าง PR ได้</t>
        </is>
      </c>
      <c r="E2" s="10" t="inlineStr">
        <is>
          <t>login uat.dept เข้าเมนูใบขอซื้อ แล้วสร้างใหม่</t>
        </is>
      </c>
      <c r="F2" s="10" t="inlineStr">
        <is>
          <t>เข้าได้ บันทึกใบร่างได้</t>
        </is>
      </c>
    </row>
    <row r="3" ht="46" customHeight="1">
      <c r="A3" s="12" t="inlineStr">
        <is>
          <t>A02</t>
        </is>
      </c>
      <c r="B3" s="10" t="inlineStr">
        <is>
          <t>A สิทธิ์/ข้อมูลหลัก</t>
        </is>
      </c>
      <c r="C3" s="13" t="inlineStr">
        <is>
          <t>P1</t>
        </is>
      </c>
      <c r="D3" s="10" t="inlineStr">
        <is>
          <t>หน่วยงานสร้าง PO เองไม่ได้</t>
        </is>
      </c>
      <c r="E3" s="10" t="inlineStr">
        <is>
          <t>login หน่วยงาน พยายามเข้าเมนูใบสั่งซื้อ</t>
        </is>
      </c>
      <c r="F3" s="10" t="inlineStr">
        <is>
          <t>เข้าไม่ได้ หรือสร้าง PO เองไม่ได้</t>
        </is>
      </c>
    </row>
    <row r="4" ht="46" customHeight="1">
      <c r="A4" s="12" t="inlineStr">
        <is>
          <t>A03</t>
        </is>
      </c>
      <c r="B4" s="10" t="inlineStr">
        <is>
          <t>A สิทธิ์/ข้อมูลหลัก</t>
        </is>
      </c>
      <c r="C4" s="13" t="inlineStr">
        <is>
          <t>P1</t>
        </is>
      </c>
      <c r="D4" s="10" t="inlineStr">
        <is>
          <t>พัสดุเห็น PR และสร้าง PO ได้</t>
        </is>
      </c>
      <c r="E4" s="10" t="inlineStr">
        <is>
          <t>login uat.procurement เข้าใบขอซื้อและใบสั่งซื้อ</t>
        </is>
      </c>
      <c r="F4" s="10" t="inlineStr">
        <is>
          <t>เห็น PR ของหน่วยงาน และสร้าง PO ได้</t>
        </is>
      </c>
    </row>
    <row r="5" ht="46" customHeight="1">
      <c r="A5" s="12" t="inlineStr">
        <is>
          <t>A04</t>
        </is>
      </c>
      <c r="B5" s="10" t="inlineStr">
        <is>
          <t>A สิทธิ์/ข้อมูลหลัก</t>
        </is>
      </c>
      <c r="C5" s="13" t="inlineStr">
        <is>
          <t>P1</t>
        </is>
      </c>
      <c r="D5" s="10" t="inlineStr">
        <is>
          <t>งานคลังเข้าใบรับสินค้าได้</t>
        </is>
      </c>
      <c r="E5" s="10" t="inlineStr">
        <is>
          <t>เข้าเมนูคลัง / ใบรับสินค้า</t>
        </is>
      </c>
      <c r="F5" s="10" t="inlineStr">
        <is>
          <t>เห็นคลังที่รับผิดชอบ และสร้างใบรับได้</t>
        </is>
      </c>
    </row>
    <row r="6" ht="46" customHeight="1">
      <c r="A6" s="12" t="inlineStr">
        <is>
          <t>A05</t>
        </is>
      </c>
      <c r="B6" s="10" t="inlineStr">
        <is>
          <t>A สิทธิ์/ข้อมูลหลัก</t>
        </is>
      </c>
      <c r="C6" s="13" t="inlineStr">
        <is>
          <t>P1</t>
        </is>
      </c>
      <c r="D6" s="10" t="inlineStr">
        <is>
          <t>สินค้าทดสอบพร้อม</t>
        </is>
      </c>
      <c r="E6" s="10" t="inlineStr">
        <is>
          <t>เปิดสินค้าที่ใช้ทดสอบ</t>
        </is>
      </c>
      <c r="F6" s="10" t="inlineStr">
        <is>
          <t>มีหน่วยนับ และเส้นทางคลังพร้อมรับของ</t>
        </is>
      </c>
    </row>
    <row r="7" ht="46" customHeight="1">
      <c r="A7" s="12" t="inlineStr">
        <is>
          <t>A06</t>
        </is>
      </c>
      <c r="B7" s="10" t="inlineStr">
        <is>
          <t>A สิทธิ์/ข้อมูลหลัก</t>
        </is>
      </c>
      <c r="C7" s="13" t="inlineStr">
        <is>
          <t>P1</t>
        </is>
      </c>
      <c r="D7" s="10" t="inlineStr">
        <is>
          <t>ผู้ขายทดสอบพร้อม</t>
        </is>
      </c>
      <c r="E7" s="10" t="inlineStr">
        <is>
          <t>เปิดผู้ขายที่ใช้ใน PO</t>
        </is>
      </c>
      <c r="F7" s="10" t="inlineStr">
        <is>
          <t>เลือกในใบสั่งซื้อได้</t>
        </is>
      </c>
    </row>
    <row r="8" ht="46" customHeight="1">
      <c r="A8" s="12" t="inlineStr">
        <is>
          <t>A07</t>
        </is>
      </c>
      <c r="B8" s="10" t="inlineStr">
        <is>
          <t>A สิทธิ์/ข้อมูลหลัก</t>
        </is>
      </c>
      <c r="C8" s="14" t="inlineStr">
        <is>
          <t>P2</t>
        </is>
      </c>
      <c r="D8" s="10" t="inlineStr">
        <is>
          <t>หน่วยงานเปิด PR ได้โดยไม่ติดกรรมการ</t>
        </is>
      </c>
      <c r="E8" s="10" t="inlineStr">
        <is>
          <t>เปิดใบขอซื้อที่มีช่องคณะกรรมการ/สเปก</t>
        </is>
      </c>
      <c r="F8" s="10" t="inlineStr">
        <is>
          <t>เปิด PR ได้ ไม่บังคับสิทธิ์จัดซื้อ</t>
        </is>
      </c>
    </row>
    <row r="9" ht="46" customHeight="1">
      <c r="A9" s="12" t="inlineStr">
        <is>
          <t>B01</t>
        </is>
      </c>
      <c r="B9" s="10" t="inlineStr">
        <is>
          <t>B ขอซื้อผ่าน</t>
        </is>
      </c>
      <c r="C9" s="13" t="inlineStr">
        <is>
          <t>P1</t>
        </is>
      </c>
      <c r="D9" s="10" t="inlineStr">
        <is>
          <t>สร้าง PR วัสดุ 3,000 บาท</t>
        </is>
      </c>
      <c r="E9" s="10" t="inlineStr">
        <is>
          <t>เลือกหน่วยงาน แหล่งเงิน หมวดงบ กลุ่มวัสดุ คลัง Receipt ใส่สินค้า แล้วบันทึก</t>
        </is>
      </c>
      <c r="F9" s="10" t="inlineStr">
        <is>
          <t>ได้เลขอัตโนมัติ เช่น PR6908xxx สถานะร่าง แก้เลขที่ไม่ได้</t>
        </is>
      </c>
    </row>
    <row r="10" ht="46" customHeight="1">
      <c r="A10" s="12" t="inlineStr">
        <is>
          <t>B02</t>
        </is>
      </c>
      <c r="B10" s="10" t="inlineStr">
        <is>
          <t>B ขอซื้อผ่าน</t>
        </is>
      </c>
      <c r="C10" s="13" t="inlineStr">
        <is>
          <t>P1</t>
        </is>
      </c>
      <c r="D10" s="10" t="inlineStr">
        <is>
          <t>dropdown คลังเป็น Receipt เท่านั้น</t>
        </is>
      </c>
      <c r="E10" s="10" t="inlineStr">
        <is>
          <t>เปิดช่องประเภทการรับสินค้า</t>
        </is>
      </c>
      <c r="F10" s="10" t="inlineStr">
        <is>
          <t>เห็นเฉพาะ Receipts ไม่มี Internal Transfers / Delivery / Manufacturing</t>
        </is>
      </c>
    </row>
    <row r="11" ht="46" customHeight="1">
      <c r="A11" s="12" t="inlineStr">
        <is>
          <t>B03</t>
        </is>
      </c>
      <c r="B11" s="10" t="inlineStr">
        <is>
          <t>B ขอซื้อผ่าน</t>
        </is>
      </c>
      <c r="C11" s="13" t="inlineStr">
        <is>
          <t>P1</t>
        </is>
      </c>
      <c r="D11" s="10" t="inlineStr">
        <is>
          <t>เช็คงบบน PR ร่าง</t>
        </is>
      </c>
      <c r="E11" s="10" t="inlineStr">
        <is>
          <t>กดเช็คงบ ยอด 3,000</t>
        </is>
      </c>
      <c r="F11" s="10" t="inlineStr">
        <is>
          <t>งบเพียงพอ ยังไม่กันเงิน</t>
        </is>
      </c>
    </row>
    <row r="12" ht="46" customHeight="1">
      <c r="A12" s="12" t="inlineStr">
        <is>
          <t>B04</t>
        </is>
      </c>
      <c r="B12" s="10" t="inlineStr">
        <is>
          <t>B ขอซื้อผ่าน</t>
        </is>
      </c>
      <c r="C12" s="13" t="inlineStr">
        <is>
          <t>P1</t>
        </is>
      </c>
      <c r="D12" s="10" t="inlineStr">
        <is>
          <t>ส่งอนุมัติ PR แล้วจองงบ</t>
        </is>
      </c>
      <c r="E12" s="10" t="inlineStr">
        <is>
          <t>กดส่ง / ขออนุมัติ</t>
        </is>
      </c>
      <c r="F12" s="10" t="inlineStr">
        <is>
          <t>สถานะรออนุมัติ และจองงบ 3,000</t>
        </is>
      </c>
    </row>
    <row r="13" ht="46" customHeight="1">
      <c r="A13" s="12" t="inlineStr">
        <is>
          <t>B05</t>
        </is>
      </c>
      <c r="B13" s="10" t="inlineStr">
        <is>
          <t>B ขอซื้อผ่าน</t>
        </is>
      </c>
      <c r="C13" s="13" t="inlineStr">
        <is>
          <t>P1</t>
        </is>
      </c>
      <c r="D13" s="10" t="inlineStr">
        <is>
          <t>อนุมัติ PR ครบขั้น</t>
        </is>
      </c>
      <c r="E13" s="10" t="inlineStr">
        <is>
          <t>ผู้อนุมัติตาม tier อนุมัติครบ</t>
        </is>
      </c>
      <c r="F13" s="10" t="inlineStr">
        <is>
          <t>สถานะ Approved สร้าง PO จาก PR ได้</t>
        </is>
      </c>
    </row>
    <row r="14" ht="46" customHeight="1">
      <c r="A14" s="12" t="inlineStr">
        <is>
          <t>B06</t>
        </is>
      </c>
      <c r="B14" s="10" t="inlineStr">
        <is>
          <t>B ขอซื้อผ่าน</t>
        </is>
      </c>
      <c r="C14" s="14" t="inlineStr">
        <is>
          <t>P2</t>
        </is>
      </c>
      <c r="D14" s="10" t="inlineStr">
        <is>
          <t>หน่วยงานแก้ PR ที่อนุมัติแล้ว</t>
        </is>
      </c>
      <c r="E14" s="10" t="inlineStr">
        <is>
          <t>login หน่วยงาน เปิดใบ Approved แล้วพยายามแก้รายการ</t>
        </is>
      </c>
      <c r="F14" s="10" t="inlineStr">
        <is>
          <t>แก้รายการหลักไม่ได้</t>
        </is>
      </c>
    </row>
    <row r="15" ht="46" customHeight="1">
      <c r="A15" s="12" t="inlineStr">
        <is>
          <t>C01</t>
        </is>
      </c>
      <c r="B15" s="10" t="inlineStr">
        <is>
          <t>C กติกาขอซื้อ</t>
        </is>
      </c>
      <c r="C15" s="13" t="inlineStr">
        <is>
          <t>P1</t>
        </is>
      </c>
      <c r="D15" s="10" t="inlineStr">
        <is>
          <t>ห้ามพิมพ์เลข PR เอง</t>
        </is>
      </c>
      <c r="E15" s="10" t="inlineStr">
        <is>
          <t>พยายามพิมพ์เลขที่ PR เอง</t>
        </is>
      </c>
      <c r="F15" s="10" t="inlineStr">
        <is>
          <t>ช่องเลขที่ล็อก ระบบออกเลขให้</t>
        </is>
      </c>
    </row>
    <row r="16" ht="46" customHeight="1">
      <c r="A16" s="12" t="inlineStr">
        <is>
          <t>C02</t>
        </is>
      </c>
      <c r="B16" s="10" t="inlineStr">
        <is>
          <t>C กติกาขอซื้อ</t>
        </is>
      </c>
      <c r="C16" s="13" t="inlineStr">
        <is>
          <t>P1</t>
        </is>
      </c>
      <c r="D16" s="10" t="inlineStr">
        <is>
          <t>ห้ามเลือกคลังที่ไม่ใช่ Receipt</t>
        </is>
      </c>
      <c r="E16" s="10" t="inlineStr">
        <is>
          <t>พยายามเลือก Internal Transfers / Delivery</t>
        </is>
      </c>
      <c r="F16" s="10" t="inlineStr">
        <is>
          <t>เลือกไม่ได้ เพราะถูกกรองออก</t>
        </is>
      </c>
    </row>
    <row r="17" ht="46" customHeight="1">
      <c r="A17" s="12" t="inlineStr">
        <is>
          <t>C03</t>
        </is>
      </c>
      <c r="B17" s="10" t="inlineStr">
        <is>
          <t>C กติกาขอซื้อ</t>
        </is>
      </c>
      <c r="C17" s="13" t="inlineStr">
        <is>
          <t>P1</t>
        </is>
      </c>
      <c r="D17" s="10" t="inlineStr">
        <is>
          <t>PR เกินงบคงเหลือ</t>
        </is>
      </c>
      <c r="E17" s="10" t="inlineStr">
        <is>
          <t>สร้าง PR ยอดเกินคงเหลือ แล้วเช็คงบ / ส่ง</t>
        </is>
      </c>
      <c r="F17" s="10" t="inlineStr">
        <is>
          <t>งบไม่พอ ส่งอนุมัติไม่ได้</t>
        </is>
      </c>
    </row>
    <row r="18" ht="46" customHeight="1">
      <c r="A18" s="12" t="inlineStr">
        <is>
          <t>C04</t>
        </is>
      </c>
      <c r="B18" s="10" t="inlineStr">
        <is>
          <t>C กติกาขอซื้อ</t>
        </is>
      </c>
      <c r="C18" s="13" t="inlineStr">
        <is>
          <t>P1</t>
        </is>
      </c>
      <c r="D18" s="10" t="inlineStr">
        <is>
          <t>PR วัสดุไม่ครบมิติงบ</t>
        </is>
      </c>
      <c r="E18" s="10" t="inlineStr">
        <is>
          <t>ไม่ใส่หน่วยงาน / แหล่งเงิน / กลุ่มวัสดุ แล้วเช็คงบ</t>
        </is>
      </c>
      <c r="F18" s="10" t="inlineStr">
        <is>
          <t>ไม่เจอวงเงิน หรือบังคับกรอก</t>
        </is>
      </c>
    </row>
    <row r="19" ht="46" customHeight="1">
      <c r="A19" s="12" t="inlineStr">
        <is>
          <t>C05</t>
        </is>
      </c>
      <c r="B19" s="10" t="inlineStr">
        <is>
          <t>C กติกาขอซื้อ</t>
        </is>
      </c>
      <c r="C19" s="14" t="inlineStr">
        <is>
          <t>P2</t>
        </is>
      </c>
      <c r="D19" s="10" t="inlineStr">
        <is>
          <t>ส่ง PR ไม่มีบรรทัดสินค้า</t>
        </is>
      </c>
      <c r="E19" s="10" t="inlineStr">
        <is>
          <t>สร้าง PR ไม่ใส่สินค้า แล้วส่ง</t>
        </is>
      </c>
      <c r="F19" s="10" t="inlineStr">
        <is>
          <t>ส่งไม่ได้</t>
        </is>
      </c>
    </row>
    <row r="20" ht="46" customHeight="1">
      <c r="A20" s="12" t="inlineStr">
        <is>
          <t>C06</t>
        </is>
      </c>
      <c r="B20" s="10" t="inlineStr">
        <is>
          <t>C กติกาขอซื้อ</t>
        </is>
      </c>
      <c r="C20" s="14" t="inlineStr">
        <is>
          <t>P2</t>
        </is>
      </c>
      <c r="D20" s="10" t="inlineStr">
        <is>
          <t>PR ครุภัณฑ์ไม่บังคับกลุ่มวัสดุ</t>
        </is>
      </c>
      <c r="E20" s="10" t="inlineStr">
        <is>
          <t>สร้าง PR ครุภัณฑ์ ไม่ใส่กลุ่มวัสดุ แล้วเช็คงบ</t>
        </is>
      </c>
      <c r="F20" s="10" t="inlineStr">
        <is>
          <t>สร้างและเช็คงบได้</t>
        </is>
      </c>
    </row>
    <row r="21" ht="46" customHeight="1">
      <c r="A21" s="12" t="inlineStr">
        <is>
          <t>D01</t>
        </is>
      </c>
      <c r="B21" s="10" t="inlineStr">
        <is>
          <t>D จัดซื้อ</t>
        </is>
      </c>
      <c r="C21" s="13" t="inlineStr">
        <is>
          <t>P1</t>
        </is>
      </c>
      <c r="D21" s="10" t="inlineStr">
        <is>
          <t>สร้าง PO จาก PR ที่อนุมัติ</t>
        </is>
      </c>
      <c r="E21" s="10" t="inlineStr">
        <is>
          <t>พัสดุสร้างใบสั่งซื้อจาก PR ใน B05</t>
        </is>
      </c>
      <c r="F21" s="10" t="inlineStr">
        <is>
          <t>ได้ RFQ/PO อ้างอิง PR สินค้าและจำนวนตรง PR</t>
        </is>
      </c>
    </row>
    <row r="22" ht="46" customHeight="1">
      <c r="A22" s="12" t="inlineStr">
        <is>
          <t>D02</t>
        </is>
      </c>
      <c r="B22" s="10" t="inlineStr">
        <is>
          <t>D จัดซื้อ</t>
        </is>
      </c>
      <c r="C22" s="13" t="inlineStr">
        <is>
          <t>P1</t>
        </is>
      </c>
      <c r="D22" s="10" t="inlineStr">
        <is>
          <t>ยืนยัน PO</t>
        </is>
      </c>
      <c r="E22" s="10" t="inlineStr">
        <is>
          <t>ใส่ผู้ขาย ราคา แล้ว Confirm</t>
        </is>
      </c>
      <c r="F22" s="10" t="inlineStr">
        <is>
          <t>สถานะ Purchase Order ยอดย้ายจากจอง PR เป็นผูกพัน PO</t>
        </is>
      </c>
    </row>
    <row r="23" ht="46" customHeight="1">
      <c r="A23" s="12" t="inlineStr">
        <is>
          <t>D03</t>
        </is>
      </c>
      <c r="B23" s="10" t="inlineStr">
        <is>
          <t>D จัดซื้อ</t>
        </is>
      </c>
      <c r="C23" s="13" t="inlineStr">
        <is>
          <t>P1</t>
        </is>
      </c>
      <c r="D23" s="10" t="inlineStr">
        <is>
          <t>PR ต้นทางถูกครอบคลุมด้วย PO</t>
        </is>
      </c>
      <c r="E23" s="10" t="inlineStr">
        <is>
          <t>เปิด PR หลังยืนยัน PO</t>
        </is>
      </c>
      <c r="F23" s="10" t="inlineStr">
        <is>
          <t>เห็นว่าถูกครอบคลุม / คงเหลือที่ต้องสั่งลดลง</t>
        </is>
      </c>
    </row>
    <row r="24" ht="46" customHeight="1">
      <c r="A24" s="12" t="inlineStr">
        <is>
          <t>D04</t>
        </is>
      </c>
      <c r="B24" s="10" t="inlineStr">
        <is>
          <t>D จัดซื้อ</t>
        </is>
      </c>
      <c r="C24" s="13" t="inlineStr">
        <is>
          <t>P1</t>
        </is>
      </c>
      <c r="D24" s="10" t="inlineStr">
        <is>
          <t>ดูใบสั่งซื้อ</t>
        </is>
      </c>
      <c r="E24" s="10" t="inlineStr">
        <is>
          <t>พิมพ์หรือเปิดฟอร์ม PO</t>
        </is>
      </c>
      <c r="F24" s="10" t="inlineStr">
        <is>
          <t>เปิดได้ มีผู้ขาย สินค้า จำนวน ราคา</t>
        </is>
      </c>
    </row>
    <row r="25" ht="46" customHeight="1">
      <c r="A25" s="12" t="inlineStr">
        <is>
          <t>D05</t>
        </is>
      </c>
      <c r="B25" s="10" t="inlineStr">
        <is>
          <t>D จัดซื้อ</t>
        </is>
      </c>
      <c r="C25" s="14" t="inlineStr">
        <is>
          <t>P2</t>
        </is>
      </c>
      <c r="D25" s="10" t="inlineStr">
        <is>
          <t>หน่วยงานยืนยัน PO เองไม่ได้</t>
        </is>
      </c>
      <c r="E25" s="10" t="inlineStr">
        <is>
          <t>login หน่วยงาน พยายาม Confirm PO</t>
        </is>
      </c>
      <c r="F25" s="10" t="inlineStr">
        <is>
          <t>ทำไม่ได้ตามสิทธิ์</t>
        </is>
      </c>
    </row>
    <row r="26" ht="46" customHeight="1">
      <c r="A26" s="12" t="inlineStr">
        <is>
          <t>D06</t>
        </is>
      </c>
      <c r="B26" s="10" t="inlineStr">
        <is>
          <t>D จัดซื้อ</t>
        </is>
      </c>
      <c r="C26" s="14" t="inlineStr">
        <is>
          <t>P2</t>
        </is>
      </c>
      <c r="D26" s="10" t="inlineStr">
        <is>
          <t>สร้าง PO โดยไม่ผ่าน PR</t>
        </is>
      </c>
      <c r="E26" s="10" t="inlineStr">
        <is>
          <t>พยายามสร้าง PO ตรงโดยไม่ผ่าน PR</t>
        </is>
      </c>
      <c r="F26" s="10" t="inlineStr">
        <is>
          <t>ระบบกัน หรือมีคำเตือนตามนโยบายโรงพยาบาล</t>
        </is>
      </c>
    </row>
    <row r="27" ht="46" customHeight="1">
      <c r="A27" s="12" t="inlineStr">
        <is>
          <t>E01</t>
        </is>
      </c>
      <c r="B27" s="10" t="inlineStr">
        <is>
          <t>E คลังสินค้า</t>
        </is>
      </c>
      <c r="C27" s="13" t="inlineStr">
        <is>
          <t>P1</t>
        </is>
      </c>
      <c r="D27" s="10" t="inlineStr">
        <is>
          <t>เปิดใบรับจาก PO</t>
        </is>
      </c>
      <c r="E27" s="10" t="inlineStr">
        <is>
          <t>งานคลังเปิด Receipt จาก PO ใน D02</t>
        </is>
      </c>
      <c r="F27" s="10" t="inlineStr">
        <is>
          <t>มีใบ Receipt ของคลังที่เลือก จำนวนตาม PO</t>
        </is>
      </c>
    </row>
    <row r="28" ht="46" customHeight="1">
      <c r="A28" s="12" t="inlineStr">
        <is>
          <t>E02</t>
        </is>
      </c>
      <c r="B28" s="10" t="inlineStr">
        <is>
          <t>E คลังสินค้า</t>
        </is>
      </c>
      <c r="C28" s="13" t="inlineStr">
        <is>
          <t>P1</t>
        </is>
      </c>
      <c r="D28" s="10" t="inlineStr">
        <is>
          <t>รับของครบแล้ว Validate</t>
        </is>
      </c>
      <c r="E28" s="10" t="inlineStr">
        <is>
          <t>รับครบจำนวน แล้ว Validate</t>
        </is>
      </c>
      <c r="F28" s="10" t="inlineStr">
        <is>
          <t>สถานะ Done สต็อกในคลังนั้นเพิ่มตามจำนวนที่รับ</t>
        </is>
      </c>
    </row>
    <row r="29" ht="46" customHeight="1">
      <c r="A29" s="12" t="inlineStr">
        <is>
          <t>E03</t>
        </is>
      </c>
      <c r="B29" s="10" t="inlineStr">
        <is>
          <t>E คลังสินค้า</t>
        </is>
      </c>
      <c r="C29" s="13" t="inlineStr">
        <is>
          <t>P1</t>
        </is>
      </c>
      <c r="D29" s="10" t="inlineStr">
        <is>
          <t>ตรวจคงเหลือสินค้า</t>
        </is>
      </c>
      <c r="E29" s="10" t="inlineStr">
        <is>
          <t>เปิดสินค้า ดู On Hand ของคลังที่รับ</t>
        </is>
      </c>
      <c r="F29" s="10" t="inlineStr">
        <is>
          <t>จำนวนตรงกับที่เพิ่งรับ</t>
        </is>
      </c>
    </row>
    <row r="30" ht="46" customHeight="1">
      <c r="A30" s="12" t="inlineStr">
        <is>
          <t>E04</t>
        </is>
      </c>
      <c r="B30" s="10" t="inlineStr">
        <is>
          <t>E คลังสินค้า</t>
        </is>
      </c>
      <c r="C30" s="13" t="inlineStr">
        <is>
          <t>P1</t>
        </is>
      </c>
      <c r="D30" s="10" t="inlineStr">
        <is>
          <t>ของเข้าคลังตาม Receipt ที่เลือก</t>
        </is>
      </c>
      <c r="E30" s="10" t="inlineStr">
        <is>
          <t>เทียบคลังในใบรับกับคลังที่เลือกบน PR</t>
        </is>
      </c>
      <c r="F30" s="10" t="inlineStr">
        <is>
          <t>ไม่ไปเข้าคลังอื่น</t>
        </is>
      </c>
    </row>
    <row r="31" ht="46" customHeight="1">
      <c r="A31" s="12" t="inlineStr">
        <is>
          <t>E05</t>
        </is>
      </c>
      <c r="B31" s="10" t="inlineStr">
        <is>
          <t>E คลังสินค้า</t>
        </is>
      </c>
      <c r="C31" s="14" t="inlineStr">
        <is>
          <t>P2</t>
        </is>
      </c>
      <c r="D31" s="10" t="inlineStr">
        <is>
          <t>โอนภายในคลัง</t>
        </is>
      </c>
      <c r="E31" s="10" t="inlineStr">
        <is>
          <t>โอนจากคลังรับไปคลังหน่วยงาน (ถ้าใช้จริง)</t>
        </is>
      </c>
      <c r="F31" s="10" t="inlineStr">
        <is>
          <t>ต้นทางลด ปลายทางเพิ่ม</t>
        </is>
      </c>
    </row>
    <row r="32" ht="46" customHeight="1">
      <c r="A32" s="12" t="inlineStr">
        <is>
          <t>E06</t>
        </is>
      </c>
      <c r="B32" s="10" t="inlineStr">
        <is>
          <t>E คลังสินค้า</t>
        </is>
      </c>
      <c r="C32" s="14" t="inlineStr">
        <is>
          <t>P2</t>
        </is>
      </c>
      <c r="D32" s="10" t="inlineStr">
        <is>
          <t>จ่ายของออกจากคลัง</t>
        </is>
      </c>
      <c r="E32" s="10" t="inlineStr">
        <is>
          <t>ทำใบจ่าย / Delivery ตามกระบวนการโรงพยาบาล</t>
        </is>
      </c>
      <c r="F32" s="10" t="inlineStr">
        <is>
          <t>สต็อกลดตามจำนวนที่จ่าย</t>
        </is>
      </c>
    </row>
    <row r="33" ht="46" customHeight="1">
      <c r="A33" s="12" t="inlineStr">
        <is>
          <t>E07</t>
        </is>
      </c>
      <c r="B33" s="10" t="inlineStr">
        <is>
          <t>E คลังสินค้า</t>
        </is>
      </c>
      <c r="C33" s="14" t="inlineStr">
        <is>
          <t>P2</t>
        </is>
      </c>
      <c r="D33" s="10" t="inlineStr">
        <is>
          <t>ผู้ไม่มีสิทธิ์ Validate ใบรับไม่ได้</t>
        </is>
      </c>
      <c r="E33" s="10" t="inlineStr">
        <is>
          <t>login user ที่ไม่มีสิทธิ์คลัง แล้วพยายาม Validate</t>
        </is>
      </c>
      <c r="F33" s="10" t="inlineStr">
        <is>
          <t>ทำไม่ได้</t>
        </is>
      </c>
    </row>
    <row r="34" ht="46" customHeight="1">
      <c r="A34" s="12" t="inlineStr">
        <is>
          <t>F01</t>
        </is>
      </c>
      <c r="B34" s="10" t="inlineStr">
        <is>
          <t>F รับบางส่วน/ยกเลิก</t>
        </is>
      </c>
      <c r="C34" s="13" t="inlineStr">
        <is>
          <t>P1</t>
        </is>
      </c>
      <c r="D34" s="10" t="inlineStr">
        <is>
          <t>รับของน้อยกว่าที่สั่ง</t>
        </is>
      </c>
      <c r="E34" s="10" t="inlineStr">
        <is>
          <t>สร้าง PR+PO ใหม่ แล้วรับน้อยกว่าจำนวน PO</t>
        </is>
      </c>
      <c r="F34" s="10" t="inlineStr">
        <is>
          <t>สต็อกเพิ่มเท่าที่รับ PO ยังค้างรับส่วนที่เหลือ</t>
        </is>
      </c>
    </row>
    <row r="35" ht="46" customHeight="1">
      <c r="A35" s="12" t="inlineStr">
        <is>
          <t>F02</t>
        </is>
      </c>
      <c r="B35" s="10" t="inlineStr">
        <is>
          <t>F รับบางส่วน/ยกเลิก</t>
        </is>
      </c>
      <c r="C35" s="13" t="inlineStr">
        <is>
          <t>P1</t>
        </is>
      </c>
      <c r="D35" s="10" t="inlineStr">
        <is>
          <t>รับส่วนที่เหลือ</t>
        </is>
      </c>
      <c r="E35" s="10" t="inlineStr">
        <is>
          <t>รับส่วนที่ค้างในใบถัดไป</t>
        </is>
      </c>
      <c r="F35" s="10" t="inlineStr">
        <is>
          <t>คงเหลือค้างรับเป็น 0</t>
        </is>
      </c>
    </row>
    <row r="36" ht="46" customHeight="1">
      <c r="A36" s="12" t="inlineStr">
        <is>
          <t>F03</t>
        </is>
      </c>
      <c r="B36" s="10" t="inlineStr">
        <is>
          <t>F รับบางส่วน/ยกเลิก</t>
        </is>
      </c>
      <c r="C36" s="13" t="inlineStr">
        <is>
          <t>P1</t>
        </is>
      </c>
      <c r="D36" s="10" t="inlineStr">
        <is>
          <t>ห้ามรับเกิน PO</t>
        </is>
      </c>
      <c r="E36" s="10" t="inlineStr">
        <is>
          <t>พยายามรับเกินจำนวนที่สั่ง</t>
        </is>
      </c>
      <c r="F36" s="10" t="inlineStr">
        <is>
          <t>รับไม่ได้ หรือระบบเตือน</t>
        </is>
      </c>
    </row>
    <row r="37" ht="46" customHeight="1">
      <c r="A37" s="12" t="inlineStr">
        <is>
          <t>F04</t>
        </is>
      </c>
      <c r="B37" s="10" t="inlineStr">
        <is>
          <t>F รับบางส่วน/ยกเลิก</t>
        </is>
      </c>
      <c r="C37" s="13" t="inlineStr">
        <is>
          <t>P1</t>
        </is>
      </c>
      <c r="D37" s="10" t="inlineStr">
        <is>
          <t>ยกเลิก PR ร่างที่เช็คงบแล้ว</t>
        </is>
      </c>
      <c r="E37" s="10" t="inlineStr">
        <is>
          <t>เช็คงบแล้วยกเลิกโดยยังไม่ส่ง</t>
        </is>
      </c>
      <c r="F37" s="10" t="inlineStr">
        <is>
          <t>ไม่กันงบ</t>
        </is>
      </c>
    </row>
    <row r="38" ht="46" customHeight="1">
      <c r="A38" s="12" t="inlineStr">
        <is>
          <t>F05</t>
        </is>
      </c>
      <c r="B38" s="10" t="inlineStr">
        <is>
          <t>F รับบางส่วน/ยกเลิก</t>
        </is>
      </c>
      <c r="C38" s="13" t="inlineStr">
        <is>
          <t>P1</t>
        </is>
      </c>
      <c r="D38" s="10" t="inlineStr">
        <is>
          <t>ยกเลิก PR ที่จองงบแล้ว</t>
        </is>
      </c>
      <c r="E38" s="10" t="inlineStr">
        <is>
          <t>ยกเลิก PR ที่ส่งแล้วและยังไม่มี PO</t>
        </is>
      </c>
      <c r="F38" s="10" t="inlineStr">
        <is>
          <t>คืนวงเงินจอง</t>
        </is>
      </c>
    </row>
    <row r="39" ht="46" customHeight="1">
      <c r="A39" s="12" t="inlineStr">
        <is>
          <t>F06</t>
        </is>
      </c>
      <c r="B39" s="10" t="inlineStr">
        <is>
          <t>F รับบางส่วน/ยกเลิก</t>
        </is>
      </c>
      <c r="C39" s="14" t="inlineStr">
        <is>
          <t>P2</t>
        </is>
      </c>
      <c r="D39" s="10" t="inlineStr">
        <is>
          <t>ยกเลิก PO ที่ยังไม่รับของ</t>
        </is>
      </c>
      <c r="E39" s="10" t="inlineStr">
        <is>
          <t>ยกเลิก PO ที่ยืนยันแล้วแต่ยังไม่รับของ</t>
        </is>
      </c>
      <c r="F39" s="10" t="inlineStr">
        <is>
          <t>คืนผูกพันงบ ตามกติกาที่ตั้งไว้</t>
        </is>
      </c>
    </row>
    <row r="40" ht="46" customHeight="1">
      <c r="A40" s="12" t="inlineStr">
        <is>
          <t>F07</t>
        </is>
      </c>
      <c r="B40" s="10" t="inlineStr">
        <is>
          <t>F รับบางส่วน/ยกเลิก</t>
        </is>
      </c>
      <c r="C40" s="14" t="inlineStr">
        <is>
          <t>P2</t>
        </is>
      </c>
      <c r="D40" s="10" t="inlineStr">
        <is>
          <t>คืนของเข้าคลังหลังรับแล้ว</t>
        </is>
      </c>
      <c r="E40" s="10" t="inlineStr">
        <is>
          <t>ทำ Return จากใบรับ</t>
        </is>
      </c>
      <c r="F40" s="10" t="inlineStr">
        <is>
          <t>สต็อกลด และเอกสารคืนของอ้างอิงต้นทาง</t>
        </is>
      </c>
    </row>
    <row r="41" ht="46" customHeight="1">
      <c r="A41" s="12" t="inlineStr">
        <is>
          <t>G01</t>
        </is>
      </c>
      <c r="B41" s="10" t="inlineStr">
        <is>
          <t>G เชื่อมงบ</t>
        </is>
      </c>
      <c r="C41" s="13" t="inlineStr">
        <is>
          <t>P1</t>
        </is>
      </c>
      <c r="D41" s="10" t="inlineStr">
        <is>
          <t>เทียบจองหลังส่ง PR</t>
        </is>
      </c>
      <c r="E41" s="10" t="inlineStr">
        <is>
          <t>ดูยอดงบหลัง B04</t>
        </is>
      </c>
      <c r="F41" s="10" t="inlineStr">
        <is>
          <t>จอง PR เพิ่ม คงเหลือลด</t>
        </is>
      </c>
    </row>
    <row r="42" ht="46" customHeight="1">
      <c r="A42" s="12" t="inlineStr">
        <is>
          <t>G02</t>
        </is>
      </c>
      <c r="B42" s="10" t="inlineStr">
        <is>
          <t>G เชื่อมงบ</t>
        </is>
      </c>
      <c r="C42" s="13" t="inlineStr">
        <is>
          <t>P1</t>
        </is>
      </c>
      <c r="D42" s="10" t="inlineStr">
        <is>
          <t>เทียบยอดหลังยืนยัน PO</t>
        </is>
      </c>
      <c r="E42" s="10" t="inlineStr">
        <is>
          <t>ดูยอดงบหลัง D02</t>
        </is>
      </c>
      <c r="F42" s="10" t="inlineStr">
        <is>
          <t>จองลด ผูกพันเพิ่ม คงเหลือเท่าเดิม</t>
        </is>
      </c>
    </row>
    <row r="43" ht="46" customHeight="1">
      <c r="A43" s="12" t="inlineStr">
        <is>
          <t>G03</t>
        </is>
      </c>
      <c r="B43" s="10" t="inlineStr">
        <is>
          <t>G เชื่อมงบ</t>
        </is>
      </c>
      <c r="C43" s="13" t="inlineStr">
        <is>
          <t>P1</t>
        </is>
      </c>
      <c r="D43" s="10" t="inlineStr">
        <is>
          <t>โพสต์ใบตั้งเจ้าหนี้</t>
        </is>
      </c>
      <c r="E43" s="10" t="inlineStr">
        <is>
          <t>ตั้งเจ้าหนี้ตาม PO แล้วโพสต์</t>
        </is>
      </c>
      <c r="F43" s="10" t="inlineStr">
        <is>
          <t>ผูกพันลด ใช้จริงเพิ่ม</t>
        </is>
      </c>
    </row>
    <row r="44" ht="46" customHeight="1">
      <c r="A44" s="12" t="inlineStr">
        <is>
          <t>G04</t>
        </is>
      </c>
      <c r="B44" s="10" t="inlineStr">
        <is>
          <t>G เชื่อมงบ</t>
        </is>
      </c>
      <c r="C44" s="13" t="inlineStr">
        <is>
          <t>P1</t>
        </is>
      </c>
      <c r="D44" s="10" t="inlineStr">
        <is>
          <t>เทียบสูตรคงเหลือ</t>
        </is>
      </c>
      <c r="E44" s="10" t="inlineStr">
        <is>
          <t>คำนวณมือ: จัดสรร − ใช้จริง − จอง PR − ผูกพัน PO</t>
        </is>
      </c>
      <c r="F44" s="10" t="inlineStr">
        <is>
          <t>ตัวเลขตรงหน้าจอ</t>
        </is>
      </c>
    </row>
  </sheetData>
  <autoFilter ref="A1:J44"/>
  <conditionalFormatting sqref="G2:G80">
    <cfRule type="cellIs" priority="1" operator="equal" dxfId="0">
      <formula>"ผ่าน"</formula>
    </cfRule>
    <cfRule type="cellIs" priority="2" operator="equal" dxfId="1">
      <formula>"ไม่ผ่าน"</formula>
    </cfRule>
    <cfRule type="cellIs" priority="3" operator="equal" dxfId="2">
      <formula>"ข้าม"</formula>
    </cfRule>
  </conditionalFormatting>
  <dataValidations count="1">
    <dataValidation sqref="G2:G80" showErrorMessage="1" showInputMessage="1" allowBlank="1" errorTitle="ผลทดสอบ" error="เลือก ผ่าน / ไม่ผ่าน / ข้าม" type="list">
      <formula1>"ผ่าน,ไม่ผ่าน,ข้าม"</formula1>
    </dataValidation>
  </dataValidations>
  <pageMargins left="0.75" right="0.75" top="1" bottom="1" header="0.5" footer="0.5"/>
  <pageSetup orientation="landscape" paperSize="9" fitToHeight="0" fitToWidth="1"/>
  <headerFooter>
    <oddHeader>&amp;Lโรงพยาบาลวชิระภูเก็ต · UAT ขอซื้อ จัดซื้อ คลังสินค้า</oddHeader>
    <oddFooter>&amp;Lเอกสารภายใน สำหรับทดสอบระบบ&amp;Rหน้า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8" customWidth="1" min="4" max="4"/>
    <col width="32" customWidth="1" min="5" max="5"/>
    <col width="26" customWidth="1" min="6" max="6"/>
    <col width="26" customWidth="1" min="7" max="7"/>
    <col width="14" customWidth="1" min="8" max="8"/>
    <col width="14" customWidth="1" min="9" max="9"/>
    <col width="18" customWidth="1" min="10" max="10"/>
  </cols>
  <sheetData>
    <row r="1" ht="28" customHeight="1">
      <c r="A1" s="15" t="inlineStr">
        <is>
          <t>รหัสบั๊ก</t>
        </is>
      </c>
      <c r="B1" s="15" t="inlineStr">
        <is>
          <t>เคสที่พบ</t>
        </is>
      </c>
      <c r="C1" s="15" t="inlineStr">
        <is>
          <t>ระดับ</t>
        </is>
      </c>
      <c r="D1" s="15" t="inlineStr">
        <is>
          <t>สรุปปัญหา</t>
        </is>
      </c>
      <c r="E1" s="15" t="inlineStr">
        <is>
          <t>ขั้นตอนที่เกิด</t>
        </is>
      </c>
      <c r="F1" s="15" t="inlineStr">
        <is>
          <t>ผลที่คาด</t>
        </is>
      </c>
      <c r="G1" s="15" t="inlineStr">
        <is>
          <t>ผลที่เกิดจริง</t>
        </is>
      </c>
      <c r="H1" s="15" t="inlineStr">
        <is>
          <t>ผู้พบ</t>
        </is>
      </c>
      <c r="I1" s="15" t="inlineStr">
        <is>
          <t>วันที่</t>
        </is>
      </c>
      <c r="J1" s="15" t="inlineStr">
        <is>
          <t>สถานะแก้</t>
        </is>
      </c>
    </row>
    <row r="2">
      <c r="A2" s="12" t="inlineStr">
        <is>
          <t>BUG-01</t>
        </is>
      </c>
      <c r="B2" s="10" t="inlineStr"/>
      <c r="C2" s="12" t="inlineStr"/>
      <c r="D2" s="10" t="inlineStr"/>
      <c r="E2" s="10" t="inlineStr"/>
      <c r="F2" s="10" t="inlineStr"/>
      <c r="G2" s="10" t="inlineStr"/>
      <c r="H2" s="10" t="inlineStr"/>
      <c r="I2" s="12" t="inlineStr"/>
      <c r="J2" s="12" t="inlineStr"/>
    </row>
    <row r="3">
      <c r="A3" s="12" t="inlineStr">
        <is>
          <t>BUG-02</t>
        </is>
      </c>
      <c r="B3" s="10" t="inlineStr"/>
      <c r="C3" s="12" t="inlineStr"/>
      <c r="D3" s="10" t="inlineStr"/>
      <c r="E3" s="10" t="inlineStr"/>
      <c r="F3" s="10" t="inlineStr"/>
      <c r="G3" s="10" t="inlineStr"/>
      <c r="H3" s="10" t="inlineStr"/>
      <c r="I3" s="12" t="inlineStr"/>
      <c r="J3" s="12" t="inlineStr"/>
    </row>
    <row r="4">
      <c r="A4" s="12" t="inlineStr">
        <is>
          <t>BUG-03</t>
        </is>
      </c>
      <c r="B4" s="10" t="inlineStr"/>
      <c r="C4" s="12" t="inlineStr"/>
      <c r="D4" s="10" t="inlineStr"/>
      <c r="E4" s="10" t="inlineStr"/>
      <c r="F4" s="10" t="inlineStr"/>
      <c r="G4" s="10" t="inlineStr"/>
      <c r="H4" s="10" t="inlineStr"/>
      <c r="I4" s="12" t="inlineStr"/>
      <c r="J4" s="12" t="inlineStr"/>
    </row>
    <row r="5">
      <c r="A5" s="12" t="inlineStr">
        <is>
          <t>BUG-04</t>
        </is>
      </c>
      <c r="B5" s="10" t="inlineStr"/>
      <c r="C5" s="12" t="inlineStr"/>
      <c r="D5" s="10" t="inlineStr"/>
      <c r="E5" s="10" t="inlineStr"/>
      <c r="F5" s="10" t="inlineStr"/>
      <c r="G5" s="10" t="inlineStr"/>
      <c r="H5" s="10" t="inlineStr"/>
      <c r="I5" s="12" t="inlineStr"/>
      <c r="J5" s="12" t="inlineStr"/>
    </row>
    <row r="6">
      <c r="A6" s="12" t="inlineStr">
        <is>
          <t>BUG-05</t>
        </is>
      </c>
      <c r="B6" s="10" t="inlineStr"/>
      <c r="C6" s="12" t="inlineStr"/>
      <c r="D6" s="10" t="inlineStr"/>
      <c r="E6" s="10" t="inlineStr"/>
      <c r="F6" s="10" t="inlineStr"/>
      <c r="G6" s="10" t="inlineStr"/>
      <c r="H6" s="10" t="inlineStr"/>
      <c r="I6" s="12" t="inlineStr"/>
      <c r="J6" s="12" t="inlineStr"/>
    </row>
    <row r="7">
      <c r="A7" s="12" t="inlineStr">
        <is>
          <t>BUG-06</t>
        </is>
      </c>
      <c r="B7" s="10" t="inlineStr"/>
      <c r="C7" s="12" t="inlineStr"/>
      <c r="D7" s="10" t="inlineStr"/>
      <c r="E7" s="10" t="inlineStr"/>
      <c r="F7" s="10" t="inlineStr"/>
      <c r="G7" s="10" t="inlineStr"/>
      <c r="H7" s="10" t="inlineStr"/>
      <c r="I7" s="12" t="inlineStr"/>
      <c r="J7" s="12" t="inlineStr"/>
    </row>
    <row r="8">
      <c r="A8" s="12" t="inlineStr">
        <is>
          <t>BUG-07</t>
        </is>
      </c>
      <c r="B8" s="10" t="inlineStr"/>
      <c r="C8" s="12" t="inlineStr"/>
      <c r="D8" s="10" t="inlineStr"/>
      <c r="E8" s="10" t="inlineStr"/>
      <c r="F8" s="10" t="inlineStr"/>
      <c r="G8" s="10" t="inlineStr"/>
      <c r="H8" s="10" t="inlineStr"/>
      <c r="I8" s="12" t="inlineStr"/>
      <c r="J8" s="12" t="inlineStr"/>
    </row>
    <row r="9">
      <c r="A9" s="12" t="inlineStr">
        <is>
          <t>BUG-08</t>
        </is>
      </c>
      <c r="B9" s="10" t="inlineStr"/>
      <c r="C9" s="12" t="inlineStr"/>
      <c r="D9" s="10" t="inlineStr"/>
      <c r="E9" s="10" t="inlineStr"/>
      <c r="F9" s="10" t="inlineStr"/>
      <c r="G9" s="10" t="inlineStr"/>
      <c r="H9" s="10" t="inlineStr"/>
      <c r="I9" s="12" t="inlineStr"/>
      <c r="J9" s="12" t="inlineStr"/>
    </row>
    <row r="10">
      <c r="A10" s="12" t="inlineStr">
        <is>
          <t>BUG-09</t>
        </is>
      </c>
      <c r="B10" s="10" t="inlineStr"/>
      <c r="C10" s="12" t="inlineStr"/>
      <c r="D10" s="10" t="inlineStr"/>
      <c r="E10" s="10" t="inlineStr"/>
      <c r="F10" s="10" t="inlineStr"/>
      <c r="G10" s="10" t="inlineStr"/>
      <c r="H10" s="10" t="inlineStr"/>
      <c r="I10" s="12" t="inlineStr"/>
      <c r="J10" s="12" t="inlineStr"/>
    </row>
    <row r="11">
      <c r="A11" s="12" t="inlineStr">
        <is>
          <t>BUG-10</t>
        </is>
      </c>
      <c r="B11" s="10" t="inlineStr"/>
      <c r="C11" s="12" t="inlineStr"/>
      <c r="D11" s="10" t="inlineStr"/>
      <c r="E11" s="10" t="inlineStr"/>
      <c r="F11" s="10" t="inlineStr"/>
      <c r="G11" s="10" t="inlineStr"/>
      <c r="H11" s="10" t="inlineStr"/>
      <c r="I11" s="12" t="inlineStr"/>
      <c r="J11" s="12" t="inlineStr"/>
    </row>
    <row r="12">
      <c r="A12" s="12" t="inlineStr">
        <is>
          <t>BUG-11</t>
        </is>
      </c>
      <c r="B12" s="10" t="inlineStr"/>
      <c r="C12" s="12" t="inlineStr"/>
      <c r="D12" s="10" t="inlineStr"/>
      <c r="E12" s="10" t="inlineStr"/>
      <c r="F12" s="10" t="inlineStr"/>
      <c r="G12" s="10" t="inlineStr"/>
      <c r="H12" s="10" t="inlineStr"/>
      <c r="I12" s="12" t="inlineStr"/>
      <c r="J12" s="12" t="inlineStr"/>
    </row>
    <row r="13">
      <c r="A13" s="12" t="inlineStr">
        <is>
          <t>BUG-12</t>
        </is>
      </c>
      <c r="B13" s="10" t="inlineStr"/>
      <c r="C13" s="12" t="inlineStr"/>
      <c r="D13" s="10" t="inlineStr"/>
      <c r="E13" s="10" t="inlineStr"/>
      <c r="F13" s="10" t="inlineStr"/>
      <c r="G13" s="10" t="inlineStr"/>
      <c r="H13" s="10" t="inlineStr"/>
      <c r="I13" s="12" t="inlineStr"/>
      <c r="J13" s="12" t="inlineStr"/>
    </row>
    <row r="14">
      <c r="A14" s="12" t="inlineStr">
        <is>
          <t>BUG-13</t>
        </is>
      </c>
      <c r="B14" s="10" t="inlineStr"/>
      <c r="C14" s="12" t="inlineStr"/>
      <c r="D14" s="10" t="inlineStr"/>
      <c r="E14" s="10" t="inlineStr"/>
      <c r="F14" s="10" t="inlineStr"/>
      <c r="G14" s="10" t="inlineStr"/>
      <c r="H14" s="10" t="inlineStr"/>
      <c r="I14" s="12" t="inlineStr"/>
      <c r="J14" s="12" t="inlineStr"/>
    </row>
    <row r="15">
      <c r="A15" s="12" t="inlineStr">
        <is>
          <t>BUG-14</t>
        </is>
      </c>
      <c r="B15" s="10" t="inlineStr"/>
      <c r="C15" s="12" t="inlineStr"/>
      <c r="D15" s="10" t="inlineStr"/>
      <c r="E15" s="10" t="inlineStr"/>
      <c r="F15" s="10" t="inlineStr"/>
      <c r="G15" s="10" t="inlineStr"/>
      <c r="H15" s="10" t="inlineStr"/>
      <c r="I15" s="12" t="inlineStr"/>
      <c r="J15" s="12" t="inlineStr"/>
    </row>
    <row r="16">
      <c r="A16" s="12" t="inlineStr">
        <is>
          <t>BUG-15</t>
        </is>
      </c>
      <c r="B16" s="10" t="inlineStr"/>
      <c r="C16" s="12" t="inlineStr"/>
      <c r="D16" s="10" t="inlineStr"/>
      <c r="E16" s="10" t="inlineStr"/>
      <c r="F16" s="10" t="inlineStr"/>
      <c r="G16" s="10" t="inlineStr"/>
      <c r="H16" s="10" t="inlineStr"/>
      <c r="I16" s="12" t="inlineStr"/>
      <c r="J16" s="12" t="inlineStr"/>
    </row>
    <row r="17">
      <c r="A17" s="12" t="inlineStr">
        <is>
          <t>BUG-16</t>
        </is>
      </c>
      <c r="B17" s="10" t="inlineStr"/>
      <c r="C17" s="12" t="inlineStr"/>
      <c r="D17" s="10" t="inlineStr"/>
      <c r="E17" s="10" t="inlineStr"/>
      <c r="F17" s="10" t="inlineStr"/>
      <c r="G17" s="10" t="inlineStr"/>
      <c r="H17" s="10" t="inlineStr"/>
      <c r="I17" s="12" t="inlineStr"/>
      <c r="J17" s="12" t="inlineStr"/>
    </row>
    <row r="18">
      <c r="A18" s="12" t="inlineStr">
        <is>
          <t>BUG-17</t>
        </is>
      </c>
      <c r="B18" s="10" t="inlineStr"/>
      <c r="C18" s="12" t="inlineStr"/>
      <c r="D18" s="10" t="inlineStr"/>
      <c r="E18" s="10" t="inlineStr"/>
      <c r="F18" s="10" t="inlineStr"/>
      <c r="G18" s="10" t="inlineStr"/>
      <c r="H18" s="10" t="inlineStr"/>
      <c r="I18" s="12" t="inlineStr"/>
      <c r="J18" s="12" t="inlineStr"/>
    </row>
    <row r="19">
      <c r="A19" s="12" t="inlineStr">
        <is>
          <t>BUG-18</t>
        </is>
      </c>
      <c r="B19" s="10" t="inlineStr"/>
      <c r="C19" s="12" t="inlineStr"/>
      <c r="D19" s="10" t="inlineStr"/>
      <c r="E19" s="10" t="inlineStr"/>
      <c r="F19" s="10" t="inlineStr"/>
      <c r="G19" s="10" t="inlineStr"/>
      <c r="H19" s="10" t="inlineStr"/>
      <c r="I19" s="12" t="inlineStr"/>
      <c r="J19" s="12" t="inlineStr"/>
    </row>
    <row r="20">
      <c r="A20" s="12" t="inlineStr">
        <is>
          <t>BUG-19</t>
        </is>
      </c>
      <c r="B20" s="10" t="inlineStr"/>
      <c r="C20" s="12" t="inlineStr"/>
      <c r="D20" s="10" t="inlineStr"/>
      <c r="E20" s="10" t="inlineStr"/>
      <c r="F20" s="10" t="inlineStr"/>
      <c r="G20" s="10" t="inlineStr"/>
      <c r="H20" s="10" t="inlineStr"/>
      <c r="I20" s="12" t="inlineStr"/>
      <c r="J20" s="12" t="inlineStr"/>
    </row>
  </sheetData>
  <dataValidations count="2">
    <dataValidation sqref="C2:C20" showErrorMessage="1" showInputMessage="1" allowBlank="1" type="list">
      <formula1>"Blocker,Major,Minor,Cosmetic"</formula1>
    </dataValidation>
    <dataValidation sqref="J2:J20" showErrorMessage="1" showInputMessage="1" allowBlank="1" type="list">
      <formula1>"เปิด,กำลังแก้,แก้แล้วรอทดสอบซ้ำ,ปิด"</formula1>
    </dataValidation>
  </dataValidations>
  <pageMargins left="0.75" right="0.75" top="1" bottom="1" header="0.5" footer="0.5"/>
  <pageSetup orientation="landscape" paperSize="9" fitToHeight="1" fitToWidth="1"/>
  <headerFooter>
    <oddHeader>&amp;Lโรงพยาบาลวชิระภูเก็ต · UAT ขอซื้อ จัดซื้อ คลังสินค้า</oddHeader>
    <oddFooter>&amp;Lเอกสารภายใน สำหรับทดสอบระบบ&amp;Rหน้า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2:H19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2">
      <c r="B2" s="16" t="inlineStr">
        <is>
          <t>สรุปผลการทดสอบขอซื้อ จัดซื้อ งานคลังสินค้า</t>
        </is>
      </c>
    </row>
    <row r="4" ht="28" customHeight="1">
      <c r="A4" s="7" t="inlineStr"/>
      <c r="B4" s="7" t="inlineStr">
        <is>
          <t>ชุด</t>
        </is>
      </c>
      <c r="C4" s="7" t="inlineStr">
        <is>
          <t>ทั้งหมด</t>
        </is>
      </c>
      <c r="D4" s="7" t="inlineStr">
        <is>
          <t>ผ่าน</t>
        </is>
      </c>
      <c r="E4" s="7" t="inlineStr">
        <is>
          <t>ไม่ผ่าน</t>
        </is>
      </c>
      <c r="F4" s="7" t="inlineStr">
        <is>
          <t>ข้าม</t>
        </is>
      </c>
      <c r="G4" s="7" t="inlineStr">
        <is>
          <t>ยังไม่ทำ</t>
        </is>
      </c>
      <c r="H4" s="7" t="inlineStr">
        <is>
          <t>% ผ่าน P1</t>
        </is>
      </c>
    </row>
    <row r="5">
      <c r="A5" s="8" t="n">
        <v>1</v>
      </c>
      <c r="B5" s="9" t="inlineStr">
        <is>
          <t>A สิทธิ์/ข้อมูลหลัก</t>
        </is>
      </c>
      <c r="C5" s="12">
        <f>COUNTIF('บันทึกผลเคส'!A:A,"A*")</f>
        <v/>
      </c>
      <c r="D5" s="12">
        <f>COUNTIFS('บันทึกผลเคส'!A:A,"A*",'บันทึกผลเคส'!G:G,"ผ่าน")</f>
        <v/>
      </c>
      <c r="E5" s="12">
        <f>COUNTIFS('บันทึกผลเคส'!A:A,"A*",'บันทึกผลเคส'!G:G,"ไม่ผ่าน")</f>
        <v/>
      </c>
      <c r="F5" s="12">
        <f>COUNTIFS('บันทึกผลเคส'!A:A,"A*",'บันทึกผลเคส'!G:G,"ข้าม")</f>
        <v/>
      </c>
      <c r="G5" s="12">
        <f>C5-D5-E5-F5</f>
        <v/>
      </c>
      <c r="H5" s="17">
        <f>IFERROR(COUNTIFS('บันทึกผลเคส'!A:A,"A*",'บันทึกผลเคส'!C:C,"P1",'บันทึกผลเคส'!G:G,"ผ่าน")/COUNTIFS('บันทึกผลเคส'!A:A,"A*",'บันทึกผลเคส'!C:C,"P1"),0)</f>
        <v/>
      </c>
    </row>
    <row r="6">
      <c r="A6" s="8" t="n">
        <v>2</v>
      </c>
      <c r="B6" s="9" t="inlineStr">
        <is>
          <t>B ขอซื้อผ่าน</t>
        </is>
      </c>
      <c r="C6" s="12">
        <f>COUNTIF('บันทึกผลเคส'!A:A,"B*")</f>
        <v/>
      </c>
      <c r="D6" s="12">
        <f>COUNTIFS('บันทึกผลเคส'!A:A,"B*",'บันทึกผลเคส'!G:G,"ผ่าน")</f>
        <v/>
      </c>
      <c r="E6" s="12">
        <f>COUNTIFS('บันทึกผลเคส'!A:A,"B*",'บันทึกผลเคส'!G:G,"ไม่ผ่าน")</f>
        <v/>
      </c>
      <c r="F6" s="12">
        <f>COUNTIFS('บันทึกผลเคส'!A:A,"B*",'บันทึกผลเคส'!G:G,"ข้าม")</f>
        <v/>
      </c>
      <c r="G6" s="12">
        <f>C6-D6-E6-F6</f>
        <v/>
      </c>
      <c r="H6" s="17">
        <f>IFERROR(COUNTIFS('บันทึกผลเคส'!A:A,"B*",'บันทึกผลเคส'!C:C,"P1",'บันทึกผลเคส'!G:G,"ผ่าน")/COUNTIFS('บันทึกผลเคส'!A:A,"B*",'บันทึกผลเคส'!C:C,"P1"),0)</f>
        <v/>
      </c>
    </row>
    <row r="7">
      <c r="A7" s="8" t="n">
        <v>3</v>
      </c>
      <c r="B7" s="9" t="inlineStr">
        <is>
          <t>C กติกาขอซื้อ</t>
        </is>
      </c>
      <c r="C7" s="12">
        <f>COUNTIF('บันทึกผลเคส'!A:A,"C*")</f>
        <v/>
      </c>
      <c r="D7" s="12">
        <f>COUNTIFS('บันทึกผลเคส'!A:A,"C*",'บันทึกผลเคส'!G:G,"ผ่าน")</f>
        <v/>
      </c>
      <c r="E7" s="12">
        <f>COUNTIFS('บันทึกผลเคส'!A:A,"C*",'บันทึกผลเคส'!G:G,"ไม่ผ่าน")</f>
        <v/>
      </c>
      <c r="F7" s="12">
        <f>COUNTIFS('บันทึกผลเคส'!A:A,"C*",'บันทึกผลเคส'!G:G,"ข้าม")</f>
        <v/>
      </c>
      <c r="G7" s="12">
        <f>C7-D7-E7-F7</f>
        <v/>
      </c>
      <c r="H7" s="17">
        <f>IFERROR(COUNTIFS('บันทึกผลเคส'!A:A,"C*",'บันทึกผลเคส'!C:C,"P1",'บันทึกผลเคส'!G:G,"ผ่าน")/COUNTIFS('บันทึกผลเคส'!A:A,"C*",'บันทึกผลเคส'!C:C,"P1"),0)</f>
        <v/>
      </c>
    </row>
    <row r="8">
      <c r="A8" s="8" t="n">
        <v>4</v>
      </c>
      <c r="B8" s="9" t="inlineStr">
        <is>
          <t>D จัดซื้อ</t>
        </is>
      </c>
      <c r="C8" s="12">
        <f>COUNTIF('บันทึกผลเคส'!A:A,"D*")</f>
        <v/>
      </c>
      <c r="D8" s="12">
        <f>COUNTIFS('บันทึกผลเคส'!A:A,"D*",'บันทึกผลเคส'!G:G,"ผ่าน")</f>
        <v/>
      </c>
      <c r="E8" s="12">
        <f>COUNTIFS('บันทึกผลเคส'!A:A,"D*",'บันทึกผลเคส'!G:G,"ไม่ผ่าน")</f>
        <v/>
      </c>
      <c r="F8" s="12">
        <f>COUNTIFS('บันทึกผลเคส'!A:A,"D*",'บันทึกผลเคส'!G:G,"ข้าม")</f>
        <v/>
      </c>
      <c r="G8" s="12">
        <f>C8-D8-E8-F8</f>
        <v/>
      </c>
      <c r="H8" s="17">
        <f>IFERROR(COUNTIFS('บันทึกผลเคส'!A:A,"D*",'บันทึกผลเคส'!C:C,"P1",'บันทึกผลเคส'!G:G,"ผ่าน")/COUNTIFS('บันทึกผลเคส'!A:A,"D*",'บันทึกผลเคส'!C:C,"P1"),0)</f>
        <v/>
      </c>
    </row>
    <row r="9">
      <c r="A9" s="8" t="n">
        <v>5</v>
      </c>
      <c r="B9" s="9" t="inlineStr">
        <is>
          <t>E คลังสินค้า</t>
        </is>
      </c>
      <c r="C9" s="12">
        <f>COUNTIF('บันทึกผลเคส'!A:A,"E*")</f>
        <v/>
      </c>
      <c r="D9" s="12">
        <f>COUNTIFS('บันทึกผลเคส'!A:A,"E*",'บันทึกผลเคส'!G:G,"ผ่าน")</f>
        <v/>
      </c>
      <c r="E9" s="12">
        <f>COUNTIFS('บันทึกผลเคส'!A:A,"E*",'บันทึกผลเคส'!G:G,"ไม่ผ่าน")</f>
        <v/>
      </c>
      <c r="F9" s="12">
        <f>COUNTIFS('บันทึกผลเคส'!A:A,"E*",'บันทึกผลเคส'!G:G,"ข้าม")</f>
        <v/>
      </c>
      <c r="G9" s="12">
        <f>C9-D9-E9-F9</f>
        <v/>
      </c>
      <c r="H9" s="17">
        <f>IFERROR(COUNTIFS('บันทึกผลเคส'!A:A,"E*",'บันทึกผลเคส'!C:C,"P1",'บันทึกผลเคส'!G:G,"ผ่าน")/COUNTIFS('บันทึกผลเคส'!A:A,"E*",'บันทึกผลเคส'!C:C,"P1"),0)</f>
        <v/>
      </c>
    </row>
    <row r="10">
      <c r="A10" s="8" t="n">
        <v>6</v>
      </c>
      <c r="B10" s="9" t="inlineStr">
        <is>
          <t>F รับบางส่วน/ยกเลิก</t>
        </is>
      </c>
      <c r="C10" s="12">
        <f>COUNTIF('บันทึกผลเคส'!A:A,"F*")</f>
        <v/>
      </c>
      <c r="D10" s="12">
        <f>COUNTIFS('บันทึกผลเคส'!A:A,"F*",'บันทึกผลเคส'!G:G,"ผ่าน")</f>
        <v/>
      </c>
      <c r="E10" s="12">
        <f>COUNTIFS('บันทึกผลเคส'!A:A,"F*",'บันทึกผลเคส'!G:G,"ไม่ผ่าน")</f>
        <v/>
      </c>
      <c r="F10" s="12">
        <f>COUNTIFS('บันทึกผลเคส'!A:A,"F*",'บันทึกผลเคส'!G:G,"ข้าม")</f>
        <v/>
      </c>
      <c r="G10" s="12">
        <f>C10-D10-E10-F10</f>
        <v/>
      </c>
      <c r="H10" s="17">
        <f>IFERROR(COUNTIFS('บันทึกผลเคส'!A:A,"F*",'บันทึกผลเคส'!C:C,"P1",'บันทึกผลเคส'!G:G,"ผ่าน")/COUNTIFS('บันทึกผลเคส'!A:A,"F*",'บันทึกผลเคส'!C:C,"P1"),0)</f>
        <v/>
      </c>
    </row>
    <row r="11">
      <c r="A11" s="8" t="n">
        <v>7</v>
      </c>
      <c r="B11" s="9" t="inlineStr">
        <is>
          <t>G เชื่อมงบ</t>
        </is>
      </c>
      <c r="C11" s="12">
        <f>COUNTIF('บันทึกผลเคส'!A:A,"G*")</f>
        <v/>
      </c>
      <c r="D11" s="12">
        <f>COUNTIFS('บันทึกผลเคส'!A:A,"G*",'บันทึกผลเคส'!G:G,"ผ่าน")</f>
        <v/>
      </c>
      <c r="E11" s="12">
        <f>COUNTIFS('บันทึกผลเคส'!A:A,"G*",'บันทึกผลเคส'!G:G,"ไม่ผ่าน")</f>
        <v/>
      </c>
      <c r="F11" s="12">
        <f>COUNTIFS('บันทึกผลเคส'!A:A,"G*",'บันทึกผลเคส'!G:G,"ข้าม")</f>
        <v/>
      </c>
      <c r="G11" s="12">
        <f>C11-D11-E11-F11</f>
        <v/>
      </c>
      <c r="H11" s="17">
        <f>IFERROR(COUNTIFS('บันทึกผลเคส'!A:A,"G*",'บันทึกผลเคส'!C:C,"P1",'บันทึกผลเคส'!G:G,"ผ่าน")/COUNTIFS('บันทึกผลเคส'!A:A,"G*",'บันทึกผลเคส'!C:C,"P1"),0)</f>
        <v/>
      </c>
    </row>
    <row r="13">
      <c r="B13" s="18" t="inlineStr">
        <is>
          <t>รวมทุกชุด</t>
        </is>
      </c>
      <c r="C13" s="19">
        <f>SUM(C5:C11)</f>
        <v/>
      </c>
      <c r="D13" s="19">
        <f>SUM(D5:D11)</f>
        <v/>
      </c>
      <c r="E13" s="19">
        <f>SUM(E5:E11)</f>
        <v/>
      </c>
      <c r="F13" s="19">
        <f>SUM(F5:F11)</f>
        <v/>
      </c>
      <c r="G13" s="19">
        <f>SUM(G5:G11)</f>
        <v/>
      </c>
      <c r="H13" s="20">
        <f>IFERROR(COUNTIFS('บันทึกผลเคส'!C:C,"P1",'บันทึกผลเคส'!G:G,"ผ่าน")/COUNTIF('บันทึกผลเคส'!C:C,"P1"),0)</f>
        <v/>
      </c>
    </row>
    <row r="16">
      <c r="B16" s="21" t="inlineStr">
        <is>
          <t>ตัดสินใจ:  ผ่าน UAT และไป Go-Live ได้   /   ผ่านแบบมีเงื่อนไข   /   ต้องทดสอบซ้ำ
เงื่อนไขที่ค้าง: .................................................................
ลงนามผู้ประสาน: ....................................     วันที่: ................</t>
        </is>
      </c>
    </row>
    <row r="17"/>
    <row r="18"/>
    <row r="19"/>
  </sheetData>
  <mergeCells count="2">
    <mergeCell ref="B2:H2"/>
    <mergeCell ref="B16:H19"/>
  </mergeCells>
  <pageMargins left="0.75" right="0.75" top="1" bottom="1" header="0.5" footer="0.5"/>
  <pageSetup orientation="landscape" paperSize="9" fitToHeight="1" fitToWidth="1"/>
  <headerFooter>
    <oddHeader>&amp;Lโรงพยาบาลวชิระภูเก็ต · UAT ขอซื้อ จัดซื้อ คลังสินค้า</oddHeader>
    <oddFooter>&amp;Lเอกสารภายใน สำหรับทดสอบระบบ&amp;Rหน้า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2026-09-08T21:49:54Z</dcterms:created>
  <dcterms:modified xmlns:dcterms="http://purl.org/dc/terms/" xmlns:xsi="http://www.w3.org/2001/XMLSchema-instance" xsi:type="dcterms:W3CDTF">2026-09-08T21:49:54Z</dcterms:modified>
</cp:coreProperties>
</file>