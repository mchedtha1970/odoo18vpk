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โอ๋\รายงานปิดคลัง\ข้อมูลปิดคลัง 68\"/>
    </mc:Choice>
  </mc:AlternateContent>
  <xr:revisionPtr revIDLastSave="0" documentId="13_ncr:1_{CD7A174C-B894-4371-B8E9-6CF44A2C85C9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เวชภัณฑ์ " sheetId="8" r:id="rId1"/>
    <sheet name="การพยาบาล" sheetId="6" r:id="rId2"/>
    <sheet name="เภสัช" sheetId="7" r:id="rId3"/>
    <sheet name="เฝือก" sheetId="4" r:id="rId4"/>
    <sheet name="Sheet1" sheetId="9" r:id="rId5"/>
  </sheets>
  <definedNames>
    <definedName name="_xlnm._FilterDatabase" localSheetId="1" hidden="1">การพยาบาล!$A$2:$L$382</definedName>
    <definedName name="_xlnm._FilterDatabase" localSheetId="3" hidden="1">เฝือก!$A$2:$L$90</definedName>
    <definedName name="_xlnm._FilterDatabase" localSheetId="2" hidden="1">เภสัช!$A$2:$P$96</definedName>
    <definedName name="_xlnm._FilterDatabase" localSheetId="0" hidden="1">'เวชภัณฑ์ '!$A$2:$L$206</definedName>
    <definedName name="_xlnm.Print_Titles" localSheetId="1">การพยาบาล!$1:$2</definedName>
    <definedName name="_xlnm.Print_Titles" localSheetId="3">เฝือก!$1:$2</definedName>
    <definedName name="_xlnm.Print_Titles" localSheetId="2">เภสัช!$1:$2</definedName>
    <definedName name="_xlnm.Print_Titles" localSheetId="0">'เวชภัณฑ์ '!$1:$2</definedName>
  </definedNames>
  <calcPr calcId="181029"/>
</workbook>
</file>

<file path=xl/calcChain.xml><?xml version="1.0" encoding="utf-8"?>
<calcChain xmlns="http://schemas.openxmlformats.org/spreadsheetml/2006/main">
  <c r="K157" i="8" l="1"/>
  <c r="F157" i="8"/>
  <c r="H157" i="8" s="1"/>
  <c r="G157" i="8" s="1"/>
  <c r="K201" i="8" l="1"/>
  <c r="F201" i="8"/>
  <c r="H201" i="8" s="1"/>
  <c r="G201" i="8" s="1"/>
  <c r="K198" i="8"/>
  <c r="F198" i="8"/>
  <c r="H198" i="8" s="1"/>
  <c r="G198" i="8" s="1"/>
  <c r="K197" i="8"/>
  <c r="F197" i="8"/>
  <c r="H197" i="8" s="1"/>
  <c r="G197" i="8" s="1"/>
  <c r="K196" i="8"/>
  <c r="F196" i="8"/>
  <c r="H196" i="8" s="1"/>
  <c r="G196" i="8" s="1"/>
  <c r="K195" i="8"/>
  <c r="F195" i="8"/>
  <c r="H195" i="8" s="1"/>
  <c r="G195" i="8" s="1"/>
  <c r="K194" i="8"/>
  <c r="F194" i="8"/>
  <c r="H194" i="8" s="1"/>
  <c r="G194" i="8" s="1"/>
  <c r="K193" i="8"/>
  <c r="F193" i="8"/>
  <c r="H193" i="8" s="1"/>
  <c r="G193" i="8" s="1"/>
  <c r="K192" i="8"/>
  <c r="F192" i="8"/>
  <c r="H192" i="8" s="1"/>
  <c r="G192" i="8" s="1"/>
  <c r="K191" i="8"/>
  <c r="F191" i="8"/>
  <c r="H191" i="8" s="1"/>
  <c r="G191" i="8" s="1"/>
  <c r="K190" i="8"/>
  <c r="F190" i="8"/>
  <c r="H190" i="8" s="1"/>
  <c r="G190" i="8" s="1"/>
  <c r="K189" i="8"/>
  <c r="F189" i="8"/>
  <c r="H189" i="8" s="1"/>
  <c r="G189" i="8" s="1"/>
  <c r="K188" i="8"/>
  <c r="F188" i="8"/>
  <c r="H188" i="8" s="1"/>
  <c r="G188" i="8" s="1"/>
  <c r="K187" i="8"/>
  <c r="F187" i="8"/>
  <c r="H187" i="8" s="1"/>
  <c r="G187" i="8" s="1"/>
  <c r="K186" i="8"/>
  <c r="F186" i="8"/>
  <c r="H186" i="8" s="1"/>
  <c r="G186" i="8" s="1"/>
  <c r="K185" i="8"/>
  <c r="F185" i="8"/>
  <c r="H185" i="8" s="1"/>
  <c r="G185" i="8" s="1"/>
  <c r="K184" i="8"/>
  <c r="F184" i="8"/>
  <c r="H184" i="8" s="1"/>
  <c r="G184" i="8" s="1"/>
  <c r="K182" i="8"/>
  <c r="F182" i="8"/>
  <c r="H182" i="8" s="1"/>
  <c r="G182" i="8" s="1"/>
  <c r="K183" i="8"/>
  <c r="F183" i="8"/>
  <c r="H183" i="8" s="1"/>
  <c r="G183" i="8" s="1"/>
  <c r="K181" i="8"/>
  <c r="F181" i="8"/>
  <c r="H181" i="8" s="1"/>
  <c r="G181" i="8" s="1"/>
  <c r="K173" i="8"/>
  <c r="F173" i="8"/>
  <c r="H173" i="8" s="1"/>
  <c r="G173" i="8" s="1"/>
  <c r="F346" i="6" l="1"/>
  <c r="H346" i="6" s="1"/>
  <c r="G346" i="6" s="1"/>
  <c r="F347" i="6"/>
  <c r="H347" i="6" s="1"/>
  <c r="G347" i="6" s="1"/>
  <c r="F348" i="6"/>
  <c r="H348" i="6" s="1"/>
  <c r="G348" i="6" s="1"/>
  <c r="F349" i="6"/>
  <c r="H349" i="6" s="1"/>
  <c r="G349" i="6" s="1"/>
  <c r="F350" i="6"/>
  <c r="H350" i="6" s="1"/>
  <c r="G350" i="6" s="1"/>
  <c r="F351" i="6"/>
  <c r="H351" i="6" s="1"/>
  <c r="G351" i="6" s="1"/>
  <c r="F352" i="6"/>
  <c r="H352" i="6" s="1"/>
  <c r="G352" i="6" s="1"/>
  <c r="K378" i="6" l="1"/>
  <c r="F378" i="6"/>
  <c r="H378" i="6" s="1"/>
  <c r="G378" i="6" s="1"/>
  <c r="K377" i="6"/>
  <c r="K379" i="6" s="1"/>
  <c r="F377" i="6"/>
  <c r="H377" i="6" s="1"/>
  <c r="G377" i="6" s="1"/>
  <c r="K374" i="6"/>
  <c r="F374" i="6"/>
  <c r="H374" i="6" s="1"/>
  <c r="G374" i="6" s="1"/>
  <c r="K373" i="6"/>
  <c r="F373" i="6"/>
  <c r="H373" i="6" s="1"/>
  <c r="G373" i="6" s="1"/>
  <c r="K372" i="6"/>
  <c r="F372" i="6"/>
  <c r="H372" i="6" s="1"/>
  <c r="G372" i="6" s="1"/>
  <c r="K371" i="6"/>
  <c r="F371" i="6"/>
  <c r="H371" i="6" s="1"/>
  <c r="G371" i="6" s="1"/>
  <c r="K370" i="6"/>
  <c r="F370" i="6"/>
  <c r="H370" i="6" s="1"/>
  <c r="G370" i="6" s="1"/>
  <c r="K369" i="6"/>
  <c r="F369" i="6"/>
  <c r="H369" i="6" s="1"/>
  <c r="G369" i="6" s="1"/>
  <c r="K368" i="6"/>
  <c r="F368" i="6"/>
  <c r="H368" i="6" s="1"/>
  <c r="G368" i="6" s="1"/>
  <c r="K367" i="6"/>
  <c r="F367" i="6"/>
  <c r="H367" i="6" s="1"/>
  <c r="G367" i="6" s="1"/>
  <c r="K366" i="6"/>
  <c r="F366" i="6"/>
  <c r="H366" i="6" s="1"/>
  <c r="G366" i="6" s="1"/>
  <c r="K365" i="6"/>
  <c r="F365" i="6"/>
  <c r="H365" i="6" s="1"/>
  <c r="G365" i="6" s="1"/>
  <c r="K364" i="6"/>
  <c r="F364" i="6"/>
  <c r="H364" i="6" s="1"/>
  <c r="G364" i="6" s="1"/>
  <c r="K363" i="6"/>
  <c r="F363" i="6"/>
  <c r="H363" i="6" s="1"/>
  <c r="G363" i="6" s="1"/>
  <c r="K362" i="6"/>
  <c r="F362" i="6"/>
  <c r="H362" i="6" s="1"/>
  <c r="G362" i="6" s="1"/>
  <c r="K361" i="6"/>
  <c r="F361" i="6"/>
  <c r="H361" i="6" s="1"/>
  <c r="G361" i="6" s="1"/>
  <c r="K360" i="6"/>
  <c r="F360" i="6"/>
  <c r="H360" i="6" s="1"/>
  <c r="G360" i="6" s="1"/>
  <c r="K359" i="6"/>
  <c r="F359" i="6"/>
  <c r="H359" i="6" s="1"/>
  <c r="G359" i="6" s="1"/>
  <c r="K358" i="6"/>
  <c r="F358" i="6"/>
  <c r="H358" i="6" s="1"/>
  <c r="G358" i="6" s="1"/>
  <c r="K357" i="6"/>
  <c r="F357" i="6"/>
  <c r="H357" i="6" s="1"/>
  <c r="G357" i="6" s="1"/>
  <c r="K356" i="6"/>
  <c r="F356" i="6"/>
  <c r="H356" i="6" s="1"/>
  <c r="G356" i="6" s="1"/>
  <c r="K355" i="6"/>
  <c r="F355" i="6"/>
  <c r="H355" i="6" s="1"/>
  <c r="G355" i="6" s="1"/>
  <c r="K375" i="6" l="1"/>
  <c r="G375" i="6"/>
  <c r="G379" i="6"/>
  <c r="F84" i="6" l="1"/>
  <c r="H84" i="6" s="1"/>
  <c r="G84" i="6" s="1"/>
  <c r="K84" i="6"/>
  <c r="F85" i="6"/>
  <c r="H85" i="6" s="1"/>
  <c r="G85" i="6" s="1"/>
  <c r="K85" i="6"/>
  <c r="F86" i="6"/>
  <c r="H86" i="6" s="1"/>
  <c r="G86" i="6" s="1"/>
  <c r="K86" i="6"/>
  <c r="F87" i="6"/>
  <c r="H87" i="6" s="1"/>
  <c r="G87" i="6" s="1"/>
  <c r="K87" i="6"/>
  <c r="F88" i="6"/>
  <c r="H88" i="6" s="1"/>
  <c r="G88" i="6" s="1"/>
  <c r="K88" i="6"/>
  <c r="K91" i="6"/>
  <c r="F91" i="6"/>
  <c r="H91" i="6" s="1"/>
  <c r="G91" i="6" s="1"/>
  <c r="F92" i="6"/>
  <c r="H92" i="6" s="1"/>
  <c r="G92" i="6" s="1"/>
  <c r="K92" i="6"/>
  <c r="F93" i="6"/>
  <c r="H93" i="6" s="1"/>
  <c r="G93" i="6" s="1"/>
  <c r="K93" i="6"/>
  <c r="F94" i="6"/>
  <c r="H94" i="6" s="1"/>
  <c r="G94" i="6" s="1"/>
  <c r="K94" i="6"/>
  <c r="F95" i="6"/>
  <c r="H95" i="6" s="1"/>
  <c r="G95" i="6" s="1"/>
  <c r="K95" i="6"/>
  <c r="F96" i="6"/>
  <c r="H96" i="6" s="1"/>
  <c r="G96" i="6" s="1"/>
  <c r="K96" i="6"/>
  <c r="F97" i="6"/>
  <c r="H97" i="6" s="1"/>
  <c r="G97" i="6" s="1"/>
  <c r="K97" i="6"/>
  <c r="F98" i="6"/>
  <c r="H98" i="6" s="1"/>
  <c r="G98" i="6" s="1"/>
  <c r="K98" i="6"/>
  <c r="F99" i="6"/>
  <c r="H99" i="6" s="1"/>
  <c r="G99" i="6" s="1"/>
  <c r="K99" i="6"/>
  <c r="F100" i="6"/>
  <c r="H100" i="6" s="1"/>
  <c r="G100" i="6" s="1"/>
  <c r="K100" i="6"/>
  <c r="F101" i="6"/>
  <c r="H101" i="6" s="1"/>
  <c r="G101" i="6" s="1"/>
  <c r="K101" i="6"/>
  <c r="F102" i="6"/>
  <c r="H102" i="6" s="1"/>
  <c r="G102" i="6" s="1"/>
  <c r="K102" i="6"/>
  <c r="F103" i="6"/>
  <c r="H103" i="6" s="1"/>
  <c r="G103" i="6" s="1"/>
  <c r="K103" i="6"/>
  <c r="F104" i="6"/>
  <c r="H104" i="6" s="1"/>
  <c r="G104" i="6" s="1"/>
  <c r="K104" i="6"/>
  <c r="F105" i="6"/>
  <c r="H105" i="6" s="1"/>
  <c r="G105" i="6" s="1"/>
  <c r="K105" i="6"/>
  <c r="F106" i="6"/>
  <c r="H106" i="6" s="1"/>
  <c r="G106" i="6" s="1"/>
  <c r="K106" i="6"/>
  <c r="F107" i="6"/>
  <c r="H107" i="6" s="1"/>
  <c r="G107" i="6" s="1"/>
  <c r="K107" i="6"/>
  <c r="F108" i="6"/>
  <c r="H108" i="6" s="1"/>
  <c r="G108" i="6" s="1"/>
  <c r="K108" i="6"/>
  <c r="F109" i="6"/>
  <c r="H109" i="6" s="1"/>
  <c r="G109" i="6" s="1"/>
  <c r="K109" i="6"/>
  <c r="F110" i="6"/>
  <c r="H110" i="6" s="1"/>
  <c r="G110" i="6" s="1"/>
  <c r="K110" i="6"/>
  <c r="K113" i="6"/>
  <c r="F113" i="6"/>
  <c r="H113" i="6" s="1"/>
  <c r="G113" i="6" s="1"/>
  <c r="F114" i="6"/>
  <c r="H114" i="6" s="1"/>
  <c r="G114" i="6" s="1"/>
  <c r="K114" i="6"/>
  <c r="F115" i="6"/>
  <c r="H115" i="6" s="1"/>
  <c r="G115" i="6" s="1"/>
  <c r="K115" i="6"/>
  <c r="F116" i="6"/>
  <c r="H116" i="6" s="1"/>
  <c r="G116" i="6" s="1"/>
  <c r="K116" i="6"/>
  <c r="F117" i="6"/>
  <c r="H117" i="6" s="1"/>
  <c r="G117" i="6" s="1"/>
  <c r="K117" i="6"/>
  <c r="F118" i="6"/>
  <c r="H118" i="6" s="1"/>
  <c r="G118" i="6" s="1"/>
  <c r="K118" i="6"/>
  <c r="F119" i="6"/>
  <c r="H119" i="6" s="1"/>
  <c r="G119" i="6" s="1"/>
  <c r="K119" i="6"/>
  <c r="F120" i="6"/>
  <c r="H120" i="6" s="1"/>
  <c r="G120" i="6" s="1"/>
  <c r="K120" i="6"/>
  <c r="F121" i="6"/>
  <c r="H121" i="6" s="1"/>
  <c r="G121" i="6" s="1"/>
  <c r="K121" i="6"/>
  <c r="F122" i="6"/>
  <c r="H122" i="6" s="1"/>
  <c r="G122" i="6" s="1"/>
  <c r="K122" i="6"/>
  <c r="F123" i="6"/>
  <c r="H123" i="6" s="1"/>
  <c r="G123" i="6" s="1"/>
  <c r="K123" i="6"/>
  <c r="F124" i="6"/>
  <c r="H124" i="6" s="1"/>
  <c r="G124" i="6" s="1"/>
  <c r="K124" i="6"/>
  <c r="F125" i="6"/>
  <c r="H125" i="6" s="1"/>
  <c r="G125" i="6" s="1"/>
  <c r="K125" i="6"/>
  <c r="F126" i="6"/>
  <c r="H126" i="6" s="1"/>
  <c r="G126" i="6" s="1"/>
  <c r="K126" i="6"/>
  <c r="F127" i="6"/>
  <c r="H127" i="6" s="1"/>
  <c r="G127" i="6" s="1"/>
  <c r="K127" i="6"/>
  <c r="F128" i="6"/>
  <c r="H128" i="6" s="1"/>
  <c r="G128" i="6" s="1"/>
  <c r="K128" i="6"/>
  <c r="F129" i="6"/>
  <c r="H129" i="6" s="1"/>
  <c r="G129" i="6" s="1"/>
  <c r="K129" i="6"/>
  <c r="F130" i="6"/>
  <c r="H130" i="6" s="1"/>
  <c r="G130" i="6" s="1"/>
  <c r="K130" i="6"/>
  <c r="F131" i="6"/>
  <c r="H131" i="6" s="1"/>
  <c r="G131" i="6" s="1"/>
  <c r="K131" i="6"/>
  <c r="F132" i="6"/>
  <c r="H132" i="6" s="1"/>
  <c r="G132" i="6" s="1"/>
  <c r="K132" i="6"/>
  <c r="K135" i="6"/>
  <c r="F135" i="6"/>
  <c r="H135" i="6" s="1"/>
  <c r="G135" i="6" s="1"/>
  <c r="F136" i="6"/>
  <c r="H136" i="6" s="1"/>
  <c r="G136" i="6" s="1"/>
  <c r="K136" i="6"/>
  <c r="F137" i="6"/>
  <c r="H137" i="6" s="1"/>
  <c r="G137" i="6" s="1"/>
  <c r="K137" i="6"/>
  <c r="F138" i="6"/>
  <c r="H138" i="6" s="1"/>
  <c r="G138" i="6" s="1"/>
  <c r="K138" i="6"/>
  <c r="F139" i="6"/>
  <c r="H139" i="6" s="1"/>
  <c r="G139" i="6" s="1"/>
  <c r="K139" i="6"/>
  <c r="F140" i="6"/>
  <c r="H140" i="6" s="1"/>
  <c r="G140" i="6" s="1"/>
  <c r="K140" i="6"/>
  <c r="F141" i="6"/>
  <c r="H141" i="6" s="1"/>
  <c r="G141" i="6" s="1"/>
  <c r="K141" i="6"/>
  <c r="F142" i="6"/>
  <c r="H142" i="6" s="1"/>
  <c r="G142" i="6" s="1"/>
  <c r="K142" i="6"/>
  <c r="F143" i="6"/>
  <c r="H143" i="6" s="1"/>
  <c r="G143" i="6" s="1"/>
  <c r="K143" i="6"/>
  <c r="F144" i="6"/>
  <c r="H144" i="6" s="1"/>
  <c r="G144" i="6" s="1"/>
  <c r="K144" i="6"/>
  <c r="F145" i="6"/>
  <c r="H145" i="6" s="1"/>
  <c r="G145" i="6" s="1"/>
  <c r="K145" i="6"/>
  <c r="F146" i="6"/>
  <c r="H146" i="6" s="1"/>
  <c r="G146" i="6" s="1"/>
  <c r="K146" i="6"/>
  <c r="F147" i="6"/>
  <c r="H147" i="6" s="1"/>
  <c r="G147" i="6" s="1"/>
  <c r="K147" i="6"/>
  <c r="F148" i="6"/>
  <c r="H148" i="6" s="1"/>
  <c r="G148" i="6" s="1"/>
  <c r="K148" i="6"/>
  <c r="F149" i="6"/>
  <c r="H149" i="6" s="1"/>
  <c r="G149" i="6" s="1"/>
  <c r="K149" i="6"/>
  <c r="F150" i="6"/>
  <c r="H150" i="6" s="1"/>
  <c r="G150" i="6" s="1"/>
  <c r="K150" i="6"/>
  <c r="F151" i="6"/>
  <c r="H151" i="6" s="1"/>
  <c r="G151" i="6" s="1"/>
  <c r="K151" i="6"/>
  <c r="F152" i="6"/>
  <c r="H152" i="6" s="1"/>
  <c r="G152" i="6" s="1"/>
  <c r="K152" i="6"/>
  <c r="F153" i="6"/>
  <c r="H153" i="6" s="1"/>
  <c r="G153" i="6" s="1"/>
  <c r="K153" i="6"/>
  <c r="F154" i="6"/>
  <c r="H154" i="6" s="1"/>
  <c r="G154" i="6" s="1"/>
  <c r="K154" i="6"/>
  <c r="K157" i="6"/>
  <c r="F157" i="6"/>
  <c r="H157" i="6" s="1"/>
  <c r="G157" i="6" s="1"/>
  <c r="F158" i="6"/>
  <c r="H158" i="6" s="1"/>
  <c r="G158" i="6" s="1"/>
  <c r="K158" i="6"/>
  <c r="F159" i="6"/>
  <c r="H159" i="6" s="1"/>
  <c r="G159" i="6" s="1"/>
  <c r="K159" i="6"/>
  <c r="F160" i="6"/>
  <c r="H160" i="6" s="1"/>
  <c r="G160" i="6" s="1"/>
  <c r="K160" i="6"/>
  <c r="F161" i="6"/>
  <c r="H161" i="6" s="1"/>
  <c r="G161" i="6" s="1"/>
  <c r="K161" i="6"/>
  <c r="F162" i="6"/>
  <c r="H162" i="6" s="1"/>
  <c r="G162" i="6" s="1"/>
  <c r="K162" i="6"/>
  <c r="F163" i="6"/>
  <c r="H163" i="6" s="1"/>
  <c r="G163" i="6" s="1"/>
  <c r="K163" i="6"/>
  <c r="F164" i="6"/>
  <c r="H164" i="6" s="1"/>
  <c r="G164" i="6" s="1"/>
  <c r="K164" i="6"/>
  <c r="F165" i="6"/>
  <c r="H165" i="6" s="1"/>
  <c r="G165" i="6" s="1"/>
  <c r="K165" i="6"/>
  <c r="F166" i="6"/>
  <c r="H166" i="6" s="1"/>
  <c r="G166" i="6" s="1"/>
  <c r="K166" i="6"/>
  <c r="F167" i="6"/>
  <c r="H167" i="6" s="1"/>
  <c r="G167" i="6" s="1"/>
  <c r="K167" i="6"/>
  <c r="F168" i="6"/>
  <c r="H168" i="6" s="1"/>
  <c r="G168" i="6" s="1"/>
  <c r="K168" i="6"/>
  <c r="F169" i="6"/>
  <c r="H169" i="6" s="1"/>
  <c r="G169" i="6" s="1"/>
  <c r="K169" i="6"/>
  <c r="F170" i="6"/>
  <c r="H170" i="6" s="1"/>
  <c r="G170" i="6" s="1"/>
  <c r="K170" i="6"/>
  <c r="F171" i="6"/>
  <c r="H171" i="6" s="1"/>
  <c r="G171" i="6" s="1"/>
  <c r="K171" i="6"/>
  <c r="F172" i="6"/>
  <c r="H172" i="6" s="1"/>
  <c r="G172" i="6" s="1"/>
  <c r="K172" i="6"/>
  <c r="F173" i="6"/>
  <c r="H173" i="6" s="1"/>
  <c r="G173" i="6" s="1"/>
  <c r="K173" i="6"/>
  <c r="F174" i="6"/>
  <c r="H174" i="6" s="1"/>
  <c r="G174" i="6" s="1"/>
  <c r="K174" i="6"/>
  <c r="F175" i="6"/>
  <c r="H175" i="6" s="1"/>
  <c r="G175" i="6" s="1"/>
  <c r="K175" i="6"/>
  <c r="F176" i="6"/>
  <c r="H176" i="6" s="1"/>
  <c r="G176" i="6" s="1"/>
  <c r="K176" i="6"/>
  <c r="K179" i="6"/>
  <c r="F179" i="6"/>
  <c r="H179" i="6" s="1"/>
  <c r="G179" i="6" s="1"/>
  <c r="F180" i="6"/>
  <c r="H180" i="6" s="1"/>
  <c r="G180" i="6" s="1"/>
  <c r="K180" i="6"/>
  <c r="F181" i="6"/>
  <c r="H181" i="6" s="1"/>
  <c r="G181" i="6" s="1"/>
  <c r="K181" i="6"/>
  <c r="F182" i="6"/>
  <c r="H182" i="6" s="1"/>
  <c r="G182" i="6" s="1"/>
  <c r="K182" i="6"/>
  <c r="F183" i="6"/>
  <c r="H183" i="6" s="1"/>
  <c r="G183" i="6" s="1"/>
  <c r="K183" i="6"/>
  <c r="F184" i="6"/>
  <c r="H184" i="6" s="1"/>
  <c r="G184" i="6" s="1"/>
  <c r="K184" i="6"/>
  <c r="F185" i="6"/>
  <c r="H185" i="6" s="1"/>
  <c r="G185" i="6" s="1"/>
  <c r="K185" i="6"/>
  <c r="F186" i="6"/>
  <c r="H186" i="6" s="1"/>
  <c r="G186" i="6" s="1"/>
  <c r="K186" i="6"/>
  <c r="F187" i="6"/>
  <c r="H187" i="6" s="1"/>
  <c r="G187" i="6" s="1"/>
  <c r="K187" i="6"/>
  <c r="F188" i="6"/>
  <c r="H188" i="6" s="1"/>
  <c r="G188" i="6" s="1"/>
  <c r="K188" i="6"/>
  <c r="F189" i="6"/>
  <c r="H189" i="6" s="1"/>
  <c r="G189" i="6" s="1"/>
  <c r="K189" i="6"/>
  <c r="F190" i="6"/>
  <c r="H190" i="6" s="1"/>
  <c r="G190" i="6" s="1"/>
  <c r="K190" i="6"/>
  <c r="F191" i="6"/>
  <c r="H191" i="6" s="1"/>
  <c r="G191" i="6" s="1"/>
  <c r="K191" i="6"/>
  <c r="F192" i="6"/>
  <c r="H192" i="6" s="1"/>
  <c r="G192" i="6" s="1"/>
  <c r="K192" i="6"/>
  <c r="F193" i="6"/>
  <c r="H193" i="6" s="1"/>
  <c r="G193" i="6" s="1"/>
  <c r="K193" i="6"/>
  <c r="F194" i="6"/>
  <c r="H194" i="6" s="1"/>
  <c r="G194" i="6" s="1"/>
  <c r="K194" i="6"/>
  <c r="F195" i="6"/>
  <c r="H195" i="6" s="1"/>
  <c r="G195" i="6" s="1"/>
  <c r="K195" i="6"/>
  <c r="F196" i="6"/>
  <c r="H196" i="6" s="1"/>
  <c r="G196" i="6" s="1"/>
  <c r="K196" i="6"/>
  <c r="F197" i="6"/>
  <c r="H197" i="6" s="1"/>
  <c r="G197" i="6" s="1"/>
  <c r="K197" i="6"/>
  <c r="F198" i="6"/>
  <c r="H198" i="6" s="1"/>
  <c r="G198" i="6" s="1"/>
  <c r="K198" i="6"/>
  <c r="K201" i="6"/>
  <c r="F201" i="6"/>
  <c r="H201" i="6" s="1"/>
  <c r="G201" i="6" s="1"/>
  <c r="F202" i="6"/>
  <c r="H202" i="6" s="1"/>
  <c r="G202" i="6" s="1"/>
  <c r="K202" i="6"/>
  <c r="F203" i="6"/>
  <c r="H203" i="6" s="1"/>
  <c r="G203" i="6" s="1"/>
  <c r="K203" i="6"/>
  <c r="F204" i="6"/>
  <c r="H204" i="6" s="1"/>
  <c r="G204" i="6" s="1"/>
  <c r="K204" i="6"/>
  <c r="F205" i="6"/>
  <c r="H205" i="6" s="1"/>
  <c r="G205" i="6" s="1"/>
  <c r="K205" i="6"/>
  <c r="F206" i="6"/>
  <c r="H206" i="6" s="1"/>
  <c r="G206" i="6" s="1"/>
  <c r="K206" i="6"/>
  <c r="F207" i="6"/>
  <c r="H207" i="6" s="1"/>
  <c r="G207" i="6" s="1"/>
  <c r="K207" i="6"/>
  <c r="F208" i="6"/>
  <c r="H208" i="6" s="1"/>
  <c r="G208" i="6" s="1"/>
  <c r="K208" i="6"/>
  <c r="F209" i="6"/>
  <c r="H209" i="6" s="1"/>
  <c r="G209" i="6" s="1"/>
  <c r="K209" i="6"/>
  <c r="F210" i="6"/>
  <c r="H210" i="6" s="1"/>
  <c r="G210" i="6" s="1"/>
  <c r="K210" i="6"/>
  <c r="F211" i="6"/>
  <c r="H211" i="6" s="1"/>
  <c r="G211" i="6" s="1"/>
  <c r="K211" i="6"/>
  <c r="F212" i="6"/>
  <c r="H212" i="6" s="1"/>
  <c r="G212" i="6" s="1"/>
  <c r="K212" i="6"/>
  <c r="F213" i="6"/>
  <c r="H213" i="6" s="1"/>
  <c r="G213" i="6" s="1"/>
  <c r="K213" i="6"/>
  <c r="F214" i="6"/>
  <c r="H214" i="6" s="1"/>
  <c r="G214" i="6" s="1"/>
  <c r="K214" i="6"/>
  <c r="F215" i="6"/>
  <c r="H215" i="6" s="1"/>
  <c r="G215" i="6" s="1"/>
  <c r="K215" i="6"/>
  <c r="F216" i="6"/>
  <c r="H216" i="6" s="1"/>
  <c r="G216" i="6" s="1"/>
  <c r="K216" i="6"/>
  <c r="F217" i="6"/>
  <c r="H217" i="6" s="1"/>
  <c r="G217" i="6" s="1"/>
  <c r="K217" i="6"/>
  <c r="F218" i="6"/>
  <c r="H218" i="6" s="1"/>
  <c r="G218" i="6" s="1"/>
  <c r="K218" i="6"/>
  <c r="F219" i="6"/>
  <c r="H219" i="6" s="1"/>
  <c r="G219" i="6" s="1"/>
  <c r="K219" i="6"/>
  <c r="F220" i="6"/>
  <c r="H220" i="6" s="1"/>
  <c r="G220" i="6" s="1"/>
  <c r="K220" i="6"/>
  <c r="K223" i="6"/>
  <c r="F223" i="6"/>
  <c r="H223" i="6" s="1"/>
  <c r="G223" i="6" s="1"/>
  <c r="F224" i="6"/>
  <c r="H224" i="6" s="1"/>
  <c r="G224" i="6" s="1"/>
  <c r="K224" i="6"/>
  <c r="F225" i="6"/>
  <c r="H225" i="6" s="1"/>
  <c r="G225" i="6" s="1"/>
  <c r="K225" i="6"/>
  <c r="F226" i="6"/>
  <c r="H226" i="6" s="1"/>
  <c r="G226" i="6" s="1"/>
  <c r="K226" i="6"/>
  <c r="F227" i="6"/>
  <c r="H227" i="6" s="1"/>
  <c r="G227" i="6" s="1"/>
  <c r="K227" i="6"/>
  <c r="F228" i="6"/>
  <c r="H228" i="6" s="1"/>
  <c r="G228" i="6" s="1"/>
  <c r="K228" i="6"/>
  <c r="F229" i="6"/>
  <c r="H229" i="6" s="1"/>
  <c r="G229" i="6" s="1"/>
  <c r="K229" i="6"/>
  <c r="F230" i="6"/>
  <c r="H230" i="6" s="1"/>
  <c r="G230" i="6" s="1"/>
  <c r="K230" i="6"/>
  <c r="F231" i="6"/>
  <c r="H231" i="6" s="1"/>
  <c r="G231" i="6" s="1"/>
  <c r="K231" i="6"/>
  <c r="F232" i="6"/>
  <c r="H232" i="6" s="1"/>
  <c r="G232" i="6" s="1"/>
  <c r="K232" i="6"/>
  <c r="F233" i="6"/>
  <c r="H233" i="6" s="1"/>
  <c r="G233" i="6" s="1"/>
  <c r="K233" i="6"/>
  <c r="F234" i="6"/>
  <c r="H234" i="6" s="1"/>
  <c r="G234" i="6" s="1"/>
  <c r="K234" i="6"/>
  <c r="F235" i="6"/>
  <c r="H235" i="6" s="1"/>
  <c r="G235" i="6" s="1"/>
  <c r="K235" i="6"/>
  <c r="F236" i="6"/>
  <c r="H236" i="6" s="1"/>
  <c r="G236" i="6" s="1"/>
  <c r="K236" i="6"/>
  <c r="F237" i="6"/>
  <c r="H237" i="6" s="1"/>
  <c r="G237" i="6" s="1"/>
  <c r="K237" i="6"/>
  <c r="F238" i="6"/>
  <c r="H238" i="6" s="1"/>
  <c r="G238" i="6" s="1"/>
  <c r="K238" i="6"/>
  <c r="F239" i="6"/>
  <c r="H239" i="6" s="1"/>
  <c r="G239" i="6" s="1"/>
  <c r="K239" i="6"/>
  <c r="F240" i="6"/>
  <c r="H240" i="6" s="1"/>
  <c r="G240" i="6" s="1"/>
  <c r="K240" i="6"/>
  <c r="F241" i="6"/>
  <c r="H241" i="6" s="1"/>
  <c r="G241" i="6" s="1"/>
  <c r="K241" i="6"/>
  <c r="F242" i="6"/>
  <c r="H242" i="6" s="1"/>
  <c r="G242" i="6" s="1"/>
  <c r="K242" i="6"/>
  <c r="K245" i="6"/>
  <c r="F245" i="6"/>
  <c r="H245" i="6" s="1"/>
  <c r="G245" i="6" s="1"/>
  <c r="F246" i="6"/>
  <c r="H246" i="6" s="1"/>
  <c r="G246" i="6" s="1"/>
  <c r="K246" i="6"/>
  <c r="F247" i="6"/>
  <c r="H247" i="6" s="1"/>
  <c r="G247" i="6" s="1"/>
  <c r="K247" i="6"/>
  <c r="F248" i="6"/>
  <c r="H248" i="6" s="1"/>
  <c r="G248" i="6" s="1"/>
  <c r="K248" i="6"/>
  <c r="F249" i="6"/>
  <c r="H249" i="6" s="1"/>
  <c r="G249" i="6" s="1"/>
  <c r="K249" i="6"/>
  <c r="F250" i="6"/>
  <c r="H250" i="6" s="1"/>
  <c r="G250" i="6" s="1"/>
  <c r="K250" i="6"/>
  <c r="F251" i="6"/>
  <c r="H251" i="6" s="1"/>
  <c r="G251" i="6" s="1"/>
  <c r="K251" i="6"/>
  <c r="F252" i="6"/>
  <c r="H252" i="6" s="1"/>
  <c r="G252" i="6" s="1"/>
  <c r="K252" i="6"/>
  <c r="F253" i="6"/>
  <c r="H253" i="6" s="1"/>
  <c r="G253" i="6" s="1"/>
  <c r="K253" i="6"/>
  <c r="F254" i="6"/>
  <c r="H254" i="6" s="1"/>
  <c r="G254" i="6" s="1"/>
  <c r="K254" i="6"/>
  <c r="F255" i="6"/>
  <c r="H255" i="6" s="1"/>
  <c r="G255" i="6" s="1"/>
  <c r="K255" i="6"/>
  <c r="F256" i="6"/>
  <c r="H256" i="6" s="1"/>
  <c r="G256" i="6" s="1"/>
  <c r="K256" i="6"/>
  <c r="F257" i="6"/>
  <c r="H257" i="6" s="1"/>
  <c r="G257" i="6" s="1"/>
  <c r="K257" i="6"/>
  <c r="F258" i="6"/>
  <c r="H258" i="6" s="1"/>
  <c r="G258" i="6" s="1"/>
  <c r="K258" i="6"/>
  <c r="F259" i="6"/>
  <c r="H259" i="6" s="1"/>
  <c r="G259" i="6" s="1"/>
  <c r="K259" i="6"/>
  <c r="F260" i="6"/>
  <c r="H260" i="6" s="1"/>
  <c r="G260" i="6" s="1"/>
  <c r="K260" i="6"/>
  <c r="F261" i="6"/>
  <c r="H261" i="6" s="1"/>
  <c r="G261" i="6" s="1"/>
  <c r="K261" i="6"/>
  <c r="F262" i="6"/>
  <c r="H262" i="6" s="1"/>
  <c r="G262" i="6" s="1"/>
  <c r="K262" i="6"/>
  <c r="F263" i="6"/>
  <c r="H263" i="6" s="1"/>
  <c r="G263" i="6" s="1"/>
  <c r="K263" i="6"/>
  <c r="F264" i="6"/>
  <c r="H264" i="6" s="1"/>
  <c r="G264" i="6" s="1"/>
  <c r="K264" i="6"/>
  <c r="K267" i="6"/>
  <c r="F267" i="6"/>
  <c r="H267" i="6" s="1"/>
  <c r="G267" i="6" s="1"/>
  <c r="F268" i="6"/>
  <c r="H268" i="6" s="1"/>
  <c r="G268" i="6" s="1"/>
  <c r="K268" i="6"/>
  <c r="F269" i="6"/>
  <c r="H269" i="6" s="1"/>
  <c r="G269" i="6" s="1"/>
  <c r="K269" i="6"/>
  <c r="F270" i="6"/>
  <c r="H270" i="6" s="1"/>
  <c r="G270" i="6" s="1"/>
  <c r="K270" i="6"/>
  <c r="F271" i="6"/>
  <c r="H271" i="6" s="1"/>
  <c r="G271" i="6" s="1"/>
  <c r="K271" i="6"/>
  <c r="F272" i="6"/>
  <c r="H272" i="6" s="1"/>
  <c r="G272" i="6" s="1"/>
  <c r="K272" i="6"/>
  <c r="F273" i="6"/>
  <c r="H273" i="6" s="1"/>
  <c r="G273" i="6" s="1"/>
  <c r="K273" i="6"/>
  <c r="F274" i="6"/>
  <c r="H274" i="6" s="1"/>
  <c r="G274" i="6" s="1"/>
  <c r="K274" i="6"/>
  <c r="F275" i="6"/>
  <c r="H275" i="6" s="1"/>
  <c r="G275" i="6" s="1"/>
  <c r="K275" i="6"/>
  <c r="F276" i="6"/>
  <c r="H276" i="6" s="1"/>
  <c r="G276" i="6" s="1"/>
  <c r="K276" i="6"/>
  <c r="F277" i="6"/>
  <c r="H277" i="6" s="1"/>
  <c r="G277" i="6" s="1"/>
  <c r="K277" i="6"/>
  <c r="F278" i="6"/>
  <c r="H278" i="6" s="1"/>
  <c r="G278" i="6" s="1"/>
  <c r="K278" i="6"/>
  <c r="F279" i="6"/>
  <c r="H279" i="6" s="1"/>
  <c r="G279" i="6" s="1"/>
  <c r="K279" i="6"/>
  <c r="F280" i="6"/>
  <c r="H280" i="6" s="1"/>
  <c r="G280" i="6" s="1"/>
  <c r="K280" i="6"/>
  <c r="F281" i="6"/>
  <c r="H281" i="6" s="1"/>
  <c r="G281" i="6" s="1"/>
  <c r="K281" i="6"/>
  <c r="F282" i="6"/>
  <c r="H282" i="6" s="1"/>
  <c r="G282" i="6" s="1"/>
  <c r="K282" i="6"/>
  <c r="F283" i="6"/>
  <c r="H283" i="6" s="1"/>
  <c r="G283" i="6" s="1"/>
  <c r="K283" i="6"/>
  <c r="F284" i="6"/>
  <c r="H284" i="6" s="1"/>
  <c r="G284" i="6" s="1"/>
  <c r="K284" i="6"/>
  <c r="F285" i="6"/>
  <c r="H285" i="6" s="1"/>
  <c r="G285" i="6" s="1"/>
  <c r="K285" i="6"/>
  <c r="F286" i="6"/>
  <c r="H286" i="6" s="1"/>
  <c r="G286" i="6" s="1"/>
  <c r="K286" i="6"/>
  <c r="K289" i="6"/>
  <c r="F289" i="6"/>
  <c r="H289" i="6" s="1"/>
  <c r="G289" i="6" s="1"/>
  <c r="F290" i="6"/>
  <c r="H290" i="6" s="1"/>
  <c r="G290" i="6" s="1"/>
  <c r="K290" i="6"/>
  <c r="F291" i="6"/>
  <c r="H291" i="6" s="1"/>
  <c r="G291" i="6" s="1"/>
  <c r="K291" i="6"/>
  <c r="F292" i="6"/>
  <c r="H292" i="6" s="1"/>
  <c r="G292" i="6" s="1"/>
  <c r="K292" i="6"/>
  <c r="F293" i="6"/>
  <c r="H293" i="6" s="1"/>
  <c r="G293" i="6" s="1"/>
  <c r="K293" i="6"/>
  <c r="F294" i="6"/>
  <c r="H294" i="6" s="1"/>
  <c r="G294" i="6" s="1"/>
  <c r="K294" i="6"/>
  <c r="F295" i="6"/>
  <c r="H295" i="6" s="1"/>
  <c r="G295" i="6" s="1"/>
  <c r="K295" i="6"/>
  <c r="F296" i="6"/>
  <c r="H296" i="6" s="1"/>
  <c r="G296" i="6" s="1"/>
  <c r="K296" i="6"/>
  <c r="F297" i="6"/>
  <c r="H297" i="6" s="1"/>
  <c r="G297" i="6" s="1"/>
  <c r="K297" i="6"/>
  <c r="F298" i="6"/>
  <c r="H298" i="6" s="1"/>
  <c r="G298" i="6" s="1"/>
  <c r="K298" i="6"/>
  <c r="F299" i="6"/>
  <c r="H299" i="6" s="1"/>
  <c r="G299" i="6" s="1"/>
  <c r="K299" i="6"/>
  <c r="F300" i="6"/>
  <c r="H300" i="6" s="1"/>
  <c r="G300" i="6" s="1"/>
  <c r="K300" i="6"/>
  <c r="F301" i="6"/>
  <c r="H301" i="6" s="1"/>
  <c r="G301" i="6" s="1"/>
  <c r="K301" i="6"/>
  <c r="F302" i="6"/>
  <c r="H302" i="6" s="1"/>
  <c r="G302" i="6" s="1"/>
  <c r="K302" i="6"/>
  <c r="F303" i="6"/>
  <c r="H303" i="6" s="1"/>
  <c r="G303" i="6" s="1"/>
  <c r="K303" i="6"/>
  <c r="F304" i="6"/>
  <c r="H304" i="6" s="1"/>
  <c r="G304" i="6" s="1"/>
  <c r="K304" i="6"/>
  <c r="F305" i="6"/>
  <c r="H305" i="6" s="1"/>
  <c r="G305" i="6" s="1"/>
  <c r="K305" i="6"/>
  <c r="F306" i="6"/>
  <c r="H306" i="6" s="1"/>
  <c r="G306" i="6" s="1"/>
  <c r="K306" i="6"/>
  <c r="F307" i="6"/>
  <c r="H307" i="6" s="1"/>
  <c r="G307" i="6" s="1"/>
  <c r="K307" i="6"/>
  <c r="F308" i="6"/>
  <c r="H308" i="6" s="1"/>
  <c r="G308" i="6" s="1"/>
  <c r="K308" i="6"/>
  <c r="K311" i="6"/>
  <c r="F311" i="6"/>
  <c r="H311" i="6" s="1"/>
  <c r="G311" i="6" s="1"/>
  <c r="F312" i="6"/>
  <c r="H312" i="6" s="1"/>
  <c r="G312" i="6" s="1"/>
  <c r="K312" i="6"/>
  <c r="F313" i="6"/>
  <c r="H313" i="6" s="1"/>
  <c r="G313" i="6" s="1"/>
  <c r="K313" i="6"/>
  <c r="F314" i="6"/>
  <c r="H314" i="6" s="1"/>
  <c r="G314" i="6" s="1"/>
  <c r="K314" i="6"/>
  <c r="F315" i="6"/>
  <c r="H315" i="6" s="1"/>
  <c r="G315" i="6" s="1"/>
  <c r="K315" i="6"/>
  <c r="F316" i="6"/>
  <c r="H316" i="6" s="1"/>
  <c r="G316" i="6" s="1"/>
  <c r="K316" i="6"/>
  <c r="F317" i="6"/>
  <c r="H317" i="6" s="1"/>
  <c r="G317" i="6" s="1"/>
  <c r="K317" i="6"/>
  <c r="F318" i="6"/>
  <c r="H318" i="6" s="1"/>
  <c r="G318" i="6" s="1"/>
  <c r="K318" i="6"/>
  <c r="F319" i="6"/>
  <c r="H319" i="6" s="1"/>
  <c r="G319" i="6" s="1"/>
  <c r="K319" i="6"/>
  <c r="F320" i="6"/>
  <c r="H320" i="6" s="1"/>
  <c r="G320" i="6" s="1"/>
  <c r="K320" i="6"/>
  <c r="F321" i="6"/>
  <c r="H321" i="6" s="1"/>
  <c r="G321" i="6" s="1"/>
  <c r="K321" i="6"/>
  <c r="F322" i="6"/>
  <c r="H322" i="6" s="1"/>
  <c r="G322" i="6" s="1"/>
  <c r="K322" i="6"/>
  <c r="F323" i="6"/>
  <c r="H323" i="6" s="1"/>
  <c r="G323" i="6" s="1"/>
  <c r="K323" i="6"/>
  <c r="F324" i="6"/>
  <c r="H324" i="6" s="1"/>
  <c r="G324" i="6" s="1"/>
  <c r="K324" i="6"/>
  <c r="F325" i="6"/>
  <c r="H325" i="6" s="1"/>
  <c r="G325" i="6" s="1"/>
  <c r="K325" i="6"/>
  <c r="F326" i="6"/>
  <c r="H326" i="6" s="1"/>
  <c r="G326" i="6" s="1"/>
  <c r="K326" i="6"/>
  <c r="F327" i="6"/>
  <c r="H327" i="6" s="1"/>
  <c r="G327" i="6" s="1"/>
  <c r="K327" i="6"/>
  <c r="F328" i="6"/>
  <c r="H328" i="6" s="1"/>
  <c r="G328" i="6" s="1"/>
  <c r="K328" i="6"/>
  <c r="F329" i="6"/>
  <c r="H329" i="6" s="1"/>
  <c r="G329" i="6" s="1"/>
  <c r="K329" i="6"/>
  <c r="F330" i="6"/>
  <c r="H330" i="6" s="1"/>
  <c r="G330" i="6" s="1"/>
  <c r="K330" i="6"/>
  <c r="K333" i="6"/>
  <c r="F333" i="6"/>
  <c r="H333" i="6" s="1"/>
  <c r="G333" i="6" s="1"/>
  <c r="F334" i="6"/>
  <c r="H334" i="6" s="1"/>
  <c r="G334" i="6" s="1"/>
  <c r="K334" i="6"/>
  <c r="F335" i="6"/>
  <c r="H335" i="6" s="1"/>
  <c r="G335" i="6" s="1"/>
  <c r="K335" i="6"/>
  <c r="F336" i="6"/>
  <c r="H336" i="6" s="1"/>
  <c r="G336" i="6" s="1"/>
  <c r="K336" i="6"/>
  <c r="F337" i="6"/>
  <c r="H337" i="6" s="1"/>
  <c r="G337" i="6" s="1"/>
  <c r="K337" i="6"/>
  <c r="F338" i="6"/>
  <c r="H338" i="6" s="1"/>
  <c r="G338" i="6" s="1"/>
  <c r="K338" i="6"/>
  <c r="F339" i="6"/>
  <c r="H339" i="6" s="1"/>
  <c r="G339" i="6" s="1"/>
  <c r="K339" i="6"/>
  <c r="F340" i="6"/>
  <c r="H340" i="6" s="1"/>
  <c r="G340" i="6" s="1"/>
  <c r="K340" i="6"/>
  <c r="F341" i="6"/>
  <c r="H341" i="6" s="1"/>
  <c r="G341" i="6" s="1"/>
  <c r="K341" i="6"/>
  <c r="F342" i="6"/>
  <c r="H342" i="6" s="1"/>
  <c r="G342" i="6" s="1"/>
  <c r="K342" i="6"/>
  <c r="F343" i="6"/>
  <c r="H343" i="6" s="1"/>
  <c r="G343" i="6" s="1"/>
  <c r="K343" i="6"/>
  <c r="F344" i="6"/>
  <c r="H344" i="6" s="1"/>
  <c r="G344" i="6" s="1"/>
  <c r="K344" i="6"/>
  <c r="F345" i="6"/>
  <c r="H345" i="6" s="1"/>
  <c r="G345" i="6" s="1"/>
  <c r="K345" i="6"/>
  <c r="K111" i="6" l="1"/>
  <c r="K243" i="6"/>
  <c r="K353" i="6"/>
  <c r="K155" i="6"/>
  <c r="K287" i="6"/>
  <c r="K221" i="6"/>
  <c r="K177" i="6"/>
  <c r="K331" i="6"/>
  <c r="K265" i="6"/>
  <c r="K199" i="6"/>
  <c r="K133" i="6"/>
  <c r="K309" i="6"/>
  <c r="G309" i="6"/>
  <c r="G243" i="6"/>
  <c r="G177" i="6"/>
  <c r="G111" i="6"/>
  <c r="G155" i="6"/>
  <c r="G353" i="6"/>
  <c r="G287" i="6"/>
  <c r="G221" i="6"/>
  <c r="G331" i="6"/>
  <c r="G265" i="6"/>
  <c r="G199" i="6"/>
  <c r="G133" i="6"/>
  <c r="K83" i="6"/>
  <c r="F83" i="6"/>
  <c r="H83" i="6" s="1"/>
  <c r="G83" i="6" s="1"/>
  <c r="K82" i="6"/>
  <c r="F82" i="6"/>
  <c r="H82" i="6" s="1"/>
  <c r="G82" i="6" s="1"/>
  <c r="K81" i="6"/>
  <c r="F81" i="6"/>
  <c r="H81" i="6" s="1"/>
  <c r="G81" i="6" s="1"/>
  <c r="K80" i="6"/>
  <c r="F80" i="6"/>
  <c r="H80" i="6" s="1"/>
  <c r="G80" i="6" s="1"/>
  <c r="K79" i="6"/>
  <c r="F79" i="6"/>
  <c r="H79" i="6" s="1"/>
  <c r="G79" i="6" s="1"/>
  <c r="K78" i="6"/>
  <c r="F78" i="6"/>
  <c r="H78" i="6" s="1"/>
  <c r="G78" i="6" s="1"/>
  <c r="K77" i="6"/>
  <c r="F77" i="6"/>
  <c r="H77" i="6" s="1"/>
  <c r="G77" i="6" s="1"/>
  <c r="K76" i="6"/>
  <c r="F76" i="6"/>
  <c r="H76" i="6" s="1"/>
  <c r="G76" i="6" s="1"/>
  <c r="K75" i="6"/>
  <c r="F75" i="6"/>
  <c r="H75" i="6" s="1"/>
  <c r="G75" i="6" s="1"/>
  <c r="K74" i="6"/>
  <c r="F74" i="6"/>
  <c r="H74" i="6" s="1"/>
  <c r="G74" i="6" s="1"/>
  <c r="K73" i="6"/>
  <c r="F73" i="6"/>
  <c r="H73" i="6" s="1"/>
  <c r="G73" i="6" s="1"/>
  <c r="K72" i="6"/>
  <c r="F72" i="6"/>
  <c r="H72" i="6" s="1"/>
  <c r="G72" i="6" s="1"/>
  <c r="K71" i="6"/>
  <c r="F71" i="6"/>
  <c r="H71" i="6" s="1"/>
  <c r="G71" i="6" s="1"/>
  <c r="K70" i="6"/>
  <c r="F70" i="6"/>
  <c r="H70" i="6" s="1"/>
  <c r="G70" i="6" s="1"/>
  <c r="K69" i="6"/>
  <c r="F69" i="6"/>
  <c r="H69" i="6" s="1"/>
  <c r="G69" i="6" s="1"/>
  <c r="K66" i="6"/>
  <c r="F66" i="6"/>
  <c r="H66" i="6" s="1"/>
  <c r="G66" i="6" s="1"/>
  <c r="K65" i="6"/>
  <c r="F65" i="6"/>
  <c r="H65" i="6" s="1"/>
  <c r="G65" i="6" s="1"/>
  <c r="K64" i="6"/>
  <c r="F64" i="6"/>
  <c r="H64" i="6" s="1"/>
  <c r="G64" i="6" s="1"/>
  <c r="K63" i="6"/>
  <c r="F63" i="6"/>
  <c r="H63" i="6" s="1"/>
  <c r="G63" i="6" s="1"/>
  <c r="K62" i="6"/>
  <c r="F62" i="6"/>
  <c r="H62" i="6" s="1"/>
  <c r="G62" i="6" s="1"/>
  <c r="K61" i="6"/>
  <c r="F61" i="6"/>
  <c r="H61" i="6" s="1"/>
  <c r="G61" i="6" s="1"/>
  <c r="K60" i="6"/>
  <c r="F60" i="6"/>
  <c r="H60" i="6" s="1"/>
  <c r="G60" i="6" s="1"/>
  <c r="K59" i="6"/>
  <c r="F59" i="6"/>
  <c r="H59" i="6" s="1"/>
  <c r="G59" i="6" s="1"/>
  <c r="K58" i="6"/>
  <c r="F58" i="6"/>
  <c r="H58" i="6" s="1"/>
  <c r="G58" i="6" s="1"/>
  <c r="K57" i="6"/>
  <c r="F57" i="6"/>
  <c r="H57" i="6" s="1"/>
  <c r="G57" i="6" s="1"/>
  <c r="K56" i="6"/>
  <c r="F56" i="6"/>
  <c r="H56" i="6" s="1"/>
  <c r="G56" i="6" s="1"/>
  <c r="K55" i="6"/>
  <c r="F55" i="6"/>
  <c r="H55" i="6" s="1"/>
  <c r="G55" i="6" s="1"/>
  <c r="F54" i="6"/>
  <c r="H54" i="6" s="1"/>
  <c r="K53" i="6"/>
  <c r="F53" i="6"/>
  <c r="H53" i="6" s="1"/>
  <c r="G53" i="6" s="1"/>
  <c r="K52" i="6"/>
  <c r="F52" i="6"/>
  <c r="H52" i="6" s="1"/>
  <c r="G52" i="6" s="1"/>
  <c r="K51" i="6"/>
  <c r="F51" i="6"/>
  <c r="H51" i="6" s="1"/>
  <c r="G51" i="6" s="1"/>
  <c r="K50" i="6"/>
  <c r="F50" i="6"/>
  <c r="H50" i="6" s="1"/>
  <c r="G50" i="6" s="1"/>
  <c r="K49" i="6"/>
  <c r="F49" i="6"/>
  <c r="H49" i="6" s="1"/>
  <c r="G49" i="6" s="1"/>
  <c r="K48" i="6"/>
  <c r="F48" i="6"/>
  <c r="H48" i="6" s="1"/>
  <c r="G48" i="6" s="1"/>
  <c r="K47" i="6"/>
  <c r="F47" i="6"/>
  <c r="H47" i="6" s="1"/>
  <c r="G47" i="6" s="1"/>
  <c r="K44" i="6"/>
  <c r="F44" i="6"/>
  <c r="H44" i="6" s="1"/>
  <c r="G44" i="6" s="1"/>
  <c r="F43" i="6"/>
  <c r="H43" i="6" s="1"/>
  <c r="K42" i="6"/>
  <c r="F42" i="6"/>
  <c r="H42" i="6" s="1"/>
  <c r="G42" i="6" s="1"/>
  <c r="K41" i="6"/>
  <c r="F41" i="6"/>
  <c r="H41" i="6" s="1"/>
  <c r="G41" i="6" s="1"/>
  <c r="K40" i="6"/>
  <c r="F40" i="6"/>
  <c r="H40" i="6" s="1"/>
  <c r="G40" i="6" s="1"/>
  <c r="K39" i="6"/>
  <c r="F39" i="6"/>
  <c r="H39" i="6" s="1"/>
  <c r="G39" i="6" s="1"/>
  <c r="K36" i="6"/>
  <c r="F36" i="6"/>
  <c r="H36" i="6" s="1"/>
  <c r="G36" i="6" s="1"/>
  <c r="K35" i="6"/>
  <c r="F35" i="6"/>
  <c r="H35" i="6" s="1"/>
  <c r="G35" i="6" s="1"/>
  <c r="K38" i="6"/>
  <c r="F38" i="6"/>
  <c r="H38" i="6" s="1"/>
  <c r="G38" i="6" s="1"/>
  <c r="K37" i="6"/>
  <c r="F37" i="6"/>
  <c r="H37" i="6" s="1"/>
  <c r="G37" i="6" s="1"/>
  <c r="K34" i="6"/>
  <c r="F34" i="6"/>
  <c r="H34" i="6" s="1"/>
  <c r="G34" i="6" s="1"/>
  <c r="K33" i="6"/>
  <c r="F33" i="6"/>
  <c r="H33" i="6" s="1"/>
  <c r="G33" i="6" s="1"/>
  <c r="K32" i="6"/>
  <c r="F32" i="6"/>
  <c r="H32" i="6" s="1"/>
  <c r="G32" i="6" s="1"/>
  <c r="K31" i="6"/>
  <c r="F31" i="6"/>
  <c r="H31" i="6" s="1"/>
  <c r="G31" i="6" s="1"/>
  <c r="K30" i="6"/>
  <c r="F30" i="6"/>
  <c r="H30" i="6" s="1"/>
  <c r="G30" i="6" s="1"/>
  <c r="K29" i="6"/>
  <c r="F29" i="6"/>
  <c r="H29" i="6" s="1"/>
  <c r="G29" i="6" s="1"/>
  <c r="K28" i="6"/>
  <c r="F28" i="6"/>
  <c r="H28" i="6" s="1"/>
  <c r="G28" i="6" s="1"/>
  <c r="K27" i="6"/>
  <c r="F27" i="6"/>
  <c r="H27" i="6" s="1"/>
  <c r="G27" i="6" s="1"/>
  <c r="K26" i="6"/>
  <c r="F26" i="6"/>
  <c r="H26" i="6" s="1"/>
  <c r="G26" i="6" s="1"/>
  <c r="K25" i="6"/>
  <c r="F25" i="6"/>
  <c r="H25" i="6" s="1"/>
  <c r="G25" i="6" s="1"/>
  <c r="K22" i="6"/>
  <c r="F22" i="6"/>
  <c r="H22" i="6" s="1"/>
  <c r="G22" i="6" s="1"/>
  <c r="K21" i="6"/>
  <c r="F21" i="6"/>
  <c r="H21" i="6" s="1"/>
  <c r="G21" i="6" s="1"/>
  <c r="K20" i="6"/>
  <c r="F20" i="6"/>
  <c r="H20" i="6" s="1"/>
  <c r="G20" i="6" s="1"/>
  <c r="K19" i="6"/>
  <c r="F19" i="6"/>
  <c r="H19" i="6" s="1"/>
  <c r="G19" i="6" s="1"/>
  <c r="K18" i="6"/>
  <c r="F18" i="6"/>
  <c r="H18" i="6" s="1"/>
  <c r="G18" i="6" s="1"/>
  <c r="K17" i="6"/>
  <c r="F17" i="6"/>
  <c r="H17" i="6" s="1"/>
  <c r="G17" i="6" s="1"/>
  <c r="K16" i="6"/>
  <c r="F16" i="6"/>
  <c r="H16" i="6" s="1"/>
  <c r="G16" i="6" s="1"/>
  <c r="K15" i="6"/>
  <c r="F15" i="6"/>
  <c r="H15" i="6" s="1"/>
  <c r="G15" i="6" s="1"/>
  <c r="K14" i="6"/>
  <c r="F14" i="6"/>
  <c r="H14" i="6" s="1"/>
  <c r="G14" i="6" s="1"/>
  <c r="K13" i="6"/>
  <c r="F13" i="6"/>
  <c r="H13" i="6" s="1"/>
  <c r="G13" i="6" s="1"/>
  <c r="K12" i="6"/>
  <c r="F12" i="6"/>
  <c r="H12" i="6" s="1"/>
  <c r="G12" i="6" s="1"/>
  <c r="K11" i="6"/>
  <c r="F11" i="6"/>
  <c r="H11" i="6" s="1"/>
  <c r="G11" i="6" s="1"/>
  <c r="K10" i="6"/>
  <c r="F10" i="6"/>
  <c r="H10" i="6" s="1"/>
  <c r="G10" i="6" s="1"/>
  <c r="K9" i="6"/>
  <c r="F9" i="6"/>
  <c r="H9" i="6" s="1"/>
  <c r="G9" i="6" s="1"/>
  <c r="K8" i="6"/>
  <c r="F8" i="6"/>
  <c r="H8" i="6" s="1"/>
  <c r="G8" i="6" s="1"/>
  <c r="K7" i="6"/>
  <c r="F7" i="6"/>
  <c r="H7" i="6" s="1"/>
  <c r="G7" i="6" s="1"/>
  <c r="K6" i="6"/>
  <c r="F6" i="6"/>
  <c r="H6" i="6" s="1"/>
  <c r="G6" i="6" s="1"/>
  <c r="K5" i="6"/>
  <c r="F5" i="6"/>
  <c r="H5" i="6" s="1"/>
  <c r="G5" i="6" s="1"/>
  <c r="K4" i="6"/>
  <c r="K3" i="6"/>
  <c r="F3" i="6"/>
  <c r="H3" i="6" s="1"/>
  <c r="G3" i="6" s="1"/>
  <c r="K89" i="6" l="1"/>
  <c r="G89" i="6"/>
  <c r="K23" i="6"/>
  <c r="K3" i="4" l="1"/>
  <c r="K91" i="7"/>
  <c r="K93" i="7"/>
  <c r="K92" i="7"/>
  <c r="F93" i="7"/>
  <c r="H93" i="7" s="1"/>
  <c r="G93" i="7" s="1"/>
  <c r="F92" i="7"/>
  <c r="H92" i="7" s="1"/>
  <c r="G92" i="7" s="1"/>
  <c r="F91" i="7"/>
  <c r="H91" i="7" s="1"/>
  <c r="G91" i="7" s="1"/>
  <c r="K83" i="7"/>
  <c r="K84" i="7"/>
  <c r="K85" i="7"/>
  <c r="K86" i="7"/>
  <c r="K87" i="7"/>
  <c r="K88" i="7"/>
  <c r="K82" i="7"/>
  <c r="F83" i="7"/>
  <c r="H83" i="7" s="1"/>
  <c r="G83" i="7" s="1"/>
  <c r="F84" i="7"/>
  <c r="H84" i="7" s="1"/>
  <c r="G84" i="7" s="1"/>
  <c r="F85" i="7"/>
  <c r="H85" i="7" s="1"/>
  <c r="G85" i="7" s="1"/>
  <c r="F86" i="7"/>
  <c r="H86" i="7" s="1"/>
  <c r="G86" i="7" s="1"/>
  <c r="F87" i="7"/>
  <c r="H87" i="7" s="1"/>
  <c r="G87" i="7" s="1"/>
  <c r="F88" i="7"/>
  <c r="H88" i="7" s="1"/>
  <c r="G88" i="7" s="1"/>
  <c r="F82" i="7"/>
  <c r="H82" i="7" s="1"/>
  <c r="G82" i="7" s="1"/>
  <c r="F81" i="7"/>
  <c r="H81" i="7" s="1"/>
  <c r="G81" i="7" s="1"/>
  <c r="F80" i="7"/>
  <c r="H80" i="7" s="1"/>
  <c r="G80" i="7" s="1"/>
  <c r="F79" i="7"/>
  <c r="H79" i="7" s="1"/>
  <c r="G79" i="7" s="1"/>
  <c r="F78" i="7"/>
  <c r="H78" i="7" s="1"/>
  <c r="G78" i="7" s="1"/>
  <c r="F77" i="7"/>
  <c r="H77" i="7" s="1"/>
  <c r="G77" i="7" s="1"/>
  <c r="F61" i="7"/>
  <c r="H61" i="7" s="1"/>
  <c r="G61" i="7" s="1"/>
  <c r="K61" i="7"/>
  <c r="F62" i="7"/>
  <c r="H62" i="7" s="1"/>
  <c r="G62" i="7" s="1"/>
  <c r="K62" i="7"/>
  <c r="F63" i="7"/>
  <c r="H63" i="7" s="1"/>
  <c r="G63" i="7" s="1"/>
  <c r="K63" i="7"/>
  <c r="K94" i="7" l="1"/>
  <c r="G94" i="7"/>
  <c r="F3" i="8"/>
  <c r="H3" i="8" s="1"/>
  <c r="F4" i="8"/>
  <c r="H4" i="8" s="1"/>
  <c r="G4" i="8" s="1"/>
  <c r="K4" i="8"/>
  <c r="F5" i="8"/>
  <c r="H5" i="8" s="1"/>
  <c r="G5" i="8" s="1"/>
  <c r="K5" i="8"/>
  <c r="F6" i="8"/>
  <c r="H6" i="8" s="1"/>
  <c r="G6" i="8" s="1"/>
  <c r="K6" i="8"/>
  <c r="F7" i="8"/>
  <c r="H7" i="8" s="1"/>
  <c r="G7" i="8" s="1"/>
  <c r="K7" i="8"/>
  <c r="F8" i="8"/>
  <c r="H8" i="8" s="1"/>
  <c r="G8" i="8" s="1"/>
  <c r="K8" i="8"/>
  <c r="F9" i="8"/>
  <c r="H9" i="8" s="1"/>
  <c r="G9" i="8" s="1"/>
  <c r="K9" i="8"/>
  <c r="F10" i="8"/>
  <c r="H10" i="8" s="1"/>
  <c r="G10" i="8" s="1"/>
  <c r="K10" i="8"/>
  <c r="F11" i="8"/>
  <c r="H11" i="8" s="1"/>
  <c r="G11" i="8" s="1"/>
  <c r="K11" i="8"/>
  <c r="F12" i="8"/>
  <c r="H12" i="8" s="1"/>
  <c r="G12" i="8" s="1"/>
  <c r="K12" i="8"/>
  <c r="F13" i="8"/>
  <c r="H13" i="8" s="1"/>
  <c r="G13" i="8" s="1"/>
  <c r="K13" i="8"/>
  <c r="F14" i="8"/>
  <c r="H14" i="8" s="1"/>
  <c r="G14" i="8" s="1"/>
  <c r="K14" i="8"/>
  <c r="F15" i="8"/>
  <c r="H15" i="8" s="1"/>
  <c r="G15" i="8" s="1"/>
  <c r="K15" i="8"/>
  <c r="F16" i="8"/>
  <c r="H16" i="8" s="1"/>
  <c r="G16" i="8" s="1"/>
  <c r="K16" i="8"/>
  <c r="F17" i="8"/>
  <c r="H17" i="8" s="1"/>
  <c r="G17" i="8" s="1"/>
  <c r="K17" i="8"/>
  <c r="F18" i="8"/>
  <c r="H18" i="8" s="1"/>
  <c r="G18" i="8" s="1"/>
  <c r="K18" i="8"/>
  <c r="F69" i="4" l="1"/>
  <c r="F85" i="4"/>
  <c r="H85" i="4" s="1"/>
  <c r="G85" i="4" s="1"/>
  <c r="K85" i="4"/>
  <c r="F86" i="4"/>
  <c r="H86" i="4" s="1"/>
  <c r="G86" i="4" s="1"/>
  <c r="K86" i="4"/>
  <c r="F3" i="4"/>
  <c r="H3" i="4" s="1"/>
  <c r="G3" i="4" s="1"/>
  <c r="F4" i="4"/>
  <c r="H4" i="4" s="1"/>
  <c r="G4" i="4" s="1"/>
  <c r="K4" i="4"/>
  <c r="K204" i="8"/>
  <c r="F204" i="8"/>
  <c r="H204" i="8" s="1"/>
  <c r="G204" i="8" s="1"/>
  <c r="K203" i="8"/>
  <c r="F203" i="8"/>
  <c r="H203" i="8" s="1"/>
  <c r="G203" i="8" s="1"/>
  <c r="K202" i="8"/>
  <c r="F202" i="8"/>
  <c r="H202" i="8" s="1"/>
  <c r="G202" i="8" s="1"/>
  <c r="K172" i="8"/>
  <c r="F172" i="8"/>
  <c r="H172" i="8" s="1"/>
  <c r="G172" i="8" s="1"/>
  <c r="K180" i="8"/>
  <c r="F180" i="8"/>
  <c r="H180" i="8" s="1"/>
  <c r="G180" i="8" s="1"/>
  <c r="K179" i="8"/>
  <c r="F179" i="8"/>
  <c r="H179" i="8" s="1"/>
  <c r="G179" i="8" s="1"/>
  <c r="G199" i="8" s="1"/>
  <c r="K176" i="8"/>
  <c r="F176" i="8"/>
  <c r="H176" i="8" s="1"/>
  <c r="G176" i="8" s="1"/>
  <c r="K175" i="8"/>
  <c r="F175" i="8"/>
  <c r="H175" i="8" s="1"/>
  <c r="G175" i="8" s="1"/>
  <c r="K174" i="8"/>
  <c r="F174" i="8"/>
  <c r="H174" i="8" s="1"/>
  <c r="G174" i="8" s="1"/>
  <c r="K171" i="8"/>
  <c r="F171" i="8"/>
  <c r="H171" i="8" s="1"/>
  <c r="G171" i="8" s="1"/>
  <c r="K170" i="8"/>
  <c r="F170" i="8"/>
  <c r="H170" i="8" s="1"/>
  <c r="G170" i="8" s="1"/>
  <c r="K169" i="8"/>
  <c r="F169" i="8"/>
  <c r="H169" i="8" s="1"/>
  <c r="G169" i="8" s="1"/>
  <c r="K168" i="8"/>
  <c r="F168" i="8"/>
  <c r="H168" i="8" s="1"/>
  <c r="G168" i="8" s="1"/>
  <c r="K167" i="8"/>
  <c r="F167" i="8"/>
  <c r="H167" i="8" s="1"/>
  <c r="G167" i="8" s="1"/>
  <c r="K166" i="8"/>
  <c r="F166" i="8"/>
  <c r="H166" i="8" s="1"/>
  <c r="G166" i="8" s="1"/>
  <c r="K165" i="8"/>
  <c r="F165" i="8"/>
  <c r="H165" i="8" s="1"/>
  <c r="G165" i="8" s="1"/>
  <c r="K164" i="8"/>
  <c r="F164" i="8"/>
  <c r="H164" i="8" s="1"/>
  <c r="G164" i="8" s="1"/>
  <c r="K163" i="8"/>
  <c r="F163" i="8"/>
  <c r="H163" i="8" s="1"/>
  <c r="G163" i="8" s="1"/>
  <c r="K162" i="8"/>
  <c r="F162" i="8"/>
  <c r="H162" i="8" s="1"/>
  <c r="G162" i="8" s="1"/>
  <c r="K161" i="8"/>
  <c r="F161" i="8"/>
  <c r="H161" i="8" s="1"/>
  <c r="G161" i="8" s="1"/>
  <c r="K160" i="8"/>
  <c r="F160" i="8"/>
  <c r="H160" i="8" s="1"/>
  <c r="G160" i="8" s="1"/>
  <c r="K159" i="8"/>
  <c r="F159" i="8"/>
  <c r="H159" i="8" s="1"/>
  <c r="G159" i="8" s="1"/>
  <c r="K158" i="8"/>
  <c r="F158" i="8"/>
  <c r="H158" i="8" s="1"/>
  <c r="G158" i="8" s="1"/>
  <c r="K154" i="8"/>
  <c r="F154" i="8"/>
  <c r="H154" i="8" s="1"/>
  <c r="G154" i="8" s="1"/>
  <c r="K153" i="8"/>
  <c r="F153" i="8"/>
  <c r="H153" i="8" s="1"/>
  <c r="G153" i="8" s="1"/>
  <c r="K152" i="8"/>
  <c r="F152" i="8"/>
  <c r="H152" i="8" s="1"/>
  <c r="G152" i="8" s="1"/>
  <c r="K151" i="8"/>
  <c r="F151" i="8"/>
  <c r="H151" i="8" s="1"/>
  <c r="G151" i="8" s="1"/>
  <c r="K150" i="8"/>
  <c r="F150" i="8"/>
  <c r="H150" i="8" s="1"/>
  <c r="G150" i="8" s="1"/>
  <c r="K149" i="8"/>
  <c r="F149" i="8"/>
  <c r="H149" i="8" s="1"/>
  <c r="G149" i="8" s="1"/>
  <c r="K148" i="8"/>
  <c r="F148" i="8"/>
  <c r="H148" i="8" s="1"/>
  <c r="G148" i="8" s="1"/>
  <c r="K147" i="8"/>
  <c r="F147" i="8"/>
  <c r="H147" i="8" s="1"/>
  <c r="G147" i="8" s="1"/>
  <c r="K146" i="8"/>
  <c r="F146" i="8"/>
  <c r="H146" i="8" s="1"/>
  <c r="G146" i="8" s="1"/>
  <c r="K145" i="8"/>
  <c r="F145" i="8"/>
  <c r="H145" i="8" s="1"/>
  <c r="G145" i="8" s="1"/>
  <c r="K144" i="8"/>
  <c r="F144" i="8"/>
  <c r="H144" i="8" s="1"/>
  <c r="G144" i="8" s="1"/>
  <c r="K143" i="8"/>
  <c r="F143" i="8"/>
  <c r="H143" i="8" s="1"/>
  <c r="G143" i="8" s="1"/>
  <c r="K142" i="8"/>
  <c r="F142" i="8"/>
  <c r="H142" i="8" s="1"/>
  <c r="G142" i="8" s="1"/>
  <c r="K141" i="8"/>
  <c r="F141" i="8"/>
  <c r="H141" i="8" s="1"/>
  <c r="G141" i="8" s="1"/>
  <c r="K140" i="8"/>
  <c r="F140" i="8"/>
  <c r="H140" i="8" s="1"/>
  <c r="G140" i="8" s="1"/>
  <c r="K139" i="8"/>
  <c r="F139" i="8"/>
  <c r="H139" i="8" s="1"/>
  <c r="G139" i="8" s="1"/>
  <c r="K138" i="8"/>
  <c r="F138" i="8"/>
  <c r="H138" i="8" s="1"/>
  <c r="G138" i="8" s="1"/>
  <c r="K137" i="8"/>
  <c r="F137" i="8"/>
  <c r="H137" i="8" s="1"/>
  <c r="G137" i="8" s="1"/>
  <c r="K136" i="8"/>
  <c r="F136" i="8"/>
  <c r="H136" i="8" s="1"/>
  <c r="G136" i="8" s="1"/>
  <c r="K135" i="8"/>
  <c r="F135" i="8"/>
  <c r="H135" i="8" s="1"/>
  <c r="G135" i="8" s="1"/>
  <c r="K132" i="8"/>
  <c r="F132" i="8"/>
  <c r="H132" i="8" s="1"/>
  <c r="G132" i="8" s="1"/>
  <c r="K131" i="8"/>
  <c r="F131" i="8"/>
  <c r="H131" i="8" s="1"/>
  <c r="G131" i="8" s="1"/>
  <c r="K130" i="8"/>
  <c r="F130" i="8"/>
  <c r="H130" i="8" s="1"/>
  <c r="G130" i="8" s="1"/>
  <c r="K129" i="8"/>
  <c r="F129" i="8"/>
  <c r="H129" i="8" s="1"/>
  <c r="G129" i="8" s="1"/>
  <c r="K128" i="8"/>
  <c r="F128" i="8"/>
  <c r="H128" i="8" s="1"/>
  <c r="G128" i="8" s="1"/>
  <c r="K127" i="8"/>
  <c r="F127" i="8"/>
  <c r="H127" i="8" s="1"/>
  <c r="G127" i="8" s="1"/>
  <c r="K126" i="8"/>
  <c r="F126" i="8"/>
  <c r="H126" i="8" s="1"/>
  <c r="G126" i="8" s="1"/>
  <c r="K125" i="8"/>
  <c r="F125" i="8"/>
  <c r="H125" i="8" s="1"/>
  <c r="G125" i="8" s="1"/>
  <c r="K124" i="8"/>
  <c r="F124" i="8"/>
  <c r="H124" i="8" s="1"/>
  <c r="G124" i="8" s="1"/>
  <c r="K123" i="8"/>
  <c r="F123" i="8"/>
  <c r="H123" i="8" s="1"/>
  <c r="G123" i="8" s="1"/>
  <c r="K122" i="8"/>
  <c r="F122" i="8"/>
  <c r="H122" i="8" s="1"/>
  <c r="G122" i="8" s="1"/>
  <c r="K121" i="8"/>
  <c r="F121" i="8"/>
  <c r="H121" i="8" s="1"/>
  <c r="G121" i="8" s="1"/>
  <c r="K120" i="8"/>
  <c r="F120" i="8"/>
  <c r="H120" i="8" s="1"/>
  <c r="G120" i="8" s="1"/>
  <c r="K119" i="8"/>
  <c r="F119" i="8"/>
  <c r="H119" i="8" s="1"/>
  <c r="G119" i="8" s="1"/>
  <c r="K118" i="8"/>
  <c r="F118" i="8"/>
  <c r="H118" i="8" s="1"/>
  <c r="G118" i="8" s="1"/>
  <c r="K117" i="8"/>
  <c r="F117" i="8"/>
  <c r="H117" i="8" s="1"/>
  <c r="G117" i="8" s="1"/>
  <c r="K116" i="8"/>
  <c r="F116" i="8"/>
  <c r="H116" i="8" s="1"/>
  <c r="G116" i="8" s="1"/>
  <c r="K115" i="8"/>
  <c r="F115" i="8"/>
  <c r="H115" i="8" s="1"/>
  <c r="G115" i="8" s="1"/>
  <c r="K114" i="8"/>
  <c r="F114" i="8"/>
  <c r="H114" i="8" s="1"/>
  <c r="G114" i="8" s="1"/>
  <c r="K113" i="8"/>
  <c r="F113" i="8"/>
  <c r="H113" i="8" s="1"/>
  <c r="G113" i="8" s="1"/>
  <c r="K109" i="8"/>
  <c r="F109" i="8"/>
  <c r="H109" i="8" s="1"/>
  <c r="G109" i="8" s="1"/>
  <c r="K107" i="8"/>
  <c r="F107" i="8"/>
  <c r="H107" i="8" s="1"/>
  <c r="G107" i="8" s="1"/>
  <c r="K108" i="8"/>
  <c r="F108" i="8"/>
  <c r="H108" i="8" s="1"/>
  <c r="G108" i="8" s="1"/>
  <c r="K106" i="8"/>
  <c r="F106" i="8"/>
  <c r="H106" i="8" s="1"/>
  <c r="G106" i="8" s="1"/>
  <c r="K105" i="8"/>
  <c r="F105" i="8"/>
  <c r="H105" i="8" s="1"/>
  <c r="G105" i="8" s="1"/>
  <c r="K104" i="8"/>
  <c r="F104" i="8"/>
  <c r="H104" i="8" s="1"/>
  <c r="G104" i="8" s="1"/>
  <c r="K103" i="8"/>
  <c r="F103" i="8"/>
  <c r="H103" i="8" s="1"/>
  <c r="G103" i="8" s="1"/>
  <c r="K102" i="8"/>
  <c r="F102" i="8"/>
  <c r="H102" i="8" s="1"/>
  <c r="G102" i="8" s="1"/>
  <c r="K101" i="8"/>
  <c r="F101" i="8"/>
  <c r="H101" i="8" s="1"/>
  <c r="G101" i="8" s="1"/>
  <c r="K100" i="8"/>
  <c r="F100" i="8"/>
  <c r="H100" i="8" s="1"/>
  <c r="G100" i="8" s="1"/>
  <c r="K99" i="8"/>
  <c r="F99" i="8"/>
  <c r="H99" i="8" s="1"/>
  <c r="G99" i="8" s="1"/>
  <c r="K98" i="8"/>
  <c r="F98" i="8"/>
  <c r="H98" i="8" s="1"/>
  <c r="G98" i="8" s="1"/>
  <c r="K97" i="8"/>
  <c r="F97" i="8"/>
  <c r="H97" i="8" s="1"/>
  <c r="G97" i="8" s="1"/>
  <c r="K96" i="8"/>
  <c r="F96" i="8"/>
  <c r="H96" i="8" s="1"/>
  <c r="G96" i="8" s="1"/>
  <c r="K95" i="8"/>
  <c r="F95" i="8"/>
  <c r="H95" i="8" s="1"/>
  <c r="G95" i="8" s="1"/>
  <c r="K110" i="8"/>
  <c r="F110" i="8"/>
  <c r="H110" i="8" s="1"/>
  <c r="G110" i="8" s="1"/>
  <c r="F94" i="8"/>
  <c r="H94" i="8" s="1"/>
  <c r="K93" i="8"/>
  <c r="F93" i="8"/>
  <c r="H93" i="8" s="1"/>
  <c r="G93" i="8" s="1"/>
  <c r="K92" i="8"/>
  <c r="F92" i="8"/>
  <c r="H92" i="8" s="1"/>
  <c r="G92" i="8" s="1"/>
  <c r="F91" i="8"/>
  <c r="H91" i="8" s="1"/>
  <c r="K88" i="8"/>
  <c r="F88" i="8"/>
  <c r="H88" i="8" s="1"/>
  <c r="G88" i="8" s="1"/>
  <c r="K87" i="8"/>
  <c r="F87" i="8"/>
  <c r="H87" i="8" s="1"/>
  <c r="G87" i="8" s="1"/>
  <c r="K86" i="8"/>
  <c r="F86" i="8"/>
  <c r="H86" i="8" s="1"/>
  <c r="G86" i="8" s="1"/>
  <c r="K85" i="8"/>
  <c r="F85" i="8"/>
  <c r="H85" i="8" s="1"/>
  <c r="G85" i="8" s="1"/>
  <c r="K84" i="8"/>
  <c r="F84" i="8"/>
  <c r="H84" i="8" s="1"/>
  <c r="G84" i="8" s="1"/>
  <c r="K83" i="8"/>
  <c r="F83" i="8"/>
  <c r="H83" i="8" s="1"/>
  <c r="G83" i="8" s="1"/>
  <c r="K82" i="8"/>
  <c r="F82" i="8"/>
  <c r="H82" i="8" s="1"/>
  <c r="G82" i="8" s="1"/>
  <c r="K81" i="8"/>
  <c r="F81" i="8"/>
  <c r="H81" i="8" s="1"/>
  <c r="G81" i="8" s="1"/>
  <c r="K80" i="8"/>
  <c r="F80" i="8"/>
  <c r="H80" i="8" s="1"/>
  <c r="G80" i="8" s="1"/>
  <c r="K79" i="8"/>
  <c r="F79" i="8"/>
  <c r="H79" i="8" s="1"/>
  <c r="G79" i="8" s="1"/>
  <c r="K78" i="8"/>
  <c r="F78" i="8"/>
  <c r="H78" i="8" s="1"/>
  <c r="G78" i="8" s="1"/>
  <c r="K77" i="8"/>
  <c r="F77" i="8"/>
  <c r="H77" i="8" s="1"/>
  <c r="G77" i="8" s="1"/>
  <c r="K76" i="8"/>
  <c r="F76" i="8"/>
  <c r="H76" i="8" s="1"/>
  <c r="G76" i="8" s="1"/>
  <c r="K75" i="8"/>
  <c r="F75" i="8"/>
  <c r="H75" i="8" s="1"/>
  <c r="G75" i="8" s="1"/>
  <c r="K74" i="8"/>
  <c r="F74" i="8"/>
  <c r="H74" i="8" s="1"/>
  <c r="G74" i="8" s="1"/>
  <c r="K73" i="8"/>
  <c r="F73" i="8"/>
  <c r="H73" i="8" s="1"/>
  <c r="G73" i="8" s="1"/>
  <c r="K72" i="8"/>
  <c r="F72" i="8"/>
  <c r="H72" i="8" s="1"/>
  <c r="G72" i="8" s="1"/>
  <c r="K71" i="8"/>
  <c r="F71" i="8"/>
  <c r="H71" i="8" s="1"/>
  <c r="G71" i="8" s="1"/>
  <c r="K70" i="8"/>
  <c r="F70" i="8"/>
  <c r="H70" i="8" s="1"/>
  <c r="G70" i="8" s="1"/>
  <c r="K69" i="8"/>
  <c r="F69" i="8"/>
  <c r="H69" i="8" s="1"/>
  <c r="G69" i="8" s="1"/>
  <c r="K66" i="8"/>
  <c r="F66" i="8"/>
  <c r="H66" i="8" s="1"/>
  <c r="G66" i="8" s="1"/>
  <c r="K65" i="8"/>
  <c r="F65" i="8"/>
  <c r="H65" i="8" s="1"/>
  <c r="G65" i="8" s="1"/>
  <c r="K64" i="8"/>
  <c r="F64" i="8"/>
  <c r="H64" i="8" s="1"/>
  <c r="G64" i="8" s="1"/>
  <c r="K63" i="8"/>
  <c r="K62" i="8"/>
  <c r="K61" i="8"/>
  <c r="F61" i="8"/>
  <c r="H61" i="8" s="1"/>
  <c r="G61" i="8" s="1"/>
  <c r="K60" i="8"/>
  <c r="F60" i="8"/>
  <c r="H60" i="8" s="1"/>
  <c r="G60" i="8" s="1"/>
  <c r="K59" i="8"/>
  <c r="F59" i="8"/>
  <c r="H59" i="8" s="1"/>
  <c r="G59" i="8" s="1"/>
  <c r="K58" i="8"/>
  <c r="F58" i="8"/>
  <c r="H58" i="8" s="1"/>
  <c r="G58" i="8" s="1"/>
  <c r="K57" i="8"/>
  <c r="F57" i="8"/>
  <c r="H57" i="8" s="1"/>
  <c r="G57" i="8" s="1"/>
  <c r="K56" i="8"/>
  <c r="F56" i="8"/>
  <c r="H56" i="8" s="1"/>
  <c r="G56" i="8" s="1"/>
  <c r="K55" i="8"/>
  <c r="F55" i="8"/>
  <c r="H55" i="8" s="1"/>
  <c r="G55" i="8" s="1"/>
  <c r="K54" i="8"/>
  <c r="F54" i="8"/>
  <c r="H54" i="8" s="1"/>
  <c r="G54" i="8" s="1"/>
  <c r="K53" i="8"/>
  <c r="F53" i="8"/>
  <c r="H53" i="8" s="1"/>
  <c r="G53" i="8" s="1"/>
  <c r="K52" i="8"/>
  <c r="F52" i="8"/>
  <c r="H52" i="8" s="1"/>
  <c r="G52" i="8" s="1"/>
  <c r="K51" i="8"/>
  <c r="F51" i="8"/>
  <c r="H51" i="8" s="1"/>
  <c r="G51" i="8" s="1"/>
  <c r="K50" i="8"/>
  <c r="F50" i="8"/>
  <c r="H50" i="8" s="1"/>
  <c r="G50" i="8" s="1"/>
  <c r="K49" i="8"/>
  <c r="F49" i="8"/>
  <c r="H49" i="8" s="1"/>
  <c r="G49" i="8" s="1"/>
  <c r="K48" i="8"/>
  <c r="F48" i="8"/>
  <c r="H48" i="8" s="1"/>
  <c r="G48" i="8" s="1"/>
  <c r="K47" i="8"/>
  <c r="F47" i="8"/>
  <c r="H47" i="8" s="1"/>
  <c r="G47" i="8" s="1"/>
  <c r="K44" i="8"/>
  <c r="F44" i="8"/>
  <c r="H44" i="8" s="1"/>
  <c r="G44" i="8" s="1"/>
  <c r="F43" i="8"/>
  <c r="H43" i="8" s="1"/>
  <c r="K42" i="8"/>
  <c r="F42" i="8"/>
  <c r="H42" i="8" s="1"/>
  <c r="G42" i="8" s="1"/>
  <c r="K41" i="8"/>
  <c r="F41" i="8"/>
  <c r="H41" i="8" s="1"/>
  <c r="G41" i="8" s="1"/>
  <c r="K40" i="8"/>
  <c r="F40" i="8"/>
  <c r="H40" i="8" s="1"/>
  <c r="G40" i="8" s="1"/>
  <c r="K39" i="8"/>
  <c r="F39" i="8"/>
  <c r="H39" i="8" s="1"/>
  <c r="G39" i="8" s="1"/>
  <c r="K38" i="8"/>
  <c r="F38" i="8"/>
  <c r="H38" i="8" s="1"/>
  <c r="G38" i="8" s="1"/>
  <c r="K37" i="8"/>
  <c r="F37" i="8"/>
  <c r="H37" i="8" s="1"/>
  <c r="G37" i="8" s="1"/>
  <c r="K36" i="8"/>
  <c r="F36" i="8"/>
  <c r="H36" i="8" s="1"/>
  <c r="G36" i="8" s="1"/>
  <c r="K35" i="8"/>
  <c r="F35" i="8"/>
  <c r="H35" i="8" s="1"/>
  <c r="G35" i="8" s="1"/>
  <c r="K34" i="8"/>
  <c r="F34" i="8"/>
  <c r="H34" i="8" s="1"/>
  <c r="G34" i="8" s="1"/>
  <c r="K33" i="8"/>
  <c r="F33" i="8"/>
  <c r="H33" i="8" s="1"/>
  <c r="G33" i="8" s="1"/>
  <c r="K32" i="8"/>
  <c r="F32" i="8"/>
  <c r="H32" i="8" s="1"/>
  <c r="G32" i="8" s="1"/>
  <c r="K31" i="8"/>
  <c r="F31" i="8"/>
  <c r="H31" i="8" s="1"/>
  <c r="G31" i="8" s="1"/>
  <c r="K30" i="8"/>
  <c r="F30" i="8"/>
  <c r="H30" i="8" s="1"/>
  <c r="G30" i="8" s="1"/>
  <c r="K29" i="8"/>
  <c r="F29" i="8"/>
  <c r="H29" i="8" s="1"/>
  <c r="G29" i="8" s="1"/>
  <c r="K28" i="8"/>
  <c r="F28" i="8"/>
  <c r="H28" i="8" s="1"/>
  <c r="G28" i="8" s="1"/>
  <c r="K27" i="8"/>
  <c r="F27" i="8"/>
  <c r="H27" i="8" s="1"/>
  <c r="G27" i="8" s="1"/>
  <c r="K26" i="8"/>
  <c r="F26" i="8"/>
  <c r="H26" i="8" s="1"/>
  <c r="G26" i="8" s="1"/>
  <c r="K25" i="8"/>
  <c r="F25" i="8"/>
  <c r="H25" i="8" s="1"/>
  <c r="G25" i="8" s="1"/>
  <c r="K22" i="8"/>
  <c r="F22" i="8"/>
  <c r="H22" i="8" s="1"/>
  <c r="G22" i="8" s="1"/>
  <c r="K21" i="8"/>
  <c r="F21" i="8"/>
  <c r="H21" i="8" s="1"/>
  <c r="G21" i="8" s="1"/>
  <c r="K20" i="8"/>
  <c r="F20" i="8"/>
  <c r="H20" i="8" s="1"/>
  <c r="G20" i="8" s="1"/>
  <c r="K19" i="8"/>
  <c r="F19" i="8"/>
  <c r="H19" i="8" s="1"/>
  <c r="G19" i="8" s="1"/>
  <c r="K81" i="7"/>
  <c r="K80" i="7"/>
  <c r="K79" i="7"/>
  <c r="K78" i="7"/>
  <c r="K77" i="7"/>
  <c r="K76" i="7"/>
  <c r="F76" i="7"/>
  <c r="H76" i="7" s="1"/>
  <c r="G76" i="7" s="1"/>
  <c r="K75" i="7"/>
  <c r="F75" i="7"/>
  <c r="H75" i="7" s="1"/>
  <c r="G75" i="7" s="1"/>
  <c r="K74" i="7"/>
  <c r="F74" i="7"/>
  <c r="H74" i="7" s="1"/>
  <c r="G74" i="7" s="1"/>
  <c r="K73" i="7"/>
  <c r="F73" i="7"/>
  <c r="H73" i="7" s="1"/>
  <c r="G73" i="7" s="1"/>
  <c r="K72" i="7"/>
  <c r="F72" i="7"/>
  <c r="H72" i="7" s="1"/>
  <c r="G72" i="7" s="1"/>
  <c r="K71" i="7"/>
  <c r="F71" i="7"/>
  <c r="H71" i="7" s="1"/>
  <c r="G71" i="7" s="1"/>
  <c r="K70" i="7"/>
  <c r="F70" i="7"/>
  <c r="H70" i="7" s="1"/>
  <c r="G70" i="7" s="1"/>
  <c r="K69" i="7"/>
  <c r="F69" i="7"/>
  <c r="H69" i="7" s="1"/>
  <c r="G69" i="7" s="1"/>
  <c r="K66" i="7"/>
  <c r="F66" i="7"/>
  <c r="H66" i="7" s="1"/>
  <c r="G66" i="7" s="1"/>
  <c r="K65" i="7"/>
  <c r="F65" i="7"/>
  <c r="H65" i="7" s="1"/>
  <c r="G65" i="7" s="1"/>
  <c r="K64" i="7"/>
  <c r="F64" i="7"/>
  <c r="H64" i="7" s="1"/>
  <c r="G64" i="7" s="1"/>
  <c r="K60" i="7"/>
  <c r="F60" i="7"/>
  <c r="H60" i="7" s="1"/>
  <c r="G60" i="7" s="1"/>
  <c r="K59" i="7"/>
  <c r="F59" i="7"/>
  <c r="H59" i="7" s="1"/>
  <c r="G59" i="7" s="1"/>
  <c r="K58" i="7"/>
  <c r="F58" i="7"/>
  <c r="H58" i="7" s="1"/>
  <c r="G58" i="7" s="1"/>
  <c r="K57" i="7"/>
  <c r="F57" i="7"/>
  <c r="H57" i="7" s="1"/>
  <c r="G57" i="7" s="1"/>
  <c r="K56" i="7"/>
  <c r="F56" i="7"/>
  <c r="H56" i="7" s="1"/>
  <c r="G56" i="7" s="1"/>
  <c r="K55" i="7"/>
  <c r="F55" i="7"/>
  <c r="H55" i="7" s="1"/>
  <c r="G55" i="7" s="1"/>
  <c r="K54" i="7"/>
  <c r="F54" i="7"/>
  <c r="H54" i="7" s="1"/>
  <c r="G54" i="7" s="1"/>
  <c r="K53" i="7"/>
  <c r="F53" i="7"/>
  <c r="H53" i="7" s="1"/>
  <c r="G53" i="7" s="1"/>
  <c r="K52" i="7"/>
  <c r="F52" i="7"/>
  <c r="H52" i="7" s="1"/>
  <c r="G52" i="7" s="1"/>
  <c r="K51" i="7"/>
  <c r="F51" i="7"/>
  <c r="H51" i="7" s="1"/>
  <c r="G51" i="7" s="1"/>
  <c r="K50" i="7"/>
  <c r="F50" i="7"/>
  <c r="H50" i="7" s="1"/>
  <c r="G50" i="7" s="1"/>
  <c r="K49" i="7"/>
  <c r="F49" i="7"/>
  <c r="H49" i="7" s="1"/>
  <c r="G49" i="7" s="1"/>
  <c r="K48" i="7"/>
  <c r="F48" i="7"/>
  <c r="H48" i="7" s="1"/>
  <c r="G48" i="7" s="1"/>
  <c r="F47" i="7"/>
  <c r="H47" i="7" s="1"/>
  <c r="K44" i="7"/>
  <c r="F44" i="7"/>
  <c r="H44" i="7" s="1"/>
  <c r="G44" i="7" s="1"/>
  <c r="K43" i="7"/>
  <c r="F43" i="7"/>
  <c r="H43" i="7" s="1"/>
  <c r="G43" i="7" s="1"/>
  <c r="K42" i="7"/>
  <c r="F42" i="7"/>
  <c r="H42" i="7" s="1"/>
  <c r="G42" i="7" s="1"/>
  <c r="K41" i="7"/>
  <c r="F41" i="7"/>
  <c r="H41" i="7" s="1"/>
  <c r="G41" i="7" s="1"/>
  <c r="K40" i="7"/>
  <c r="F40" i="7"/>
  <c r="H40" i="7" s="1"/>
  <c r="G40" i="7" s="1"/>
  <c r="K39" i="7"/>
  <c r="F39" i="7"/>
  <c r="H39" i="7" s="1"/>
  <c r="G39" i="7" s="1"/>
  <c r="K38" i="7"/>
  <c r="F38" i="7"/>
  <c r="H38" i="7" s="1"/>
  <c r="G38" i="7" s="1"/>
  <c r="K37" i="7"/>
  <c r="F37" i="7"/>
  <c r="H37" i="7" s="1"/>
  <c r="G37" i="7" s="1"/>
  <c r="K36" i="7"/>
  <c r="F36" i="7"/>
  <c r="H36" i="7" s="1"/>
  <c r="G36" i="7" s="1"/>
  <c r="K35" i="7"/>
  <c r="F35" i="7"/>
  <c r="H35" i="7" s="1"/>
  <c r="G35" i="7" s="1"/>
  <c r="K34" i="7"/>
  <c r="F34" i="7"/>
  <c r="H34" i="7" s="1"/>
  <c r="G34" i="7" s="1"/>
  <c r="K33" i="7"/>
  <c r="F33" i="7"/>
  <c r="H33" i="7" s="1"/>
  <c r="G33" i="7" s="1"/>
  <c r="K32" i="7"/>
  <c r="F32" i="7"/>
  <c r="H32" i="7" s="1"/>
  <c r="G32" i="7" s="1"/>
  <c r="K31" i="7"/>
  <c r="F31" i="7"/>
  <c r="H31" i="7" s="1"/>
  <c r="G31" i="7" s="1"/>
  <c r="K30" i="7"/>
  <c r="F30" i="7"/>
  <c r="H30" i="7" s="1"/>
  <c r="G30" i="7" s="1"/>
  <c r="K29" i="7"/>
  <c r="F29" i="7"/>
  <c r="H29" i="7" s="1"/>
  <c r="G29" i="7" s="1"/>
  <c r="K28" i="7"/>
  <c r="F28" i="7"/>
  <c r="H28" i="7" s="1"/>
  <c r="G28" i="7" s="1"/>
  <c r="K27" i="7"/>
  <c r="F27" i="7"/>
  <c r="H27" i="7" s="1"/>
  <c r="G27" i="7" s="1"/>
  <c r="K26" i="7"/>
  <c r="F26" i="7"/>
  <c r="H26" i="7" s="1"/>
  <c r="G26" i="7" s="1"/>
  <c r="K25" i="7"/>
  <c r="F25" i="7"/>
  <c r="H25" i="7" s="1"/>
  <c r="G25" i="7" s="1"/>
  <c r="K22" i="7"/>
  <c r="F22" i="7"/>
  <c r="H22" i="7" s="1"/>
  <c r="G22" i="7" s="1"/>
  <c r="K21" i="7"/>
  <c r="F21" i="7"/>
  <c r="H21" i="7" s="1"/>
  <c r="G21" i="7" s="1"/>
  <c r="K20" i="7"/>
  <c r="F20" i="7"/>
  <c r="H20" i="7" s="1"/>
  <c r="G20" i="7" s="1"/>
  <c r="K19" i="7"/>
  <c r="F19" i="7"/>
  <c r="H19" i="7" s="1"/>
  <c r="G19" i="7" s="1"/>
  <c r="K18" i="7"/>
  <c r="F18" i="7"/>
  <c r="H18" i="7" s="1"/>
  <c r="G18" i="7" s="1"/>
  <c r="K17" i="7"/>
  <c r="F17" i="7"/>
  <c r="H17" i="7" s="1"/>
  <c r="G17" i="7" s="1"/>
  <c r="K16" i="7"/>
  <c r="F16" i="7"/>
  <c r="H16" i="7" s="1"/>
  <c r="G16" i="7" s="1"/>
  <c r="K15" i="7"/>
  <c r="F15" i="7"/>
  <c r="H15" i="7" s="1"/>
  <c r="G15" i="7" s="1"/>
  <c r="K14" i="7"/>
  <c r="F14" i="7"/>
  <c r="H14" i="7" s="1"/>
  <c r="G14" i="7" s="1"/>
  <c r="K13" i="7"/>
  <c r="F13" i="7"/>
  <c r="H13" i="7" s="1"/>
  <c r="G13" i="7" s="1"/>
  <c r="K12" i="7"/>
  <c r="F12" i="7"/>
  <c r="H12" i="7" s="1"/>
  <c r="G12" i="7" s="1"/>
  <c r="K11" i="7"/>
  <c r="F11" i="7"/>
  <c r="H11" i="7" s="1"/>
  <c r="G11" i="7" s="1"/>
  <c r="K10" i="7"/>
  <c r="F10" i="7"/>
  <c r="H10" i="7" s="1"/>
  <c r="G10" i="7" s="1"/>
  <c r="K9" i="7"/>
  <c r="F9" i="7"/>
  <c r="H9" i="7" s="1"/>
  <c r="G9" i="7" s="1"/>
  <c r="K8" i="7"/>
  <c r="F8" i="7"/>
  <c r="H8" i="7" s="1"/>
  <c r="G8" i="7" s="1"/>
  <c r="K7" i="7"/>
  <c r="F7" i="7"/>
  <c r="H7" i="7" s="1"/>
  <c r="G7" i="7" s="1"/>
  <c r="K6" i="7"/>
  <c r="F6" i="7"/>
  <c r="H6" i="7" s="1"/>
  <c r="G6" i="7" s="1"/>
  <c r="K5" i="7"/>
  <c r="F5" i="7"/>
  <c r="H5" i="7" s="1"/>
  <c r="G5" i="7" s="1"/>
  <c r="K4" i="7"/>
  <c r="F4" i="7"/>
  <c r="H4" i="7" s="1"/>
  <c r="G4" i="7" s="1"/>
  <c r="K3" i="7"/>
  <c r="F3" i="7"/>
  <c r="H3" i="7" s="1"/>
  <c r="G3" i="7" s="1"/>
  <c r="K84" i="4"/>
  <c r="K199" i="8" l="1"/>
  <c r="K67" i="8"/>
  <c r="K155" i="8"/>
  <c r="K133" i="8"/>
  <c r="G205" i="8"/>
  <c r="K177" i="8"/>
  <c r="K89" i="8"/>
  <c r="G89" i="7"/>
  <c r="G177" i="8"/>
  <c r="G155" i="8"/>
  <c r="K205" i="8"/>
  <c r="K89" i="7"/>
  <c r="G45" i="7"/>
  <c r="K45" i="7"/>
  <c r="G23" i="7"/>
  <c r="K23" i="7"/>
  <c r="G133" i="8"/>
  <c r="G89" i="8"/>
  <c r="K26" i="4" l="1"/>
  <c r="K27" i="4"/>
  <c r="K28" i="4"/>
  <c r="K29" i="4"/>
  <c r="K30" i="4"/>
  <c r="K31" i="4"/>
  <c r="K32" i="4"/>
  <c r="K33" i="4"/>
  <c r="K34" i="4"/>
  <c r="K35" i="4"/>
  <c r="K37" i="4"/>
  <c r="K38" i="4"/>
  <c r="K39" i="4"/>
  <c r="K36" i="4"/>
  <c r="K40" i="4"/>
  <c r="K41" i="4"/>
  <c r="K42" i="4"/>
  <c r="K43" i="4"/>
  <c r="K44" i="4"/>
  <c r="K25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45" i="4" l="1"/>
  <c r="K23" i="4"/>
  <c r="F37" i="4"/>
  <c r="H37" i="4" s="1"/>
  <c r="G37" i="4" s="1"/>
  <c r="F26" i="4"/>
  <c r="H26" i="4" s="1"/>
  <c r="G26" i="4" s="1"/>
  <c r="F27" i="4"/>
  <c r="H27" i="4" s="1"/>
  <c r="G27" i="4" s="1"/>
  <c r="F28" i="4"/>
  <c r="H28" i="4" s="1"/>
  <c r="G28" i="4" s="1"/>
  <c r="F29" i="4"/>
  <c r="H29" i="4" s="1"/>
  <c r="G29" i="4" s="1"/>
  <c r="F30" i="4"/>
  <c r="H30" i="4" s="1"/>
  <c r="G30" i="4" s="1"/>
  <c r="F31" i="4"/>
  <c r="H31" i="4" s="1"/>
  <c r="G31" i="4" s="1"/>
  <c r="F32" i="4"/>
  <c r="H32" i="4" s="1"/>
  <c r="G32" i="4" s="1"/>
  <c r="F33" i="4"/>
  <c r="H33" i="4" s="1"/>
  <c r="G33" i="4" s="1"/>
  <c r="F34" i="4"/>
  <c r="H34" i="4" s="1"/>
  <c r="G34" i="4" s="1"/>
  <c r="F35" i="4"/>
  <c r="H35" i="4" s="1"/>
  <c r="G35" i="4" s="1"/>
  <c r="F5" i="4"/>
  <c r="H5" i="4" s="1"/>
  <c r="G5" i="4" s="1"/>
  <c r="F6" i="4"/>
  <c r="H6" i="4" s="1"/>
  <c r="G6" i="4" s="1"/>
  <c r="F7" i="4"/>
  <c r="H7" i="4" s="1"/>
  <c r="G7" i="4" s="1"/>
  <c r="F8" i="4"/>
  <c r="H8" i="4" s="1"/>
  <c r="G8" i="4" s="1"/>
  <c r="F9" i="4"/>
  <c r="H9" i="4" s="1"/>
  <c r="G9" i="4" s="1"/>
  <c r="F10" i="4"/>
  <c r="H10" i="4" s="1"/>
  <c r="G10" i="4" s="1"/>
  <c r="F11" i="4"/>
  <c r="H11" i="4" s="1"/>
  <c r="G11" i="4" s="1"/>
  <c r="F12" i="4"/>
  <c r="H12" i="4" s="1"/>
  <c r="G12" i="4" s="1"/>
  <c r="F13" i="4"/>
  <c r="H13" i="4" s="1"/>
  <c r="G13" i="4" s="1"/>
  <c r="F14" i="4"/>
  <c r="H14" i="4" s="1"/>
  <c r="G14" i="4" s="1"/>
  <c r="F15" i="4"/>
  <c r="H15" i="4" s="1"/>
  <c r="G15" i="4" s="1"/>
  <c r="F16" i="4"/>
  <c r="H16" i="4" s="1"/>
  <c r="G16" i="4" s="1"/>
  <c r="F17" i="4"/>
  <c r="H17" i="4" s="1"/>
  <c r="G17" i="4" s="1"/>
  <c r="F18" i="4"/>
  <c r="H18" i="4" s="1"/>
  <c r="G18" i="4" s="1"/>
  <c r="F19" i="4"/>
  <c r="H19" i="4" s="1"/>
  <c r="G19" i="4" s="1"/>
  <c r="F20" i="4"/>
  <c r="H20" i="4" s="1"/>
  <c r="G20" i="4" s="1"/>
  <c r="F21" i="4"/>
  <c r="H21" i="4" s="1"/>
  <c r="G21" i="4" s="1"/>
  <c r="F22" i="4"/>
  <c r="H22" i="4" s="1"/>
  <c r="G22" i="4" s="1"/>
  <c r="G23" i="4" l="1"/>
  <c r="K66" i="4"/>
  <c r="F66" i="4"/>
  <c r="H66" i="4" s="1"/>
  <c r="G66" i="4" s="1"/>
  <c r="K65" i="4"/>
  <c r="F65" i="4"/>
  <c r="H65" i="4" s="1"/>
  <c r="G65" i="4" s="1"/>
  <c r="K63" i="4"/>
  <c r="F63" i="4"/>
  <c r="H63" i="4" s="1"/>
  <c r="G63" i="4" s="1"/>
  <c r="K64" i="4"/>
  <c r="F64" i="4"/>
  <c r="H64" i="4" s="1"/>
  <c r="G64" i="4" s="1"/>
  <c r="K62" i="4"/>
  <c r="F62" i="4"/>
  <c r="H62" i="4" s="1"/>
  <c r="G62" i="4" s="1"/>
  <c r="K61" i="4"/>
  <c r="F61" i="4"/>
  <c r="H61" i="4" s="1"/>
  <c r="G61" i="4" s="1"/>
  <c r="K60" i="4"/>
  <c r="F60" i="4"/>
  <c r="H60" i="4" s="1"/>
  <c r="G60" i="4" s="1"/>
  <c r="K59" i="4"/>
  <c r="F59" i="4"/>
  <c r="H59" i="4" s="1"/>
  <c r="G59" i="4" s="1"/>
  <c r="K58" i="4"/>
  <c r="F58" i="4"/>
  <c r="H58" i="4" s="1"/>
  <c r="G58" i="4" s="1"/>
  <c r="K57" i="4"/>
  <c r="F57" i="4"/>
  <c r="H57" i="4" s="1"/>
  <c r="G57" i="4" s="1"/>
  <c r="K56" i="4"/>
  <c r="F56" i="4"/>
  <c r="H56" i="4" s="1"/>
  <c r="G56" i="4" s="1"/>
  <c r="K55" i="4"/>
  <c r="F55" i="4"/>
  <c r="H55" i="4" s="1"/>
  <c r="G55" i="4" s="1"/>
  <c r="K54" i="4"/>
  <c r="F54" i="4"/>
  <c r="H54" i="4" s="1"/>
  <c r="G54" i="4" s="1"/>
  <c r="F25" i="4"/>
  <c r="H25" i="4" s="1"/>
  <c r="G25" i="4" s="1"/>
  <c r="F84" i="4" l="1"/>
  <c r="H84" i="4" s="1"/>
  <c r="G84" i="4" s="1"/>
  <c r="K83" i="4"/>
  <c r="F83" i="4"/>
  <c r="H83" i="4" s="1"/>
  <c r="G83" i="4" s="1"/>
  <c r="K82" i="4"/>
  <c r="F82" i="4"/>
  <c r="H82" i="4" s="1"/>
  <c r="G82" i="4" s="1"/>
  <c r="K81" i="4"/>
  <c r="F81" i="4"/>
  <c r="H81" i="4" s="1"/>
  <c r="G81" i="4" s="1"/>
  <c r="K80" i="4"/>
  <c r="F80" i="4"/>
  <c r="H80" i="4" s="1"/>
  <c r="G80" i="4" s="1"/>
  <c r="K79" i="4"/>
  <c r="F79" i="4"/>
  <c r="H79" i="4" s="1"/>
  <c r="G79" i="4" s="1"/>
  <c r="K78" i="4"/>
  <c r="F78" i="4"/>
  <c r="H78" i="4" s="1"/>
  <c r="G78" i="4" s="1"/>
  <c r="K77" i="4"/>
  <c r="F77" i="4"/>
  <c r="H77" i="4" s="1"/>
  <c r="G77" i="4" s="1"/>
  <c r="K76" i="4"/>
  <c r="F76" i="4"/>
  <c r="H76" i="4" s="1"/>
  <c r="G76" i="4" s="1"/>
  <c r="K75" i="4"/>
  <c r="F75" i="4"/>
  <c r="H75" i="4" s="1"/>
  <c r="G75" i="4" s="1"/>
  <c r="K74" i="4"/>
  <c r="F74" i="4"/>
  <c r="H74" i="4" s="1"/>
  <c r="G74" i="4" s="1"/>
  <c r="K73" i="4"/>
  <c r="F73" i="4"/>
  <c r="H73" i="4" s="1"/>
  <c r="G73" i="4" s="1"/>
  <c r="K72" i="4"/>
  <c r="F72" i="4"/>
  <c r="H72" i="4" s="1"/>
  <c r="G72" i="4" s="1"/>
  <c r="K71" i="4"/>
  <c r="F71" i="4"/>
  <c r="H71" i="4" s="1"/>
  <c r="G71" i="4" s="1"/>
  <c r="K70" i="4"/>
  <c r="F70" i="4"/>
  <c r="H70" i="4" s="1"/>
  <c r="G70" i="4" s="1"/>
  <c r="K69" i="4"/>
  <c r="H69" i="4"/>
  <c r="G69" i="4" s="1"/>
  <c r="K87" i="4" l="1"/>
  <c r="G87" i="4"/>
  <c r="K53" i="4"/>
  <c r="F53" i="4"/>
  <c r="H53" i="4" s="1"/>
  <c r="G53" i="4" s="1"/>
  <c r="K52" i="4"/>
  <c r="F52" i="4"/>
  <c r="H52" i="4" s="1"/>
  <c r="G52" i="4" s="1"/>
  <c r="K51" i="4"/>
  <c r="F51" i="4"/>
  <c r="H51" i="4" s="1"/>
  <c r="G51" i="4" s="1"/>
  <c r="K50" i="4"/>
  <c r="F50" i="4"/>
  <c r="H50" i="4" s="1"/>
  <c r="G50" i="4" s="1"/>
  <c r="K49" i="4"/>
  <c r="F49" i="4"/>
  <c r="H49" i="4" s="1"/>
  <c r="G49" i="4" s="1"/>
  <c r="K48" i="4"/>
  <c r="F48" i="4"/>
  <c r="H48" i="4" s="1"/>
  <c r="G48" i="4" s="1"/>
  <c r="K47" i="4"/>
  <c r="F47" i="4"/>
  <c r="H47" i="4" s="1"/>
  <c r="G47" i="4" s="1"/>
  <c r="F44" i="4"/>
  <c r="H44" i="4" s="1"/>
  <c r="G44" i="4" s="1"/>
  <c r="F43" i="4"/>
  <c r="H43" i="4" s="1"/>
  <c r="G43" i="4" s="1"/>
  <c r="F42" i="4"/>
  <c r="H42" i="4" s="1"/>
  <c r="G42" i="4" s="1"/>
  <c r="F41" i="4"/>
  <c r="H41" i="4" s="1"/>
  <c r="G41" i="4" s="1"/>
  <c r="F40" i="4"/>
  <c r="H40" i="4" s="1"/>
  <c r="G40" i="4" s="1"/>
  <c r="F36" i="4"/>
  <c r="H36" i="4" s="1"/>
  <c r="G36" i="4" s="1"/>
  <c r="F39" i="4"/>
  <c r="H39" i="4" s="1"/>
  <c r="G39" i="4" s="1"/>
  <c r="F38" i="4"/>
  <c r="H38" i="4" s="1"/>
  <c r="G38" i="4" s="1"/>
  <c r="G47" i="7"/>
  <c r="G67" i="7" s="1"/>
  <c r="G95" i="7" s="1"/>
  <c r="K47" i="7"/>
  <c r="K67" i="7" s="1"/>
  <c r="K95" i="7" s="1"/>
  <c r="G45" i="4" l="1"/>
  <c r="G67" i="4"/>
  <c r="G88" i="4" s="1"/>
  <c r="K67" i="4"/>
  <c r="K88" i="4" s="1"/>
  <c r="K3" i="8" l="1"/>
  <c r="K23" i="8" s="1"/>
  <c r="G3" i="8"/>
  <c r="G23" i="8" s="1"/>
  <c r="K43" i="8"/>
  <c r="K45" i="8" s="1"/>
  <c r="G43" i="8"/>
  <c r="G45" i="8" s="1"/>
  <c r="K91" i="8"/>
  <c r="G91" i="8"/>
  <c r="G54" i="6" l="1"/>
  <c r="G67" i="6" s="1"/>
  <c r="K54" i="6"/>
  <c r="K67" i="6" s="1"/>
  <c r="F62" i="8" l="1"/>
  <c r="H62" i="8" s="1"/>
  <c r="G62" i="8" s="1"/>
  <c r="F63" i="8"/>
  <c r="H63" i="8" s="1"/>
  <c r="G63" i="8" s="1"/>
  <c r="G67" i="8" s="1"/>
  <c r="G94" i="8"/>
  <c r="G111" i="8" s="1"/>
  <c r="K94" i="8"/>
  <c r="K111" i="8" s="1"/>
  <c r="K206" i="8" s="1"/>
  <c r="G206" i="8" l="1"/>
  <c r="G43" i="6"/>
  <c r="G45" i="6" s="1"/>
  <c r="K43" i="6"/>
  <c r="K45" i="6" s="1"/>
  <c r="K380" i="6" s="1"/>
  <c r="F4" i="6"/>
  <c r="H4" i="6" s="1"/>
  <c r="G4" i="6" s="1"/>
  <c r="G23" i="6" s="1"/>
  <c r="G380" i="6" s="1"/>
</calcChain>
</file>

<file path=xl/sharedStrings.xml><?xml version="1.0" encoding="utf-8"?>
<sst xmlns="http://schemas.openxmlformats.org/spreadsheetml/2006/main" count="2112" uniqueCount="753">
  <si>
    <t>ลำดับ</t>
  </si>
  <si>
    <t>รายการ</t>
  </si>
  <si>
    <t>จำนวนรับในปีงบประมาณ</t>
  </si>
  <si>
    <t>รวมมูลค่าจ่าย</t>
  </si>
  <si>
    <t>จำนวนจ่ายใน</t>
  </si>
  <si>
    <t>คงเหลือเมื่อสิ้นปีงบประมาณ</t>
  </si>
  <si>
    <t>ยกมา</t>
  </si>
  <si>
    <t>รับใหม่</t>
  </si>
  <si>
    <t>รวม</t>
  </si>
  <si>
    <t>ในปีงบประมาณ</t>
  </si>
  <si>
    <t>ปีงบประมาณ</t>
  </si>
  <si>
    <t>จำนวน</t>
  </si>
  <si>
    <t>ราคา/หน่วย</t>
  </si>
  <si>
    <t xml:space="preserve">  คณะกรรมการได้ตรวจรับ</t>
  </si>
  <si>
    <t xml:space="preserve">  พัสดุตามบัญชี  รับ-จ่าย</t>
  </si>
  <si>
    <t xml:space="preserve">  เป็นการถูกต้องแล้ว</t>
  </si>
  <si>
    <t xml:space="preserve">   ประธานกรรมการ   ( 1 )</t>
  </si>
  <si>
    <t xml:space="preserve">    กรรมการ  ( 2 )</t>
  </si>
  <si>
    <t xml:space="preserve">   กรรมการ  ( 3 )</t>
  </si>
  <si>
    <t xml:space="preserve"> ประธานกรรมการ  ( 1 )</t>
  </si>
  <si>
    <t xml:space="preserve">   กรรมการ  ( 2 )</t>
  </si>
  <si>
    <t>Cethyl Alcohol</t>
  </si>
  <si>
    <t>Cetomacrogol (1 kg.)</t>
  </si>
  <si>
    <t>Cidex OPA 0.55%</t>
  </si>
  <si>
    <t>แกลลอน</t>
  </si>
  <si>
    <t>Citric Acid (450 gm.)</t>
  </si>
  <si>
    <t>Disodium hydrogen  phosphate  anhydrous AR</t>
  </si>
  <si>
    <t>Glutaraldehyde Solution 2% - 5,000ML(Pose-dex)</t>
  </si>
  <si>
    <t>Glycerine (6 kg.)</t>
  </si>
  <si>
    <t>Magnesium Chloride</t>
  </si>
  <si>
    <t>Propylene Glycol</t>
  </si>
  <si>
    <t>Q-Bac 2%- 400ml Chlorhexidine Gluconate</t>
  </si>
  <si>
    <t>กระปุกยาครีม 150 กรัม</t>
  </si>
  <si>
    <t>ขวดน้ำพลาสติก ขนาด 120 ซีซี</t>
  </si>
  <si>
    <t>ขวดน้ำพลาสติก ขนาด 240 ซีซี</t>
  </si>
  <si>
    <t>ขวดน้ำพลาสติก ขนาด 30 ซีซี</t>
  </si>
  <si>
    <t>ขวดน้ำพลาสติก ขนาด 60 ซีซี</t>
  </si>
  <si>
    <t>ขวดยา 500 cc. ( 120 ใบ)</t>
  </si>
  <si>
    <t>ชุด</t>
  </si>
  <si>
    <t>ขวดแก้วสีชา 60 ซีซี พร้อมฝาเกลียว</t>
  </si>
  <si>
    <t>ซองซิปทึบแสงขนาด 9x13 ซม. พิมพ์ยาเสี่ยงสูง</t>
  </si>
  <si>
    <t>ซองซิปสีชา 9*13 ไม่มีแถบ</t>
  </si>
  <si>
    <t>ซองซิปสีชา ขนาด12 X20</t>
  </si>
  <si>
    <t>ซองซิปสีแดงพิมพ์ High Alert Drug 12x22 ซม.</t>
  </si>
  <si>
    <t>ซองซิปใส 12X20 CM.</t>
  </si>
  <si>
    <t>ซองซิปใส 20x30 ซม.</t>
  </si>
  <si>
    <t>ซองซิปใส 23x35 ซม.</t>
  </si>
  <si>
    <t>ซองซิปใส 9x13 CM. ไม่มีแถบ</t>
  </si>
  <si>
    <t>ตลับยาครีม ขนาด 10 กรัม</t>
  </si>
  <si>
    <t>ตลับยาครีม ขนาด 30 กรัม</t>
  </si>
  <si>
    <t>ชิ้น</t>
  </si>
  <si>
    <t>สติ๊กเกอร์ม้วน ขนาด 8.5x8 ซม. กระดาษไดเร็กซ์</t>
  </si>
  <si>
    <t>สติ๊กเกอร์ไดเร็ทเทอร์มอล ขนาด8.5x6.1 (หยี่เต้ง)</t>
  </si>
  <si>
    <t>สบู่เหลว ( Pose Liquid Soap)</t>
  </si>
  <si>
    <t>Coban 1นิ้ว</t>
  </si>
  <si>
    <t>Coban 4นิ้ว</t>
  </si>
  <si>
    <t>Cotton  Bud 100 ชิ้น</t>
  </si>
  <si>
    <t>Cotton Wool 450 gm</t>
  </si>
  <si>
    <t>Cotton ปั้นก้อนเล็ก 0.35 gm (450 gm)</t>
  </si>
  <si>
    <t>Cotton ปั้นก้อนใหญ่ 1.40 gm (450 gm)</t>
  </si>
  <si>
    <t>Dispos Needle No.18X1.5นิ้ว 100 ชิ้น</t>
  </si>
  <si>
    <t>Dispos Needle No.22X1.5นิ้ว 100 ชิ้น</t>
  </si>
  <si>
    <t>Dispos Needle No.22X1นิ้ว 100 ชิ้น</t>
  </si>
  <si>
    <t>Dispos Needle No.24x1.5นิ้ว 100 ชิ้น</t>
  </si>
  <si>
    <t>Dispos Needle No.25X1นิ้ว 100 ชิ้น</t>
  </si>
  <si>
    <t>Dispos Needle No.27X0.5นิ้ว 100 ชิ้น</t>
  </si>
  <si>
    <t>Dispos Needle No.30X0.5นิ้ว 100 ชิ้น (OR)</t>
  </si>
  <si>
    <t>Elastomull 1นิ้ว ( กล่องละ 10 ม้วน) / Easifix</t>
  </si>
  <si>
    <t>Elastomull 4นิ้ว (กล่องละ 10 ม้วน)</t>
  </si>
  <si>
    <t>Eye Pad No. L</t>
  </si>
  <si>
    <t>Eye Pad No. M</t>
  </si>
  <si>
    <t>Eye Shield Left</t>
  </si>
  <si>
    <t>Eye Shield Right</t>
  </si>
  <si>
    <t>Feeding Tube  5/ 100 CM</t>
  </si>
  <si>
    <t>Feeding Tube  5/ 40-50 CM</t>
  </si>
  <si>
    <t>Feeding Tube  8/ 100 CM</t>
  </si>
  <si>
    <t>Feeding Tube  8/ 40-50 CM</t>
  </si>
  <si>
    <t>Fixomull 4นิ้ว / Hypafix 10mm,x10mm.</t>
  </si>
  <si>
    <t>Foley Cath 3 Way 16 FR 30 CC</t>
  </si>
  <si>
    <t>Foley Cath 3 Way 18  FR 30 CC.</t>
  </si>
  <si>
    <t>Foley Cath 3 Way 20 FR 30 CC.</t>
  </si>
  <si>
    <t>Foley Cath 3 Way 22 FR 30 CC.</t>
  </si>
  <si>
    <t>Foley Catheter No.10</t>
  </si>
  <si>
    <t>Foley Catheter No.12</t>
  </si>
  <si>
    <t>Foley Catheter No.14</t>
  </si>
  <si>
    <t>Foley Catheter No.16</t>
  </si>
  <si>
    <t>Foley Catheter No.18</t>
  </si>
  <si>
    <t>Foley Catheter No.20</t>
  </si>
  <si>
    <t>Foley Catheter No.22</t>
  </si>
  <si>
    <t>Foley Catheter No.24</t>
  </si>
  <si>
    <t>Foley Catheter No.6</t>
  </si>
  <si>
    <t>Foley Catheter No.8</t>
  </si>
  <si>
    <t>Gauze 2x2 Sterile By EO Set 10</t>
  </si>
  <si>
    <t>Gauze 2x2 Sterile By EO Set 5</t>
  </si>
  <si>
    <t>Gauze 2x2 นิ้ว</t>
  </si>
  <si>
    <t>Gauze 3x4 นิ้ว</t>
  </si>
  <si>
    <t>Gauze 4X4 นิ้ว</t>
  </si>
  <si>
    <t>Gauze Bandage 4นิ้ว ,12 Roll</t>
  </si>
  <si>
    <t>Gauze Drain 0.25 นิ้ว</t>
  </si>
  <si>
    <t>Gauze Drain 0.5นิ้วX 4 YARD</t>
  </si>
  <si>
    <t>Gauze Sterile 3x4 นิ้ว 8 ชั้น(2 ชิ้น)</t>
  </si>
  <si>
    <t>Gauze Sterile 3x4 นิ้ว 8 ชั้น(5 ชิ้น)</t>
  </si>
  <si>
    <t>Gauze Sterile 6X6 นิ้ว  (10 ชิ้น)</t>
  </si>
  <si>
    <t>Glove ARM Band Size L ( 1 Pack/ 12 Pairs )</t>
  </si>
  <si>
    <t>Glove ARM Band Size M ( 1 Pack/12 Pairs )</t>
  </si>
  <si>
    <t>Glove Dispos No.L (100 ชิ้น)</t>
  </si>
  <si>
    <t>Glove Dispos No.M (100 ชิ้น)</t>
  </si>
  <si>
    <t>Glove Dispos No.S</t>
  </si>
  <si>
    <t>Glove Dispos No.S ( ไม่มีแป้ง )</t>
  </si>
  <si>
    <t>Glove Dispos No.XS (100 ชิ้น)</t>
  </si>
  <si>
    <t>Glove Sterile By EO Size S</t>
  </si>
  <si>
    <t>Glove Sterile No.6.0 (ไม่มีแป้ง)</t>
  </si>
  <si>
    <t>Glove Sterile No.6.5 (ไม่มีแป้ง)</t>
  </si>
  <si>
    <t>Glove Sterile No.7.0 (ไม่มีแป้ง)</t>
  </si>
  <si>
    <t>Glove Sterile No.7.5 (ไม่มีแป้ง)</t>
  </si>
  <si>
    <t>Glove Sterile No.8.0 (ไม่มีแป้ง)</t>
  </si>
  <si>
    <t>Glove Sterile No.8.5 (ไม่มีแป้ง)</t>
  </si>
  <si>
    <t>Heparin Locked Needle ( กล่องละ 100 )</t>
  </si>
  <si>
    <t>IV Catheter No.16 /Medicut No.16</t>
  </si>
  <si>
    <t>IV Catheter No.18 /Medicut No.18</t>
  </si>
  <si>
    <t>IV Catheter No.20x1.25  เจเอสวิชั่น</t>
  </si>
  <si>
    <t>IV Catheter No.22 /Medicut No.22</t>
  </si>
  <si>
    <t>IV Catheter No.22 x 1 เจเอสวิชั่น</t>
  </si>
  <si>
    <t>IV Catheter No.24 /Medicut No.24</t>
  </si>
  <si>
    <t>IV Infusion Set VL ST00 (แทน  LF600 )</t>
  </si>
  <si>
    <t>IV Infusion Set ผู้ใหญ่ / ชุดให้น้ำเกลือผู้ใหญ่</t>
  </si>
  <si>
    <t>IV Infusion Set เด็ก/ ชุดให้น้ำเกลือเด็ก</t>
  </si>
  <si>
    <t>IV Solution Administration Set</t>
  </si>
  <si>
    <t>Intrafix P Primelene Classic</t>
  </si>
  <si>
    <t>K-Band 3นิ้ว (60 ม้วน/กล่อง)</t>
  </si>
  <si>
    <t>K-Band 4นิ้ว (60 ม้วน/กล่อง)</t>
  </si>
  <si>
    <t>Micropore 1นิ้ว</t>
  </si>
  <si>
    <t>NG. Tube No.10</t>
  </si>
  <si>
    <t>NG. Tube No.12</t>
  </si>
  <si>
    <t>NG. Tube No.14</t>
  </si>
  <si>
    <t>NG. Tube No.16</t>
  </si>
  <si>
    <t>Opsite Post OP 6.5cmx5.0 cm.( 100 ชิ้น/กล่อง)</t>
  </si>
  <si>
    <t>Opsite Post OP 9.5cmx 8.5 cm.( 20 ชิ้น/กล่อง)</t>
  </si>
  <si>
    <t>Plaster Transpore 1/2นิ้ว</t>
  </si>
  <si>
    <t>Plaster ผ้า 2นิ้ว ( 6 ม้วน/กล่อง)</t>
  </si>
  <si>
    <t>Plaster ยา , 100 ชิ้น</t>
  </si>
  <si>
    <t>Polyurethane Umbilical Catheter 3.5 FR.</t>
  </si>
  <si>
    <t>Polyurethane Umbilical Catheter 5.0 FR.</t>
  </si>
  <si>
    <t>Scalp Vein No.21 (50 อัน/กล่อง)</t>
  </si>
  <si>
    <t>Scalp Vein No.23 ( 50 อัน/กล่อง)</t>
  </si>
  <si>
    <t>Scalp Vein No.25 ( 50 อัน/กล่อง)</t>
  </si>
  <si>
    <t>Self Cath เด็กชาย</t>
  </si>
  <si>
    <t>Self Cath เด็กหญิง</t>
  </si>
  <si>
    <t>Self Cathetor Female ( 5 ชุด/กล่อง)</t>
  </si>
  <si>
    <t>Self Cathetor Male (5 ชุด/กล่อง)</t>
  </si>
  <si>
    <t>Spinal Needle No.18 ( 25 อัน/กล่อง)</t>
  </si>
  <si>
    <t>Spinal Needle No.20 ( 25 อัน/กล่อง)</t>
  </si>
  <si>
    <t>Spinal Needle No.22X3.5นิ้ว</t>
  </si>
  <si>
    <t>Sterile Strip R 1541 1/4x3 ( 1541 )</t>
  </si>
  <si>
    <t>Sterile Strip R 1547 1/2x4 ( 1547 )</t>
  </si>
  <si>
    <t>Suction Tube No.10</t>
  </si>
  <si>
    <t>Suction Tube No.14</t>
  </si>
  <si>
    <t>Suction Tube No.16</t>
  </si>
  <si>
    <t>Suction Tube No.5</t>
  </si>
  <si>
    <t>Suction Tube No.8</t>
  </si>
  <si>
    <t>Surgical Drapes 100x150 cm</t>
  </si>
  <si>
    <t>Surgical Drapes 60x60 cm. Mid  Drill  4นิ้วx4นิ้ว</t>
  </si>
  <si>
    <t>Surplug Needle-Free Connector with Extension</t>
  </si>
  <si>
    <t>Syringe Dispos 10 ml</t>
  </si>
  <si>
    <t>Syringe Dispos 10 ml หัว Lock</t>
  </si>
  <si>
    <t>Syringe Dispos 1ml/100 iu fick เข็ม</t>
  </si>
  <si>
    <t>Syringe Dispos 3 ml</t>
  </si>
  <si>
    <t>Syringe Dispos 3 ml หัว Lock</t>
  </si>
  <si>
    <t>Syringe Dispos 5 ml</t>
  </si>
  <si>
    <t>Syringe Dispos 5 ml หัว Lock</t>
  </si>
  <si>
    <t>Syringe Dispos 50 ml</t>
  </si>
  <si>
    <t>Syringe Dispos 50 ml หัว Lock</t>
  </si>
  <si>
    <t>Syringe Irrigate 50 ml</t>
  </si>
  <si>
    <t>Terufution Set</t>
  </si>
  <si>
    <t>Thermometer  (ทางปาก)</t>
  </si>
  <si>
    <t>Transfer  BAG  300 ML / 25 Bag</t>
  </si>
  <si>
    <t>Uno Meter Safety Plus</t>
  </si>
  <si>
    <t>Urine Bag ผู้ใหญ่</t>
  </si>
  <si>
    <t>Urine Bag เด็ก</t>
  </si>
  <si>
    <t>Urine Cathetor ยางแดง No.10 Sterile</t>
  </si>
  <si>
    <t>Urine Cathetor ยางแดง No.12 Sterile</t>
  </si>
  <si>
    <t>Urine Cathetor ยางแดง No.14 Sterile</t>
  </si>
  <si>
    <t>Urine Cathetor ยางแดง No.8 Sterile</t>
  </si>
  <si>
    <t>ก๊อสพับ 50x100x32 ชิ้น ( 5 ชิ้น/ซอง )</t>
  </si>
  <si>
    <t>ถุงมือไนไตร เบอร์ M ( 1 ลัง/ 10 กล่อง )</t>
  </si>
  <si>
    <t>ถุงมือไนไตร เบอร์ S ( 100 /กล่อง )</t>
  </si>
  <si>
    <t>สำลีก้อน 1.40 กรัม Sterile (5 ก้อน)</t>
  </si>
  <si>
    <t>สำลีก้อนกลม 0.35 g Sterile (2 ก้อน)</t>
  </si>
  <si>
    <t>สำลีก้อนกลม 0.35 g. Sterile (5 ก้อน)</t>
  </si>
  <si>
    <t>ไม้พันสำลี Sterile No.S</t>
  </si>
  <si>
    <t>ไม้พันสำลี เบอร์ L</t>
  </si>
  <si>
    <t>ม้วน</t>
  </si>
  <si>
    <t>Altrasling No.L</t>
  </si>
  <si>
    <t>Altrasling No.M</t>
  </si>
  <si>
    <t>Ankle Support (ปรับขนาด)=Adjustable Ankle ( Futuro )</t>
  </si>
  <si>
    <t>Ankle Support No.L (เซฟฟ่า)</t>
  </si>
  <si>
    <t>Ankle Support No.M (เซฟฟา)</t>
  </si>
  <si>
    <t>Ankle Support No.S (เซฟฟ่า)</t>
  </si>
  <si>
    <t>Arm - Sling Interlocking No.L</t>
  </si>
  <si>
    <t>Arm - Sling Interlocking No.M</t>
  </si>
  <si>
    <t>Arm - Sling Interlocking No.S</t>
  </si>
  <si>
    <t>Arm - Sling No. L</t>
  </si>
  <si>
    <t>Arm - Sling No. M</t>
  </si>
  <si>
    <t>Arm - Sling No. XS</t>
  </si>
  <si>
    <t>กระป๋อง</t>
  </si>
  <si>
    <t>Clavicle Support No.L</t>
  </si>
  <si>
    <t>Clavicle Support No.M</t>
  </si>
  <si>
    <t>Clavicle Support No.S</t>
  </si>
  <si>
    <t>Clavicle Support No.XL</t>
  </si>
  <si>
    <t>Deluxe Thumb Stabilizier L-XL</t>
  </si>
  <si>
    <t>Finger Splint  3/4 นิ้ว</t>
  </si>
  <si>
    <t>Finger Splint 1 นิ้ว</t>
  </si>
  <si>
    <t>Finger Splint 1/2 นิ้ว</t>
  </si>
  <si>
    <t>Hinge Knee Support (Long) No.L/XL</t>
  </si>
  <si>
    <t>Hinge Knee Support (Long) No.S/M</t>
  </si>
  <si>
    <t>Hinge Knee Support (short) No.L/XL</t>
  </si>
  <si>
    <t>Hinge Knee Support (short) No.S/M</t>
  </si>
  <si>
    <t>Knee O Support No.L มีรู</t>
  </si>
  <si>
    <t>Knee O Support No.M มีรู</t>
  </si>
  <si>
    <t>Knee O Support No.S มีรู</t>
  </si>
  <si>
    <t>Knee Support No.L</t>
  </si>
  <si>
    <t>Knee Support No.M</t>
  </si>
  <si>
    <t>Knee Support No.XL</t>
  </si>
  <si>
    <t>Pro Splint 3นิ้ว(เฝือกสำเร็จรูป 3นิ้ว)</t>
  </si>
  <si>
    <t>Pro Splint 4 นิ้ว (เฝือกสำเร็จรูป 4นิ้ว)</t>
  </si>
  <si>
    <t>Pro Splint 6นิ้ว(เฝือกสำเร็จรูป 6นิ้ว)</t>
  </si>
  <si>
    <t>Skin Traction Kits (ผู้ใหญ่)</t>
  </si>
  <si>
    <t>Skin Traction Kits (เด็ก)</t>
  </si>
  <si>
    <t>Soffban Natural 4นิ้ว(สำลีรองเฝือก)=Webril</t>
  </si>
  <si>
    <t>Soffban Natural 6นิ้ว(สำลีรองเฝือก)=Webril</t>
  </si>
  <si>
    <t>Splint Polyester 4 x 15 นิ้ว ( 415 )</t>
  </si>
  <si>
    <t>Splint Polyester 4 x 30นิ้ว (430)</t>
  </si>
  <si>
    <t>Splint Polyester 5นิ้ว x 30นิ้ว (530)</t>
  </si>
  <si>
    <t>Splint Polyester 5นิ้ว x 45นิ้ว</t>
  </si>
  <si>
    <t>Stabilizing Knee Support No.L</t>
  </si>
  <si>
    <t>Stabilizing Knee Support No.M</t>
  </si>
  <si>
    <t>Stockinet  2 นิ้ว x 20 M. (ผ้ายืดรองเฝือก)</t>
  </si>
  <si>
    <t>Stockinet  3 นิ้ว x 20 M. (ผ้ายืดรองเฝือก)</t>
  </si>
  <si>
    <t>Stockinet  6 นิ้ว x 20 M. (ผ้ายืดรองเฝือก)</t>
  </si>
  <si>
    <t>Tennis Elbow Support No.L/XL</t>
  </si>
  <si>
    <t>Tennis Elbow Support No.S/M</t>
  </si>
  <si>
    <t>Thumb Support No.M</t>
  </si>
  <si>
    <t>Thumb Support No.S</t>
  </si>
  <si>
    <t>Wrist Support Adj.</t>
  </si>
  <si>
    <t>Wrist Support No.L</t>
  </si>
  <si>
    <t>Wrist Support No.M</t>
  </si>
  <si>
    <t>Wrist Support No.S</t>
  </si>
  <si>
    <t>Arm - Sling No. S</t>
  </si>
  <si>
    <t>Knee Support No.S</t>
  </si>
  <si>
    <t>T-Way  (Terumo)</t>
  </si>
  <si>
    <t>1298 Rapid Attest EO ( 25 pk/Bx)</t>
  </si>
  <si>
    <t>Active Life Drain PCH 19-64 mm.</t>
  </si>
  <si>
    <t>Air Way No.3</t>
  </si>
  <si>
    <t>Air Way No.4 (ผู้ใหญ่)</t>
  </si>
  <si>
    <t>Air Way No.5 (ผู้ใหญ่)</t>
  </si>
  <si>
    <t>Ambu Bag Silcone ผู้ใหญ่</t>
  </si>
  <si>
    <t>Aquacel AG Extra 10X10 cm / 10 ชิ้น.</t>
  </si>
  <si>
    <t>Aqualcel AG Foam 10x10 cm.</t>
  </si>
  <si>
    <t>Bacteria filter Clear-Guard 3</t>
  </si>
  <si>
    <t>Bed Pan ( ผู้หญิง)</t>
  </si>
  <si>
    <t>Close Suction System No. 14</t>
  </si>
  <si>
    <t>Close Suction System, Pediatric CH 8</t>
  </si>
  <si>
    <t>Comply Steam Indicator (1243) ไอน้ำ</t>
  </si>
  <si>
    <t>Connector 7x7 mm.ข้อต่อสายดูดเสมหะสีขาว</t>
  </si>
  <si>
    <t>Contact Gel</t>
  </si>
  <si>
    <t>Corrugate Tubing 6นิ้ว</t>
  </si>
  <si>
    <t>Corrugated Tubing 150 cm.</t>
  </si>
  <si>
    <t>Duoderm CGF 4นิ้ว*4นิ้ว (5 ชิ้น)</t>
  </si>
  <si>
    <t>EKG ครีม</t>
  </si>
  <si>
    <t>Edward Three Way Spike ( H3051 )</t>
  </si>
  <si>
    <t>Extraction Cup 50 mm.</t>
  </si>
  <si>
    <t>Fillter/HME TwinStar @55</t>
  </si>
  <si>
    <t>Filter  เครื่องตรวจสมรรถภาพปอด</t>
  </si>
  <si>
    <t>Granulox Spray 10% 12ml</t>
  </si>
  <si>
    <t>HYDROX,uwc Prefilled Humidifiuer</t>
  </si>
  <si>
    <t>Microcuvette 4X50 pcs  Hb 201 (เด็ก)</t>
  </si>
  <si>
    <t>Mounth Piece 22 F and 22 M Connection</t>
  </si>
  <si>
    <t>Mucus Extractor / หลอดเก็บเสมหะ</t>
  </si>
  <si>
    <t>Nebulizer Only (กระเปาะพ่นยา)</t>
  </si>
  <si>
    <t>Nutri-Bag 500 ml.</t>
  </si>
  <si>
    <t>Nutriline-C</t>
  </si>
  <si>
    <t>Oxygen  Mask Wresevoir (ผู้ใหญ่)</t>
  </si>
  <si>
    <t>Oxygen Cannular สายออกซิเจนสำหรับผู้ใหญ่</t>
  </si>
  <si>
    <t>Oxygen Cannular สายออกซิเจนสำหรับเด็กทารก</t>
  </si>
  <si>
    <t>Pose-Jel</t>
  </si>
  <si>
    <t>Poseclean</t>
  </si>
  <si>
    <t>Prismaflex M100 Set สำหรับเครื่องไตเทียมแบบต่อเนื่อง CRRT</t>
  </si>
  <si>
    <t>Purell 1200 ml. refill ( แอลกอฮอล์ล้างมือ )</t>
  </si>
  <si>
    <t>R2 Pads P-60 Adult ( Euro Pads Adult )</t>
  </si>
  <si>
    <t>Rectal Tube # 24</t>
  </si>
  <si>
    <t>Rectal Tube # 28</t>
  </si>
  <si>
    <t>Rectal Tube # 32</t>
  </si>
  <si>
    <t>Red Dot Infant  เด็กแรกเกิด</t>
  </si>
  <si>
    <t>Red Dot Ped micropore 50 pcs เด็กโต</t>
  </si>
  <si>
    <t>Red Dot ผู้ใหญ่ ซองละ 50 ชิ้น</t>
  </si>
  <si>
    <t>Sangofixair 180 cm. Luer Lock</t>
  </si>
  <si>
    <t>Silicone แคทธีเตอร์เม้าท์ (งวงช้าง)</t>
  </si>
  <si>
    <t>Stethe Scope ชุดหูฟังผู้ใหญ่</t>
  </si>
  <si>
    <t>Stethe Scope ชุดหูฟังเด็กเล็ก</t>
  </si>
  <si>
    <t>Stethe Scope ชุดหูฟังเด็กโต</t>
  </si>
  <si>
    <t>Stomahesive Ostomy Seal Thin 48 mm.</t>
  </si>
  <si>
    <t>Suction Dispos/CRD LINER</t>
  </si>
  <si>
    <t>Tegaderm 10*12 CM (1626)</t>
  </si>
  <si>
    <t>Tegaderm 6*7 CM (1623)</t>
  </si>
  <si>
    <t>Tegaderm 6*7 CM (1624)</t>
  </si>
  <si>
    <t>Tracheostomy Tube / Regular size 7</t>
  </si>
  <si>
    <t>Tracheostomy Tube / Regular size 8</t>
  </si>
  <si>
    <t>Tracheostomy Tube / Regular size 9</t>
  </si>
  <si>
    <t>Tracheostomy Tube No.1 (5 mm.)</t>
  </si>
  <si>
    <t>Tracheostomy Tube No.2  (6 mm.)</t>
  </si>
  <si>
    <t>Tracheostomy Tube No.3 ( 7 mm.)</t>
  </si>
  <si>
    <t>Tracheostomy Tube No.4 ( 8 mm.)</t>
  </si>
  <si>
    <t>Tracheostomy Tube No.5  ( 9 mm.)</t>
  </si>
  <si>
    <t>Tracheostomy Tube No.6 (10 mm.)</t>
  </si>
  <si>
    <t>Tracheostomy Tube No.7 (11.0 mm )</t>
  </si>
  <si>
    <t>Tracheostomy Tube No.8 (12.0 mm)</t>
  </si>
  <si>
    <t>Tracheostomy Tube No.9 (13 mm.)</t>
  </si>
  <si>
    <t>V-Wipes แผ่นเช็ดทำความสะอาด</t>
  </si>
  <si>
    <t>Vaseline Gauze 4x4 นิ้วx 8 ชั้น 3 ชิ้น</t>
  </si>
  <si>
    <t>Vaseline Gauze Drain 1.5นิ้วx6 หลา</t>
  </si>
  <si>
    <t>กระดาษ ECG รุ่น MAC 1200</t>
  </si>
  <si>
    <t>กระดาษ EKG  Mortaraeli 250-210</t>
  </si>
  <si>
    <t>กระดาษ EKG (A054)Nihon Kohden FQW210-3-140</t>
  </si>
  <si>
    <t>กระดาษ EKG ขนาด 63x30 m (FOLD)</t>
  </si>
  <si>
    <t>กระดาษ EKG ขนาด 63x30 m (ROLL TYPE)</t>
  </si>
  <si>
    <t>กระดาษ Fetal Monitor เครื่อง NST  HPM  1911A</t>
  </si>
  <si>
    <t>กระดาษ เครื่อง ECG 12 Lead สำหรับเครื่อง Philips</t>
  </si>
  <si>
    <t>กระดาษวัดความดันอัตโนมัติ UDEX Twin</t>
  </si>
  <si>
    <t>กระดาษอุลตร้าซาวด์ ( ฟิมล์ SONO )</t>
  </si>
  <si>
    <t>ขวด CHEST DRAIN</t>
  </si>
  <si>
    <t>ขวดแก้ว size 15 cc. By EO</t>
  </si>
  <si>
    <t>ขวดแก้วปากกว้าง 60 CC.</t>
  </si>
  <si>
    <t>ชุดทำแผล Dressing Set</t>
  </si>
  <si>
    <t>ชุดพ่นยาสำหรับผู้ใหญ่ ( AIR LIFE )</t>
  </si>
  <si>
    <t>ชุดพ่นยาสำหรับเด็ก ( AIR LIFE เด็ก)</t>
  </si>
  <si>
    <t>ชุดสายยางประกอบการไหลเวียนนอกร่างกาย ( ผู้ใหญ่)</t>
  </si>
  <si>
    <t>ซองอบ plasma  ชนิด 10นิ้ว(ไทเวค)</t>
  </si>
  <si>
    <t>ซองอบ plasma  ชนิด 3นิ้ว(ไทเวค)</t>
  </si>
  <si>
    <t>ซองอบ plasma  ชนิด 6นิ้ว(ไทเวค)</t>
  </si>
  <si>
    <t>ซองอบ plasma ชนิด 12นิ้ว(ไทเวค)</t>
  </si>
  <si>
    <t>ซองอบ plasma ชนิด 4นิ้ว(ไทเวค)</t>
  </si>
  <si>
    <t>ซองอบแก๊ส EO + ไอน้ำ ขนาด 10นิ้ว ( ซ้อนขอบ)</t>
  </si>
  <si>
    <t>ซองอบแก๊ส EO + ไอน้ำ ขนาด 10นิ้ว ( แบบเรียบ)</t>
  </si>
  <si>
    <t>ซองอบแก๊ส EO + ไอน้ำ ขนาด 12นิ้ว ( ซ้อนขอบ)</t>
  </si>
  <si>
    <t>ซองอบแก๊ส EO + ไอน้ำ ขนาด 12นิ้ว (แบบเรียบ)</t>
  </si>
  <si>
    <t>ซองอบแก๊ส EO + ไอน้ำ ขนาด 3นิ้ว ( แบบเรียบ)</t>
  </si>
  <si>
    <t>ซองอบแก๊ส EO + ไอน้ำ ขนาด 3นิ้ว (ซ้อนขอบ)</t>
  </si>
  <si>
    <t>ซองอบแก๊ส EO + ไอน้ำ ขนาด 4นิ้ว (แบบเรียบ)</t>
  </si>
  <si>
    <t>ซองอบแก๊ส EO + ไอน้ำ ขนาด 6นิ้ว ( ซ้อนขอบ)</t>
  </si>
  <si>
    <t>ซองอบแก๊ส EO + ไอน้ำ ขนาด 6นิ้ว (แบบเรียบ)</t>
  </si>
  <si>
    <t>ตัวกรองไตเทียมแบบประสิทธิภาพสูง ( HF19 )</t>
  </si>
  <si>
    <t>ตัวตรวจสอบ ATP (แทน คลีน-เทรซ)</t>
  </si>
  <si>
    <t>ถ้วยยาเม็ดพลาสติก</t>
  </si>
  <si>
    <t>น้ำยาล้าง Deconex Prozyme ALKA</t>
  </si>
  <si>
    <t>ป้ายข้อมือผู้ใหญ่</t>
  </si>
  <si>
    <t>ป้ายข้อมือเด็ก</t>
  </si>
  <si>
    <t>ผ้า Non woven Blue &amp; Green Anti 120x120 cm</t>
  </si>
  <si>
    <t>ผ้า Non woven Blue &amp; Green Anti 60x60 cm</t>
  </si>
  <si>
    <t>ผ้า Non woven Blue &amp; Green Anti.70x70 cm.</t>
  </si>
  <si>
    <t>ผ้า Non woven Violet &amp; Pink Anti 50x50 cm</t>
  </si>
  <si>
    <t>ผ้ากันเปื้อนพลาสติก/เอี๊ยมพลาสติก</t>
  </si>
  <si>
    <t>ลูกสูบยาง เบอร์ 5</t>
  </si>
  <si>
    <t>สติ๊กเกอร์ Direct Themal ขนาด 5x2 cm.</t>
  </si>
  <si>
    <t>สายซิลิโคน 7x11 มม.</t>
  </si>
  <si>
    <t>สายยางรับเบอร์ทิ้ว 200</t>
  </si>
  <si>
    <t>สายยางรับเบอร์ทิ้ว 204</t>
  </si>
  <si>
    <t>สายออกซิเจนสีเขียว (O2) หัวโต 7 ฟุต</t>
  </si>
  <si>
    <t>สารช่วยเพิ่มความชุ่มชื่นให้เครื่องมือ</t>
  </si>
  <si>
    <t>สารละลายฟอกเลือดไบคาร์บอเนตไม่มีโพแทสเซียม (ACCUSOL-35)</t>
  </si>
  <si>
    <t>สไตเลท เบอร์ 10</t>
  </si>
  <si>
    <t>สไตเลท เบอร์ 2.6</t>
  </si>
  <si>
    <t>สไตเลท เบอร์14</t>
  </si>
  <si>
    <t>หมวกตัวหนอนสีเขียว</t>
  </si>
  <si>
    <t>หมวกอาบน้ำพลาสติกป้องกันเอดส์</t>
  </si>
  <si>
    <t>หลอดแก๊สเอทธิลินออกไซด์ สเตอริแก็ส B-170</t>
  </si>
  <si>
    <t>ห่อสำเร็จรูปทางชีวภาพ/เคมีอ่านผลเร็วมาก</t>
  </si>
  <si>
    <t>เครื่องบริหารปอด</t>
  </si>
  <si>
    <t>เจลอุลตร้าซาวด์ ( Ultrasound Jell 4 Lit/Gl.)</t>
  </si>
  <si>
    <t>เสื้อกันเปื้อนแบบมีแขน ( HB Cpe Gown )</t>
  </si>
  <si>
    <t>แก้วยาน้ำพลาสติก</t>
  </si>
  <si>
    <t>แว่นตากันของเหลว แบบขาหนีบ</t>
  </si>
  <si>
    <t>ใบมีดกำจัดขน</t>
  </si>
  <si>
    <t>ใบมีดผ่าตัด No.11</t>
  </si>
  <si>
    <t>ใบมีดผ่าตัด No.15</t>
  </si>
  <si>
    <t>ใบมีดโกน  (Feather)</t>
  </si>
  <si>
    <t>ไม้ Pap Smear (100 อัน)</t>
  </si>
  <si>
    <t>ไม้เคาะเข่า</t>
  </si>
  <si>
    <t>ผ้า Non woven Blue &amp; Green Anti 40 x 40 cm</t>
  </si>
  <si>
    <t>ผ้า Non woven Blue &amp; Green Anti 50 x 50 cm</t>
  </si>
  <si>
    <t>Stearyl Alcohol</t>
  </si>
  <si>
    <t>ซองซิปใส 16X26cm (แช่เย็น)</t>
  </si>
  <si>
    <t>ซองซิปใส 5X7cm</t>
  </si>
  <si>
    <t>IV Catheter No.18 x 1.75นิ้ว เจเอสวิชั่น</t>
  </si>
  <si>
    <t>Syringe Dispos 0.5ml/100 iu</t>
  </si>
  <si>
    <t>Aquacel AG Extra 20X30 cm / 5 ชิ้น.</t>
  </si>
  <si>
    <t>น้ำยาไฮโดรเจนเพอร์ออกไซด์ 58%</t>
  </si>
  <si>
    <t>ผ้า Non woven Blue &amp; Green Anti  30x30 cm</t>
  </si>
  <si>
    <t>ผ้า Non woven Blue &amp; Green Anti 90x90 cm</t>
  </si>
  <si>
    <t>IV Catheter No.20x1.75 เจเอสวิชั่น</t>
  </si>
  <si>
    <t>Gyro Disc Syringe Filter 0.2 UM</t>
  </si>
  <si>
    <t>Menthol Crystal (450 gm. )</t>
  </si>
  <si>
    <t>กระปุกใส่ครีม 500 กรัม</t>
  </si>
  <si>
    <t>ซองซิปใส 16x26 CM (แถบสีฟ้า ยาชนิดเดียวกัน)</t>
  </si>
  <si>
    <t>Knee O Support No.XL มีรู</t>
  </si>
  <si>
    <t>Extension Tube No.12นิ้ว (50เส้น/ห่อ)</t>
  </si>
  <si>
    <t>Extension Tube No.18 นิ้ว(50เส้น/ห่อ)</t>
  </si>
  <si>
    <t>Extension Tube No.36นิ้ว(50เส้น/ห่อ)</t>
  </si>
  <si>
    <t>Glove ARM Band Size S</t>
  </si>
  <si>
    <t>IV Catheter No.20x1.25/Medicut No.20</t>
  </si>
  <si>
    <t>Micropore 1/2นิ้ว</t>
  </si>
  <si>
    <t>Alcohol Blister Pack 0.35</t>
  </si>
  <si>
    <t>CDWA4 ตัวทดสอบประสิทธภาพฯเครื่องอัตโนมัติ</t>
  </si>
  <si>
    <t>CDWUตัวทดสอบประสิทธิภาพการล้างด้วยเครื่องอัลตร้าโซนิก</t>
  </si>
  <si>
    <t>Disposable Mask (แบบผูก)</t>
  </si>
  <si>
    <t>Empty Ultrafil Tartion Bag ( EMC 3188 ) ห่อละ 9 อัน</t>
  </si>
  <si>
    <t>Seal check  Med ตัวตรวจสอบประสิทธิภาพเครื่องซีล</t>
  </si>
  <si>
    <t>Stomashesive Paste 2 ออนซ์</t>
  </si>
  <si>
    <t>Tracheostomy Tube / Regular size 5</t>
  </si>
  <si>
    <t>Triple  Lumen Central Venous Cat.(ไซโน)</t>
  </si>
  <si>
    <t>กล่องใส่เข็มใช้แล้ว /กล่องแดงพลาสติก 5นิ้วx10นิ้ว</t>
  </si>
  <si>
    <t>ขวดแก้ว size 50 cc. By EO</t>
  </si>
  <si>
    <t>ถุงซิปบรรจุศพ สีขาว ( 90x200 cm. )</t>
  </si>
  <si>
    <t>ผ้า Non woven Violet &amp; Pink Anti 40x40 cm</t>
  </si>
  <si>
    <t>หน้ากากป้องกันฝุ่นละออง N.95 1870</t>
  </si>
  <si>
    <t>Salicylic Acid</t>
  </si>
  <si>
    <t>ขวดยาหยอดตา ( แบบพลาสติก) ขนาด 10 ml.</t>
  </si>
  <si>
    <t>Alcohol Pad</t>
  </si>
  <si>
    <t>BDS Tests (PNN)</t>
  </si>
  <si>
    <t>Caviwipes</t>
  </si>
  <si>
    <t>Intrasite Gel 25G</t>
  </si>
  <si>
    <t>หน่วยนับ</t>
  </si>
  <si>
    <t>จำนวนเงิน</t>
  </si>
  <si>
    <t>จำนวนเงินรวม</t>
  </si>
  <si>
    <t xml:space="preserve">  ผู้จัดทำ</t>
  </si>
  <si>
    <t xml:space="preserve">   (นางสาวอรฤทัย  อรรคบุตร)</t>
  </si>
  <si>
    <t>หัวหน้าหน่วยงาน</t>
  </si>
  <si>
    <t>Gypsona S 10 cm. (เฝือกปูน 4นิ้ว)</t>
  </si>
  <si>
    <t>Gypsona S 5 cm. (เฝือกปูน 2นิ้ว)</t>
  </si>
  <si>
    <t>Dynacast Green 3นิ้ว (เฝือกพลาสติก 3นิ้ว)</t>
  </si>
  <si>
    <t>Dynacast White 4นิ้ว (เฝือกพลาสติก 4นิ้ว)</t>
  </si>
  <si>
    <t>BD Surgical Clipper Blade (ใบมีดกำจัดขน)</t>
  </si>
  <si>
    <t>Cavilon ADV Skin Protect 0.7 ml.</t>
  </si>
  <si>
    <t>Pads Adult for DGT7</t>
  </si>
  <si>
    <t>Red dot (2330) แผ่นอิเลคโทรด สำหรับเด็กแรกเกิด</t>
  </si>
  <si>
    <t>Sterrad 100S Cassette</t>
  </si>
  <si>
    <t>Surgical Gown size L</t>
  </si>
  <si>
    <t>กระดาษ EKG Zoll DM 90mm.x90 mm.(NHK-H305)</t>
  </si>
  <si>
    <t>ซองสเตอร์ไรด์ชนิดขอบขยาย 6 นิ้ว ซองสำเร็จขนาดตัด</t>
  </si>
  <si>
    <t>ซองสเตอร์ไรด์ชนิดขอบเรียบ 10 นิ้ว ซองสำเร็จขนาดตัด</t>
  </si>
  <si>
    <t>ซองสเตอร์ไรด์ชนิดขอบเรียบ 12 นิ้ว ซองสำเร็จขนาดตัด</t>
  </si>
  <si>
    <t>ซองสเตอร์ไรด์ชนิดขอบเรียบ 3 นิ้ว ซองสำเร็จขนาดตัด</t>
  </si>
  <si>
    <t>ซองสเตอร์ไรด์ชนิดขอบเรียบ 4 นิ้ว ซองสำเร็จขนาดตัด</t>
  </si>
  <si>
    <t>ซองสเตอร์ไรด์ชนิดขอบเรียบ 6 นิ้ว ซองสำเร็จขนาดตัด</t>
  </si>
  <si>
    <t>เข็มขัดคาดถุง 1 เส้น</t>
  </si>
  <si>
    <t>Chloral Hydrate 500 mg</t>
  </si>
  <si>
    <t>Liquid Paraffin (450 cc./ ขวด)</t>
  </si>
  <si>
    <t>ซองซิปใส 12x20 CM. (แถบสีฟ้า ยาชนิดเดียวกัน)</t>
  </si>
  <si>
    <t>Skin Closure Fasnaht  90x210 mm.</t>
  </si>
  <si>
    <t>Suction Tube No.12</t>
  </si>
  <si>
    <t>IV Catheter No.24 x 0.75 เจเอสวิชั่น</t>
  </si>
  <si>
    <t>(นางสาวสว่างวรรณ  พิทยานฤมาน)</t>
  </si>
  <si>
    <t>(นางสาวสมฤดี  ชัชเวช)</t>
  </si>
  <si>
    <t>(นางสาวพิทยาภรณ์  นวลสีทอง)</t>
  </si>
  <si>
    <t>(นางสาวดวงพร  พงษ์ศรีลา)</t>
  </si>
  <si>
    <t>(นางอัญชนา  เสมอภาค)</t>
  </si>
  <si>
    <t>(นางสาวสุพรพรรณ์  กิจบรรยงเลิศ)</t>
  </si>
  <si>
    <t>Altrasling No.S</t>
  </si>
  <si>
    <t>Cast Comfort 200 Ml. ( สเปรย์สำหรับผู้ป่วยใส่เฝือก )</t>
  </si>
  <si>
    <t>(Hibiscrb)Q-Bac 4% Liquid soap</t>
  </si>
  <si>
    <t>CMC Sodium 1500 (450 gm.)</t>
  </si>
  <si>
    <t>Chlorhexidine Cream 50 gm.</t>
  </si>
  <si>
    <t>Dettol</t>
  </si>
  <si>
    <t>Sodium Citrate</t>
  </si>
  <si>
    <t>Syrup Simplex</t>
  </si>
  <si>
    <t>กระบอกตวงแก้ว 50 ml.</t>
  </si>
  <si>
    <t>ซองซิปสีชา ขนาด 18X28cm</t>
  </si>
  <si>
    <t>ซีลล์รัดคอขวด ขนาด 240 cc.(ขนาดใหญ่)</t>
  </si>
  <si>
    <t>3M Multipore Dry 1 inch</t>
  </si>
  <si>
    <t>3M Multipore Dry 1/2 inch</t>
  </si>
  <si>
    <t>IV Catheter No.18 x 1.25นิ้ว เจเอสวิชั่น</t>
  </si>
  <si>
    <t>Skin Closure Fasnaht  90x150 mm.</t>
  </si>
  <si>
    <t>Top Dressing 12 X 24 นิ้ว (Sterile)</t>
  </si>
  <si>
    <t>Thermometer ทางทวารหนัก (12 ชิ้น/กล่อง)</t>
  </si>
  <si>
    <t>ไม้พันสำลี Sterile No.M (5 ก้าน)</t>
  </si>
  <si>
    <t>Canister 500 ml with gel infovac</t>
  </si>
  <si>
    <t>Dermodacyn Post Procedure Hydrogel 45 g.</t>
  </si>
  <si>
    <t>Dermodacyn Wound Care spray 60 ml</t>
  </si>
  <si>
    <t>Dermodacyn Wound Hydrogel 500 g.</t>
  </si>
  <si>
    <t>Dermodacyn Wound Hydrogel 60 g.</t>
  </si>
  <si>
    <t>Isolation Gown No.M</t>
  </si>
  <si>
    <t>Linovera oil 50 ml.</t>
  </si>
  <si>
    <t>Pederson Vaginal Speculum 100 x 22 mm.(M)</t>
  </si>
  <si>
    <t>Pose All Cleaner (11 L.)</t>
  </si>
  <si>
    <t>R Vacc Dressing 30x30 cm.</t>
  </si>
  <si>
    <t>Sensatrac,Medium Granufoam Dressing (สีดำ M)</t>
  </si>
  <si>
    <t>Tegaderm CHG 8.5*11.5 CM (1657R)</t>
  </si>
  <si>
    <t>กระดาษ EKG ขนาด 50x30 m (FOLD)</t>
  </si>
  <si>
    <t>กระดาษ EKG ขนาด 50x30 m (ROLL TYPE)</t>
  </si>
  <si>
    <t>กระดาษ Defib สำหรับเครื่อง DFM100</t>
  </si>
  <si>
    <t>ตัวล็อคกรรไกร/เครื่องมือ กลาง 89x171 mm.</t>
  </si>
  <si>
    <t>น้ำยา Monsel's Solution</t>
  </si>
  <si>
    <t>สายรัดข้อมือ ขนาด 26x2.5 ซม. พิมพ์สีม่วง</t>
  </si>
  <si>
    <t>Glove Sterile By EO Size M</t>
  </si>
  <si>
    <t>(นางรวีลักษ์ มากวิสิฐธนธร)</t>
  </si>
  <si>
    <t>D1 Walker size L (ยาว)</t>
  </si>
  <si>
    <t>D1 Walker size L (สั้น)</t>
  </si>
  <si>
    <t>D1 Walker size M (สั้น)</t>
  </si>
  <si>
    <t>D1 Walker size S (ยาว)</t>
  </si>
  <si>
    <t>D1 Walker size S (สั้น)</t>
  </si>
  <si>
    <t>D1 Walker size XL (สั้น)</t>
  </si>
  <si>
    <t>Dynacast Green 2นิ้ว ( เฝือกพลาสติก 2นิ้ว )</t>
  </si>
  <si>
    <t>Dynacast White 5นิ้ว (เฝือกพลาสติก 5นิ้ว)</t>
  </si>
  <si>
    <t>FT.Therapeutic Arch Support</t>
  </si>
  <si>
    <t>Gypsona S 15 cm. (เฝือกปูน 6นิ้ว)</t>
  </si>
  <si>
    <t>Gypsona S 7.5 cm. (เฝือกปูน 3นิ้ว)</t>
  </si>
  <si>
    <t>Knee Support No.L  ( Futuro )</t>
  </si>
  <si>
    <t>Knee Support No.M (Futuro)</t>
  </si>
  <si>
    <t>Soffban Natural 2นิ้ว(สำลีรองเฝือก)=Webril</t>
  </si>
  <si>
    <t>1348 VH202 ตัวบ่งชี้ทางเคมีสำหรับไฮโดรเจนเปอร์ออกไซด์</t>
  </si>
  <si>
    <t>Bactigras 10 x 10 cm.</t>
  </si>
  <si>
    <t>Blumembrane 20x28 cm. 5 pack/BX</t>
  </si>
  <si>
    <t>Cutimed Sorbact Swabs 7 X 9 CM.</t>
  </si>
  <si>
    <t>Disposable Mask แบบคล้องหู</t>
  </si>
  <si>
    <t>Dressing Forceps 14.5 cm. ไม่มีเขี้ยว</t>
  </si>
  <si>
    <t>Embossed Silicone mat 536mm.X249mm.</t>
  </si>
  <si>
    <t>Endotracheal Tube No. 2.0  (เวชภัณฑ์)</t>
  </si>
  <si>
    <t>Endotracheal Tube No. 2.5  (เวชภัณฑ์)</t>
  </si>
  <si>
    <t>Endotracheal Tube No. 3.0  (เวชภัณฑ์)</t>
  </si>
  <si>
    <t>Endotracheal Tube No. 3.5  (เวชภัณฑ์)</t>
  </si>
  <si>
    <t>Endotracheal Tube No. 4.0  (เวชภัณฑ์)</t>
  </si>
  <si>
    <t>Endotracheal Tube No. 4.5  (เวชภัณฑ์)</t>
  </si>
  <si>
    <t>Endotracheal Tube No. 5.0 มี cuff (เวชภัณฑ์)</t>
  </si>
  <si>
    <t>Endotracheal Tube No. 6.0 มี cuff  (เวชภัณฑ์)</t>
  </si>
  <si>
    <t>Endotracheal Tube No. 6.5 มี cuff  (เวชภัณฑ์)</t>
  </si>
  <si>
    <t>Endotracheal Tube No. 7.0 มี cuff  (เวชภัณฑ์)</t>
  </si>
  <si>
    <t>Endotracheal Tube No. 7.5 มี cuff  (เวชภัณฑ์)</t>
  </si>
  <si>
    <t>Endotracheal Tube No. 8.0 มี cuff  (เวชภัณฑ์)</t>
  </si>
  <si>
    <t>Endotracheal Tube No. 8.5 มี cuff  (เวชภัณฑ์)</t>
  </si>
  <si>
    <t>Expiratory Filter , Reusable</t>
  </si>
  <si>
    <t>Forceps tissue 1x2 teeth, 14.5 cm.มีเขี้ยว</t>
  </si>
  <si>
    <t>Forceps tissue 1x2 teeth, 16.0 cm. มีเขี้ยว</t>
  </si>
  <si>
    <t>Mepilex AG 10x10</t>
  </si>
  <si>
    <t>Mepilex Transfer AG</t>
  </si>
  <si>
    <t>Neodisher IR Size 1L.</t>
  </si>
  <si>
    <t>Oxiris Set</t>
  </si>
  <si>
    <t>Prismaflex TPE2000 Set</t>
  </si>
  <si>
    <t>Prontosan 350 ml.(เบิกที่ศูนย์ดูแลบาดแผล)</t>
  </si>
  <si>
    <t>Renasys Touch Canister  300 ml.</t>
  </si>
  <si>
    <t>Roll of pink petforted silicone mats 1000mm.X245 mm.</t>
  </si>
  <si>
    <t>Sealed Canister  800 CC (เบิกที่ศูนย์ดูแลบาดแผล)</t>
  </si>
  <si>
    <t>Spacer ACE Kit</t>
  </si>
  <si>
    <t>Sterrad 100NX Cassette</t>
  </si>
  <si>
    <t>Stomahesive 45 mm. แป้น (กล่อง 10 แผ่น)</t>
  </si>
  <si>
    <t>Stomahesive 57  mm. แป้น( 401576)</t>
  </si>
  <si>
    <t>Sur-Fit Natura Drain. 70  mm. ถุง ( 401504)</t>
  </si>
  <si>
    <t>Sur-Fit Natura Drain.45 mm. ( กล่อง10 ถุง )</t>
  </si>
  <si>
    <t>T-Piece / 3way ด้านไม่เท่า</t>
  </si>
  <si>
    <t>Tray Liner 300x600 mm.</t>
  </si>
  <si>
    <t>กระดาษความร้อน ขนาด 90x100 mm.x 1cm.</t>
  </si>
  <si>
    <t>ชุดวัดน้ำไขสันหลัง</t>
  </si>
  <si>
    <t>ชุดอุปกรณ์พยุงมดลูก No.4</t>
  </si>
  <si>
    <t>ชุดเก็บตัวอย่างเนื้อเยื่อในโพรงมดลูก</t>
  </si>
  <si>
    <t>ด้ามแปรงยาว 25 cm.(G-Flex)</t>
  </si>
  <si>
    <t>ผ้า Non woven Violet &amp; Pink Anti 80x80 cm</t>
  </si>
  <si>
    <t>ผ้าห่มส่วนบน(10ชิ้น/กล่อง)</t>
  </si>
  <si>
    <t>ผ้าห่มเด็ก(10ชิ้น/กล่อง)</t>
  </si>
  <si>
    <t>ผ้าห่มเต็มตัว(10ชิ้น/กล่อง)</t>
  </si>
  <si>
    <t>ลูกสูบยางเบอร์ 2 (Sterile)</t>
  </si>
  <si>
    <t>สติ๊กเกอร์ transfer with Autoclave Indicator 5x4.8 cm.</t>
  </si>
  <si>
    <t>สติ๊กเกอร์แบบไม่มีตัวบ่งชี้ขนาด 52x45 มม.</t>
  </si>
  <si>
    <t>สติ๊กเกอร์แบบไม่มีตัวบ่งชี้ขนาด 85x55 มม.</t>
  </si>
  <si>
    <t>สายออกซิเจนสีเขียว (O2) หัวเล็ก 7 ฟุต</t>
  </si>
  <si>
    <t>ห่อทดสอบ BOWIE-DICK สำเร็จรูป(3M)</t>
  </si>
  <si>
    <t>เข็มเจาะ bone marrow aspirate</t>
  </si>
  <si>
    <t>แปรงล้างเครื่องมือแบบท่อกลวงยาว 30 cm.(Microflex)</t>
  </si>
  <si>
    <t>(เฉพาะNICU)Syringe Dispos 10 ml(TPC)</t>
  </si>
  <si>
    <t>BD Posiflush SP 5ml.</t>
  </si>
  <si>
    <t>Elastic Bandge 3นิ้ว</t>
  </si>
  <si>
    <t>Elastic Bandge 4นิ้ว</t>
  </si>
  <si>
    <t>Elastic Bandge 6นิ้ว</t>
  </si>
  <si>
    <t>Gauze Topdressing 3X 8นิ้ว (40 ชิ้น)</t>
  </si>
  <si>
    <t>NG. Tube No.18</t>
  </si>
  <si>
    <t>Opsite Flexifix 10cm x10m(พลาสเตอร์กันน้ำ)</t>
  </si>
  <si>
    <t>Plaster Transpore 3 นิ้ว</t>
  </si>
  <si>
    <t>Syringe Dispos 20 ml</t>
  </si>
  <si>
    <t>ถุงมือไนไตร เบอร์ L ( 100 /กล่อง )</t>
  </si>
  <si>
    <t>ไม้พันสำลี Sterile No.L ( 5 ก้าน)</t>
  </si>
  <si>
    <t>70% Sorbitol</t>
  </si>
  <si>
    <t>Coal Tar (450 ml.)</t>
  </si>
  <si>
    <t>Methyl Paraben (450 gm.)</t>
  </si>
  <si>
    <t>Phosphoric  acid 85% AR</t>
  </si>
  <si>
    <t>Propyl Paraben</t>
  </si>
  <si>
    <t>กลิ่นรส Sala Cider SDF 998 (flavor)</t>
  </si>
  <si>
    <t>น้ำหอมกลิ่น Rose White</t>
  </si>
  <si>
    <t>Normaline (ผงเกลือล้างจมูกนอร์มาลีน)</t>
  </si>
  <si>
    <t>Red Cap Combi Stopper</t>
  </si>
  <si>
    <t>ขวดหัวปั้ม  size 300 cc</t>
  </si>
  <si>
    <t>จุกยางปิดขวด ขนาด 50 ซีซี (20 MM)</t>
  </si>
  <si>
    <t xml:space="preserve">ซองซิปทึบแสงขนาด 12x22 ซม. พิมพ์ยาเสี่ยงสูง </t>
  </si>
  <si>
    <t>ซองซิปใส 16x26 ซม.</t>
  </si>
  <si>
    <t>ซองยา สำหรับเครื่องจัดยาอัตโนมัติ (Cellophane Paper)</t>
  </si>
  <si>
    <t>ซีลล์รัดคอขวด ขนาด 60 cc. (ขนาดเล็ก)</t>
  </si>
  <si>
    <t>หัวปั้ม size 300 cc</t>
  </si>
  <si>
    <t>แผ่นรองซับชนิดผนึกด้วยพีวีซี</t>
  </si>
  <si>
    <t>ห่อ</t>
  </si>
  <si>
    <t>เส้น</t>
  </si>
  <si>
    <t>กล่อง</t>
  </si>
  <si>
    <t>ขวด</t>
  </si>
  <si>
    <t>หลอด</t>
  </si>
  <si>
    <t>กระปุก</t>
  </si>
  <si>
    <t>ใบ</t>
  </si>
  <si>
    <t>อัน</t>
  </si>
  <si>
    <t>แพ็ค</t>
  </si>
  <si>
    <t>ตลับ</t>
  </si>
  <si>
    <t>ดวง</t>
  </si>
  <si>
    <t>คู่</t>
  </si>
  <si>
    <t>Urgostart Box 10x10 cm.</t>
  </si>
  <si>
    <t>แผง</t>
  </si>
  <si>
    <t>ซอง</t>
  </si>
  <si>
    <t>Cutimed Sorbact Swabs 4 X 6 CM.</t>
  </si>
  <si>
    <t>Durahesive Moldable  45 mm. ( S หลุมตื้น)</t>
  </si>
  <si>
    <t>Durahesive Moldable 45 mm. (แบบนูน)</t>
  </si>
  <si>
    <t>Durahesive Moldable 45 mm.( M หลุมตื้น)</t>
  </si>
  <si>
    <t>พับ</t>
  </si>
  <si>
    <t>ถุง</t>
  </si>
  <si>
    <t>ลูก</t>
  </si>
  <si>
    <t>ตัว</t>
  </si>
  <si>
    <t xml:space="preserve">     ….........................................</t>
  </si>
  <si>
    <t>จำนวนเงินคงเหลือสิ้นปีงบประมาณ 2568</t>
  </si>
  <si>
    <t>1903 LC2000 Plus,Trans, Disinfected</t>
  </si>
  <si>
    <t>9013S0442 Needle Length 1.5(37mm) Light Blue</t>
  </si>
  <si>
    <t>902-DMG37-S Length 1.5(37mm) Green</t>
  </si>
  <si>
    <t>Acticoat 10x10cm (12 ชิ้น/กล่อง)</t>
  </si>
  <si>
    <t>Adjustable Collar สำหรับผู้ใหญ่ (Collar Hard)</t>
  </si>
  <si>
    <t>Adjustable Collar สำหรับเด็ก (Collar Hard)</t>
  </si>
  <si>
    <t>Air Way No.0</t>
  </si>
  <si>
    <t>Allevyn Gentle 10cm x 10cm.</t>
  </si>
  <si>
    <t>5.5FRx13 CM Arrow 3- Lumen Central Venc Catheter</t>
  </si>
  <si>
    <t>Air Way No.1</t>
  </si>
  <si>
    <t>Air Way No.2</t>
  </si>
  <si>
    <t>Aqualcel Foam N/ADH 15x20</t>
  </si>
  <si>
    <t>Aquapak 440 ml.Sterile Water W/040 Adaptor</t>
  </si>
  <si>
    <t>Artery Clamp ตรง 12 cm.</t>
  </si>
  <si>
    <t>Artery Clamp ตรง 18 cm.</t>
  </si>
  <si>
    <t>Askina Dressil 10x10 cm.</t>
  </si>
  <si>
    <t>Attest For H2O2 (1295) / หลอดเพาะเชื้อ</t>
  </si>
  <si>
    <t>Autclave Tape 3/4 นิ้ว ยาว 60 หลา</t>
  </si>
  <si>
    <t>Brava Elastic Tape C</t>
  </si>
  <si>
    <t>Careflow Double lumen 4 FR x  5 cm</t>
  </si>
  <si>
    <t>Careflow Double lumen 4 FR x 13 cm.</t>
  </si>
  <si>
    <t>Cassette w/Lid un-assembled,Peach,500pcs/box</t>
  </si>
  <si>
    <t>Cavilon Durable Barrier 28g.</t>
  </si>
  <si>
    <t>CD29 Intermal Indicator Type 4 for Steam (แทน Visto)</t>
  </si>
  <si>
    <t>Collar Mask (ผู้ใหญ่)</t>
  </si>
  <si>
    <t>Colostomy bag ( แป้น+ ถุง) สำหรับเด็ก</t>
  </si>
  <si>
    <t>Comply Eo Indicator (1251)</t>
  </si>
  <si>
    <t>Connecting Tube 1.8 m.</t>
  </si>
  <si>
    <t>Connecting Tube 3 m.</t>
  </si>
  <si>
    <t>Defibrillation Electrodes Pads (แทน R2 Pads )</t>
  </si>
  <si>
    <t>Disposable Transducer ( A- Line )</t>
  </si>
  <si>
    <t>Dressing Forceps 16.0 cm ไม่มีเขี้ยว</t>
  </si>
  <si>
    <t>Duoderm Extra Thin 4x4</t>
  </si>
  <si>
    <t xml:space="preserve">Durahesive Moldable  57 mm. </t>
  </si>
  <si>
    <t>Durahesive Moldable  70 mm.</t>
  </si>
  <si>
    <t>Endotracheal Tube No. 5.0 ไม่มี cuff (เวชภัณฑ์)</t>
  </si>
  <si>
    <t>Endotracheal Tube No. 5.5 มี cuff  (เวชภัณฑ์)</t>
  </si>
  <si>
    <t>Flexima URO Trans</t>
  </si>
  <si>
    <t>Granudacyn 500 ml</t>
  </si>
  <si>
    <t>Instru Protector สำหรับกาง Forceps (51x127 cm) ชนิด มีฟิล์ม</t>
  </si>
  <si>
    <t>Instru Protector สำหรับกางกรรไกรแบบกางกว้าง  (90x168 cm) ชนิด มีฟิล์ม</t>
  </si>
  <si>
    <t>Instru Protector สำหรับกางกรรไกรแบบกางแคบ  (90x168 cm) ชนิด มีฟิล์ม</t>
  </si>
  <si>
    <t>Instrument Bag Crepe Paper สำหรับจัดระเบียบเครื่องมือ</t>
  </si>
  <si>
    <t>Intrument Tray-Perfarated base (300x250x52 mm.)</t>
  </si>
  <si>
    <t>Little Ones Flex 32 mm. (แบบแป้น)</t>
  </si>
  <si>
    <t>Makler Counting Chamber including cover glass with grid</t>
  </si>
  <si>
    <t>Mayo scissors curved 17.0 cm.</t>
  </si>
  <si>
    <t>Medteczyme Size5L.(เคมเทค) (แทนProsept Instru 5L.)</t>
  </si>
  <si>
    <t>Mepilex 10x10</t>
  </si>
  <si>
    <t>Mepilex Border Sacrum 16x20cm.</t>
  </si>
  <si>
    <t>Mepilex Border Sacrum 22x25cm.</t>
  </si>
  <si>
    <t>Nosoclean 5L. (PNN) (แทน Prosept Instru 5L)</t>
  </si>
  <si>
    <t>Oxygen Cannular สายออกซิเจนสำหรับเด็กโต</t>
  </si>
  <si>
    <t>Oxygen Mask Wresevoir (เด็ก)</t>
  </si>
  <si>
    <t>Pressure bag ขนาด 500 ml รุ่น C-FUSOR</t>
  </si>
  <si>
    <t>Pressure bag ขนาด 1000 ml รุ่น C-FUSOR</t>
  </si>
  <si>
    <t>Prisma Ocal B22 ขนาด 5 ลิตร (2ชุด/กล่อง)</t>
  </si>
  <si>
    <t>Prismocitrate 18/0 Non-PVC (2ชุด/กล่อง)</t>
  </si>
  <si>
    <t>Probe and director  16 cm. 2mm.</t>
  </si>
  <si>
    <t>Prosept Instru 5L.Canister (Emin)</t>
  </si>
  <si>
    <t>Regelle 6.5g Pack 6 (น้ำยาสวนล้างช่องคลอด)</t>
  </si>
  <si>
    <t>Schumacher Biopsy Forceps ( Punch biopsy )</t>
  </si>
  <si>
    <t>Silesse Skin Barrler Aerosol 50ml.</t>
  </si>
  <si>
    <t>Skin Stapler Remover(กรรไกร off max)</t>
  </si>
  <si>
    <t>Sponge Holding Forester STR 25 cm</t>
  </si>
  <si>
    <t>Stomahesive 38 mm.(แป้น)</t>
  </si>
  <si>
    <t>Stomashesive Powder 1 ออนซ์</t>
  </si>
  <si>
    <t>Sur-Fit Natura Drain 38 mm.</t>
  </si>
  <si>
    <t>Sur-Fit Natura Drain.  57  mm. ถุง ( 401503)</t>
  </si>
  <si>
    <t>Tegaderm 4.4x4.4 CM (1622)</t>
  </si>
  <si>
    <t>The Curve Catheter (SM507) (25/Box)</t>
  </si>
  <si>
    <t>Umbili  cord  scissor (กรรไกรตัดสายสะดือเด็ก)</t>
  </si>
  <si>
    <t>Urgotul Silver Box 15x20 cm.</t>
  </si>
  <si>
    <t>Urostomy Pouch 45 mm ( 401553) ถุง-ก็อก</t>
  </si>
  <si>
    <t>กรรไกรตัดไหมโค้ง SH/SH 14.5 cm.</t>
  </si>
  <si>
    <t>กรรไกรตัดไหมตรง ( Scissors bl/sh str ) 14.5 cm.</t>
  </si>
  <si>
    <t>เข็มเจาะ bone marrow biospy</t>
  </si>
  <si>
    <t>เข็มเจาะปอด Set pleural biopsy</t>
  </si>
  <si>
    <t>เข็มเจาะและเก็บไขกระดูก 11G X 100mm(Dispose)</t>
  </si>
  <si>
    <t>ด้ามมีด เบอร์ 3</t>
  </si>
  <si>
    <t>ตะกร้าพร้อมฝาปิดทางการแพทย์ Fine mesh basket With lid</t>
  </si>
  <si>
    <t>ถุงรองรับเลือด/ตวงเลือดสำหรับห้องคลอด</t>
  </si>
  <si>
    <t>แปรงล้างอุปกรณ์/เครื่องมือ ชนิดขนแปรงอ่อน (สีขาว)</t>
  </si>
  <si>
    <t>แปรงล้างอุปกรณ์/เครื่องมือ ชนิดแข็ง (สีเขียว)</t>
  </si>
  <si>
    <t>ผ้าซับโลหิต มีเส้นทึบแสง 10x14 นิ้ว 10 ชิ้น ( SWAB)</t>
  </si>
  <si>
    <t>ไม้กดลิ้น Dispose</t>
  </si>
  <si>
    <t>ห่วงอนามัยคุมกำเนิด ( IUD Pregna Copper Tcu 380 A )</t>
  </si>
  <si>
    <t xml:space="preserve">  เมื่อวันที่ 1 ตุลาคม 2568</t>
  </si>
  <si>
    <t>(เฉพาะOPD)Dispos Needle No.20X1.5นิ้ว</t>
  </si>
  <si>
    <t>Cotton  Bud Sterile (10 ก้าน/ห่อ)</t>
  </si>
  <si>
    <t>Dispos Needle No.20X1นิ้ว 100 ชิ้น</t>
  </si>
  <si>
    <t>Disposs Syringe Irrigate 50 ml</t>
  </si>
  <si>
    <t>Foley Cath 3 Way 24 FR 30 CC.</t>
  </si>
  <si>
    <t>Gauze Topdressing 5X 8นิ้ว ( 5 ชิ้น)</t>
  </si>
  <si>
    <t>Glove Sterile No.9.0 (ไม่มีแป้ง)</t>
  </si>
  <si>
    <t>Syringe Dispos 1ml/100 iu</t>
  </si>
  <si>
    <t>T-Way</t>
  </si>
  <si>
    <t>ถุงมือทำคลอด เบอร์ 6 NO.S</t>
  </si>
  <si>
    <t>ถุงมือทำคลอด เบอร์ 6.5 NO.M</t>
  </si>
  <si>
    <t>ถุงมือทำคลอด เบอร์ 7 NO.L</t>
  </si>
  <si>
    <t>สำลีก้อน 1.40 กรัม Sterile (10ก้อน)</t>
  </si>
  <si>
    <t>(นางสาวอรอนงค์  เทพี)</t>
  </si>
  <si>
    <t xml:space="preserve"> (นางชุติวรรณ บุญทรัพย์)</t>
  </si>
  <si>
    <t>(นาง อัญชนา เสมอภาค)</t>
  </si>
  <si>
    <t>(นายวัชร  เอกประดิษฐ์)</t>
  </si>
  <si>
    <t xml:space="preserve"> (นางสาวณัฐนิช  หะยีหมัด)</t>
  </si>
  <si>
    <t>(นางสาวพจนา  วิภามาศ)</t>
  </si>
  <si>
    <t>Deluxe Thumb Stabilizer S-M</t>
  </si>
  <si>
    <t>Potassium Chloride</t>
  </si>
  <si>
    <t>Potassium Iodide</t>
  </si>
  <si>
    <t>Sodium Chloride</t>
  </si>
  <si>
    <t>Soft paraffin (White Vase) 50 กรัม</t>
  </si>
  <si>
    <t>Urea 10%+TA0.1% Cream (50 กรัม)</t>
  </si>
  <si>
    <t>Urea 20%+TA0.1% Cream (50 กรัม)</t>
  </si>
  <si>
    <t>กลิ่นรส Sweet Orange No.1 EA(flavor)(500 Ml.)</t>
  </si>
  <si>
    <t>Parafilm 4 x 125</t>
  </si>
  <si>
    <t>กระบอกตวงแก้ว 250ml.</t>
  </si>
  <si>
    <t>ขวดแก้วสีชา 30 ซีซี พร้อมจุกและฝา</t>
  </si>
  <si>
    <t>ซองซิปใส 16x26 ซม.(พิมพ์ยาด่วน)</t>
  </si>
  <si>
    <t>ซองซิปใส 18 x 28 ซม.</t>
  </si>
  <si>
    <t>ถุงกระดาษสีน้ำตาลเข้มหนา 50 แกรมไม่พิมพ์ 13x8x22</t>
  </si>
  <si>
    <t>สติ๊กเกอร์ต่อเนื่อง Prepack ขนาด 8.5x4.8 / 6 พิมพ์สีน้ำเงินกระดาษขาวด้าน</t>
  </si>
  <si>
    <t>สติ๊กเกอร์ยาเสี่ยงสูง ขนาด1.1X1.6 ซม.</t>
  </si>
  <si>
    <t>Surgical Drapes 100x150 cm. Mid  Drill  4นิ้วx4นิ้ว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</si>
</sst>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9" x14ac:knownFonts="1">
    <font>
      <sz val="14"/>
      <name val="CordiaUPC"/>
      <family val="2"/>
    </font>
    <font>
      <sz val="14"/>
      <name val="CordiaUPC"/>
      <family val="2"/>
    </font>
    <font>
      <sz val="14"/>
      <name val="CordiaUPC"/>
      <family val="2"/>
      <charset val="222"/>
    </font>
    <font>
      <sz val="10"/>
      <name val="Arial"/>
      <family val="2"/>
    </font>
    <font>
      <sz val="10"/>
      <color indexed="8"/>
      <name val="Arial"/>
      <family val="2"/>
    </font>
    <font>
      <b/>
      <sz val="14"/>
      <name val="TH SarabunPSK"/>
      <family val="2"/>
    </font>
    <font>
      <sz val="14"/>
      <name val="TH SarabunPSK"/>
      <family val="2"/>
    </font>
    <font>
      <sz val="14"/>
      <color rgb="FFFF0000"/>
      <name val="TH SarabunPSK"/>
      <family val="2"/>
    </font>
    <font>
      <sz val="8"/>
      <name val="CordiaUPC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43" fontId="2" fillId="0" borderId="0" applyFont="0" applyFill="0" applyBorder="0" applyAlignment="0" applyProtection="0"/>
    <xf numFmtId="0" fontId="3" fillId="0" borderId="0"/>
    <xf numFmtId="43" fontId="4" fillId="0" borderId="0" applyFont="0" applyFill="0" applyBorder="0" applyAlignment="0" applyProtection="0">
      <alignment vertical="top"/>
    </xf>
    <xf numFmtId="0" fontId="1" fillId="0" borderId="0"/>
    <xf numFmtId="0" fontId="4" fillId="0" borderId="0">
      <alignment vertical="top"/>
    </xf>
    <xf numFmtId="0" fontId="3" fillId="0" borderId="0"/>
  </cellStyleXfs>
  <cellXfs count="105">
    <xf numFmtId="0" fontId="0" fillId="0" borderId="0" xfId="0"/>
    <xf numFmtId="164" fontId="5" fillId="0" borderId="1" xfId="1" applyNumberFormat="1" applyFont="1" applyFill="1" applyBorder="1" applyAlignment="1">
      <alignment horizontal="center" shrinkToFit="1"/>
    </xf>
    <xf numFmtId="164" fontId="5" fillId="0" borderId="1" xfId="1" applyNumberFormat="1" applyFont="1" applyFill="1" applyBorder="1" applyAlignment="1">
      <alignment shrinkToFit="1"/>
    </xf>
    <xf numFmtId="164" fontId="6" fillId="0" borderId="0" xfId="1" applyNumberFormat="1" applyFont="1" applyFill="1" applyBorder="1" applyAlignment="1">
      <alignment horizontal="center"/>
    </xf>
    <xf numFmtId="164" fontId="6" fillId="0" borderId="1" xfId="1" applyNumberFormat="1" applyFont="1" applyFill="1" applyBorder="1" applyAlignment="1">
      <alignment horizontal="right"/>
    </xf>
    <xf numFmtId="43" fontId="6" fillId="0" borderId="1" xfId="1" applyFont="1" applyFill="1" applyBorder="1" applyAlignment="1">
      <alignment horizontal="right"/>
    </xf>
    <xf numFmtId="164" fontId="5" fillId="0" borderId="1" xfId="1" applyNumberFormat="1" applyFont="1" applyFill="1" applyBorder="1" applyAlignment="1">
      <alignment horizontal="right"/>
    </xf>
    <xf numFmtId="164" fontId="6" fillId="0" borderId="1" xfId="1" applyNumberFormat="1" applyFont="1" applyFill="1" applyBorder="1" applyAlignment="1">
      <alignment horizontal="center" shrinkToFit="1"/>
    </xf>
    <xf numFmtId="164" fontId="6" fillId="0" borderId="1" xfId="1" applyNumberFormat="1" applyFont="1" applyFill="1" applyBorder="1" applyAlignment="1">
      <alignment shrinkToFit="1"/>
    </xf>
    <xf numFmtId="43" fontId="5" fillId="0" borderId="1" xfId="1" applyFont="1" applyFill="1" applyBorder="1" applyAlignment="1">
      <alignment shrinkToFit="1"/>
    </xf>
    <xf numFmtId="164" fontId="5" fillId="0" borderId="1" xfId="1" applyNumberFormat="1" applyFont="1" applyFill="1" applyBorder="1" applyAlignment="1">
      <alignment horizontal="center"/>
    </xf>
    <xf numFmtId="43" fontId="5" fillId="0" borderId="1" xfId="1" applyFont="1" applyFill="1" applyBorder="1" applyAlignment="1">
      <alignment horizontal="right"/>
    </xf>
    <xf numFmtId="164" fontId="6" fillId="0" borderId="0" xfId="1" applyNumberFormat="1" applyFont="1" applyFill="1" applyBorder="1" applyAlignment="1"/>
    <xf numFmtId="43" fontId="5" fillId="0" borderId="1" xfId="1" applyFont="1" applyFill="1" applyBorder="1" applyAlignment="1">
      <alignment horizontal="center" shrinkToFit="1"/>
    </xf>
    <xf numFmtId="164" fontId="5" fillId="0" borderId="0" xfId="1" applyNumberFormat="1" applyFont="1" applyFill="1" applyBorder="1" applyAlignment="1">
      <alignment horizontal="right"/>
    </xf>
    <xf numFmtId="164" fontId="5" fillId="0" borderId="0" xfId="1" applyNumberFormat="1" applyFont="1" applyFill="1" applyBorder="1" applyAlignment="1">
      <alignment horizontal="center"/>
    </xf>
    <xf numFmtId="43" fontId="6" fillId="0" borderId="0" xfId="1" applyFont="1" applyFill="1" applyAlignment="1"/>
    <xf numFmtId="43" fontId="5" fillId="0" borderId="0" xfId="1" applyFont="1" applyFill="1" applyAlignment="1">
      <alignment horizontal="right"/>
    </xf>
    <xf numFmtId="164" fontId="7" fillId="0" borderId="1" xfId="1" applyNumberFormat="1" applyFont="1" applyFill="1" applyBorder="1" applyAlignment="1">
      <alignment horizontal="center"/>
    </xf>
    <xf numFmtId="164" fontId="7" fillId="0" borderId="1" xfId="1" applyNumberFormat="1" applyFont="1" applyFill="1" applyBorder="1" applyAlignment="1">
      <alignment horizontal="right"/>
    </xf>
    <xf numFmtId="164" fontId="6" fillId="0" borderId="1" xfId="1" applyNumberFormat="1" applyFont="1" applyFill="1" applyBorder="1" applyAlignment="1">
      <alignment horizontal="right" vertical="center"/>
    </xf>
    <xf numFmtId="43" fontId="6" fillId="0" borderId="1" xfId="1" applyFont="1" applyFill="1" applyBorder="1" applyAlignment="1">
      <alignment horizontal="right" vertical="center"/>
    </xf>
    <xf numFmtId="164" fontId="5" fillId="0" borderId="1" xfId="1" applyNumberFormat="1" applyFont="1" applyFill="1" applyBorder="1" applyAlignment="1">
      <alignment horizontal="right" vertical="center"/>
    </xf>
    <xf numFmtId="164" fontId="5" fillId="0" borderId="1" xfId="1" applyNumberFormat="1" applyFont="1" applyFill="1" applyBorder="1" applyAlignment="1">
      <alignment horizontal="center" vertical="center"/>
    </xf>
    <xf numFmtId="43" fontId="5" fillId="0" borderId="1" xfId="1" applyFont="1" applyFill="1" applyBorder="1" applyAlignment="1">
      <alignment horizontal="right" vertical="center"/>
    </xf>
    <xf numFmtId="164" fontId="5" fillId="0" borderId="1" xfId="1" applyNumberFormat="1" applyFont="1" applyFill="1" applyBorder="1" applyAlignment="1">
      <alignment horizontal="center" vertical="center" shrinkToFit="1"/>
    </xf>
    <xf numFmtId="43" fontId="5" fillId="0" borderId="1" xfId="1" applyFont="1" applyFill="1" applyBorder="1" applyAlignment="1">
      <alignment horizontal="center" vertical="center" shrinkToFit="1"/>
    </xf>
    <xf numFmtId="164" fontId="5" fillId="0" borderId="0" xfId="1" applyNumberFormat="1" applyFont="1" applyFill="1" applyBorder="1" applyAlignment="1">
      <alignment horizontal="right" vertical="center"/>
    </xf>
    <xf numFmtId="164" fontId="5" fillId="0" borderId="0" xfId="1" applyNumberFormat="1" applyFont="1" applyFill="1" applyBorder="1" applyAlignment="1">
      <alignment horizontal="center" vertical="center"/>
    </xf>
    <xf numFmtId="164" fontId="5" fillId="0" borderId="1" xfId="1" applyNumberFormat="1" applyFont="1" applyFill="1" applyBorder="1" applyAlignment="1">
      <alignment vertical="center" shrinkToFit="1"/>
    </xf>
    <xf numFmtId="164" fontId="6" fillId="0" borderId="1" xfId="1" applyNumberFormat="1" applyFont="1" applyFill="1" applyBorder="1" applyAlignment="1">
      <alignment horizontal="center" vertical="center" shrinkToFit="1"/>
    </xf>
    <xf numFmtId="164" fontId="6" fillId="0" borderId="1" xfId="1" applyNumberFormat="1" applyFont="1" applyFill="1" applyBorder="1" applyAlignment="1">
      <alignment vertical="center" shrinkToFit="1"/>
    </xf>
    <xf numFmtId="43" fontId="5" fillId="0" borderId="1" xfId="1" applyFont="1" applyFill="1" applyBorder="1" applyAlignment="1">
      <alignment vertical="center" shrinkToFit="1"/>
    </xf>
    <xf numFmtId="164" fontId="6" fillId="0" borderId="0" xfId="1" applyNumberFormat="1" applyFont="1" applyFill="1" applyBorder="1" applyAlignment="1">
      <alignment horizontal="center" vertical="center"/>
    </xf>
    <xf numFmtId="43" fontId="6" fillId="0" borderId="0" xfId="1" applyFont="1" applyFill="1" applyBorder="1" applyAlignment="1">
      <alignment vertical="center"/>
    </xf>
    <xf numFmtId="164" fontId="6" fillId="0" borderId="0" xfId="1" applyNumberFormat="1" applyFont="1" applyFill="1" applyBorder="1" applyAlignment="1">
      <alignment vertical="center"/>
    </xf>
    <xf numFmtId="164" fontId="6" fillId="0" borderId="1" xfId="1" applyNumberFormat="1" applyFont="1" applyFill="1" applyBorder="1" applyAlignment="1">
      <alignment vertical="center"/>
    </xf>
    <xf numFmtId="43" fontId="6" fillId="0" borderId="1" xfId="1" applyFont="1" applyFill="1" applyBorder="1" applyAlignment="1">
      <alignment vertical="center"/>
    </xf>
    <xf numFmtId="164" fontId="5" fillId="0" borderId="1" xfId="1" applyNumberFormat="1" applyFont="1" applyFill="1" applyBorder="1" applyAlignment="1">
      <alignment vertical="center"/>
    </xf>
    <xf numFmtId="43" fontId="5" fillId="0" borderId="1" xfId="1" applyFont="1" applyFill="1" applyBorder="1" applyAlignment="1">
      <alignment vertical="center"/>
    </xf>
    <xf numFmtId="164" fontId="5" fillId="0" borderId="0" xfId="1" applyNumberFormat="1" applyFont="1" applyFill="1" applyBorder="1" applyAlignment="1">
      <alignment vertical="center"/>
    </xf>
    <xf numFmtId="43" fontId="5" fillId="0" borderId="0" xfId="1" applyFont="1" applyFill="1" applyBorder="1" applyAlignment="1">
      <alignment vertical="center"/>
    </xf>
    <xf numFmtId="164" fontId="6" fillId="0" borderId="2" xfId="1" applyNumberFormat="1" applyFont="1" applyFill="1" applyBorder="1" applyAlignment="1">
      <alignment vertical="center"/>
    </xf>
    <xf numFmtId="43" fontId="5" fillId="0" borderId="0" xfId="1" applyFont="1" applyFill="1" applyAlignment="1">
      <alignment horizontal="right" vertical="center"/>
    </xf>
    <xf numFmtId="43" fontId="6" fillId="0" borderId="0" xfId="1" applyFont="1" applyFill="1" applyAlignment="1">
      <alignment horizontal="left"/>
    </xf>
    <xf numFmtId="164" fontId="6" fillId="0" borderId="1" xfId="1" applyNumberFormat="1" applyFont="1" applyFill="1" applyBorder="1" applyAlignment="1">
      <alignment horizontal="center" vertical="center"/>
    </xf>
    <xf numFmtId="43" fontId="6" fillId="0" borderId="1" xfId="1" applyFont="1" applyFill="1" applyBorder="1" applyAlignment="1">
      <alignment shrinkToFit="1"/>
    </xf>
    <xf numFmtId="43" fontId="6" fillId="0" borderId="1" xfId="1" applyFont="1" applyFill="1" applyBorder="1" applyAlignment="1"/>
    <xf numFmtId="43" fontId="6" fillId="0" borderId="1" xfId="1" applyFont="1" applyFill="1" applyBorder="1" applyAlignment="1">
      <alignment horizontal="center" vertical="center"/>
    </xf>
    <xf numFmtId="43" fontId="5" fillId="0" borderId="0" xfId="1" applyFont="1" applyFill="1" applyBorder="1" applyAlignment="1">
      <alignment horizontal="right" vertical="center"/>
    </xf>
    <xf numFmtId="43" fontId="6" fillId="0" borderId="2" xfId="1" applyFont="1" applyFill="1" applyBorder="1" applyAlignment="1">
      <alignment vertical="center"/>
    </xf>
    <xf numFmtId="43" fontId="6" fillId="0" borderId="0" xfId="1" applyFont="1" applyFill="1" applyAlignment="1">
      <alignment vertical="center"/>
    </xf>
    <xf numFmtId="43" fontId="6" fillId="0" borderId="1" xfId="1" applyFont="1" applyFill="1" applyBorder="1" applyAlignment="1">
      <alignment vertical="center" shrinkToFit="1"/>
    </xf>
    <xf numFmtId="0" fontId="5" fillId="0" borderId="1" xfId="0" applyFont="1" applyBorder="1" applyAlignment="1">
      <alignment horizontal="center" vertical="center" shrinkToFit="1"/>
    </xf>
    <xf numFmtId="0" fontId="6" fillId="0" borderId="0" xfId="2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/>
    <xf numFmtId="0" fontId="6" fillId="0" borderId="0" xfId="2" applyFont="1"/>
    <xf numFmtId="0" fontId="6" fillId="0" borderId="0" xfId="0" applyFont="1" applyAlignment="1">
      <alignment horizontal="left" shrinkToFit="1"/>
    </xf>
    <xf numFmtId="0" fontId="6" fillId="0" borderId="0" xfId="2" applyFont="1" applyAlignment="1">
      <alignment horizontal="left"/>
    </xf>
    <xf numFmtId="0" fontId="6" fillId="0" borderId="0" xfId="2" applyFont="1" applyAlignment="1">
      <alignment horizontal="center" shrinkToFit="1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/>
    <xf numFmtId="0" fontId="6" fillId="0" borderId="1" xfId="0" applyFont="1" applyBorder="1" applyAlignment="1">
      <alignment horizontal="center" vertical="top" wrapText="1"/>
    </xf>
    <xf numFmtId="164" fontId="6" fillId="0" borderId="0" xfId="0" applyNumberFormat="1" applyFont="1"/>
    <xf numFmtId="0" fontId="5" fillId="0" borderId="1" xfId="0" applyFont="1" applyBorder="1" applyAlignment="1">
      <alignment horizontal="center"/>
    </xf>
    <xf numFmtId="164" fontId="6" fillId="0" borderId="1" xfId="1" applyNumberFormat="1" applyFont="1" applyFill="1" applyBorder="1"/>
    <xf numFmtId="0" fontId="5" fillId="0" borderId="1" xfId="0" applyFont="1" applyBorder="1" applyAlignment="1">
      <alignment horizontal="center" shrinkToFit="1"/>
    </xf>
    <xf numFmtId="0" fontId="6" fillId="0" borderId="1" xfId="0" applyFont="1" applyBorder="1" applyAlignment="1">
      <alignment horizontal="center" shrinkToFit="1"/>
    </xf>
    <xf numFmtId="0" fontId="6" fillId="0" borderId="0" xfId="0" applyFont="1" applyAlignment="1">
      <alignment horizontal="left"/>
    </xf>
    <xf numFmtId="0" fontId="6" fillId="0" borderId="0" xfId="0" applyFont="1" applyAlignment="1">
      <alignment shrinkToFit="1"/>
    </xf>
    <xf numFmtId="0" fontId="6" fillId="0" borderId="0" xfId="2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6" applyFont="1" applyAlignment="1">
      <alignment horizontal="center" vertical="center" shrinkToFit="1"/>
    </xf>
    <xf numFmtId="0" fontId="6" fillId="0" borderId="0" xfId="2" applyFont="1" applyAlignment="1">
      <alignment horizontal="center" vertical="center" shrinkToFit="1"/>
    </xf>
    <xf numFmtId="0" fontId="6" fillId="0" borderId="0" xfId="2" applyFont="1" applyAlignment="1">
      <alignment vertical="center"/>
    </xf>
    <xf numFmtId="39" fontId="5" fillId="0" borderId="0" xfId="0" applyNumberFormat="1" applyFont="1" applyAlignment="1">
      <alignment horizontal="right" vertical="center"/>
    </xf>
    <xf numFmtId="0" fontId="6" fillId="0" borderId="1" xfId="0" applyFont="1" applyBorder="1" applyAlignment="1">
      <alignment horizontal="center" vertical="center" shrinkToFi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shrinkToFit="1"/>
    </xf>
    <xf numFmtId="0" fontId="6" fillId="0" borderId="0" xfId="0" applyFont="1" applyAlignment="1">
      <alignment horizontal="center" vertical="center" shrinkToFit="1"/>
    </xf>
    <xf numFmtId="0" fontId="6" fillId="0" borderId="1" xfId="0" applyFont="1" applyBorder="1" applyAlignment="1">
      <alignment vertical="center" shrinkToFit="1"/>
    </xf>
    <xf numFmtId="0" fontId="6" fillId="0" borderId="1" xfId="0" applyFont="1" applyBorder="1" applyAlignment="1">
      <alignment vertical="center"/>
    </xf>
    <xf numFmtId="0" fontId="5" fillId="0" borderId="0" xfId="0" applyFont="1" applyAlignment="1">
      <alignment vertical="center" shrinkToFit="1"/>
    </xf>
    <xf numFmtId="0" fontId="6" fillId="0" borderId="0" xfId="0" applyFont="1" applyAlignment="1">
      <alignment vertical="center" shrinkToFit="1"/>
    </xf>
    <xf numFmtId="0" fontId="5" fillId="0" borderId="1" xfId="0" applyFont="1" applyBorder="1" applyAlignment="1">
      <alignment horizontal="center" vertical="center" shrinkToFit="1"/>
    </xf>
    <xf numFmtId="0" fontId="5" fillId="0" borderId="2" xfId="0" applyFont="1" applyBorder="1" applyAlignment="1">
      <alignment horizontal="center" vertical="center" shrinkToFit="1"/>
    </xf>
    <xf numFmtId="0" fontId="5" fillId="0" borderId="3" xfId="0" applyFont="1" applyBorder="1" applyAlignment="1">
      <alignment horizontal="center" vertical="center" shrinkToFit="1"/>
    </xf>
    <xf numFmtId="164" fontId="5" fillId="0" borderId="1" xfId="1" applyNumberFormat="1" applyFont="1" applyFill="1" applyBorder="1" applyAlignment="1">
      <alignment horizontal="center" vertical="center" shrinkToFit="1"/>
    </xf>
    <xf numFmtId="43" fontId="5" fillId="0" borderId="1" xfId="1" applyFont="1" applyFill="1" applyBorder="1" applyAlignment="1">
      <alignment horizontal="center" vertical="center" shrinkToFit="1"/>
    </xf>
    <xf numFmtId="0" fontId="5" fillId="0" borderId="1" xfId="0" applyFont="1" applyBorder="1" applyAlignment="1">
      <alignment vertical="center" shrinkToFit="1"/>
    </xf>
    <xf numFmtId="164" fontId="5" fillId="0" borderId="1" xfId="1" applyNumberFormat="1" applyFont="1" applyFill="1" applyBorder="1" applyAlignment="1">
      <alignment vertical="center" shrinkToFit="1"/>
    </xf>
    <xf numFmtId="43" fontId="5" fillId="0" borderId="1" xfId="1" applyFont="1" applyFill="1" applyBorder="1" applyAlignment="1">
      <alignment vertical="center" shrinkToFit="1"/>
    </xf>
    <xf numFmtId="43" fontId="5" fillId="0" borderId="1" xfId="1" applyFont="1" applyFill="1" applyBorder="1" applyAlignment="1">
      <alignment horizontal="center" shrinkToFit="1"/>
    </xf>
    <xf numFmtId="43" fontId="5" fillId="0" borderId="1" xfId="0" applyNumberFormat="1" applyFont="1" applyBorder="1" applyAlignment="1">
      <alignment horizontal="center" vertical="center" shrinkToFit="1"/>
    </xf>
  </cellXfs>
  <cellStyles count="7">
    <cellStyle name="เครื่องหมายจุลภาค 2" xfId="3" xr:uid="{00000000-0005-0000-0000-000001000000}"/>
    <cellStyle name="จุลภาค" xfId="1" builtinId="3"/>
    <cellStyle name="ปกติ" xfId="0" builtinId="0"/>
    <cellStyle name="ปกติ 2" xfId="4" xr:uid="{00000000-0005-0000-0000-000003000000}"/>
    <cellStyle name="ปกติ 2 2" xfId="5" xr:uid="{00000000-0005-0000-0000-000004000000}"/>
    <cellStyle name="ปกติ_กายภาพ เคมี" xfId="2" xr:uid="{00000000-0005-0000-0000-000005000000}"/>
    <cellStyle name="ปกติ_ตา เฝือก xray blood" xfId="6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D8E86-079A-4C87-85B8-46D6F5510C66}">
  <sheetPr>
    <tabColor rgb="FFFFFF00"/>
  </sheetPr>
  <dimension ref="A1:L222"/>
  <sheetViews>
    <sheetView zoomScaleNormal="100" zoomScaleSheetLayoutView="95" zoomScalePageLayoutView="98" workbookViewId="0">
      <pane xSplit="3" ySplit="1" topLeftCell="D197" activePane="bottomRight" state="frozen"/>
      <selection pane="topRight" activeCell="D1" sqref="D1"/>
      <selection pane="bottomLeft" activeCell="A2" sqref="A2"/>
      <selection pane="bottomRight" activeCell="K206" sqref="K206"/>
    </sheetView>
  </sheetViews>
  <sheetFormatPr defaultColWidth="9.140625" defaultRowHeight="21" customHeight="1" x14ac:dyDescent="0.5"/>
  <cols>
    <col min="1" max="1" width="4.28515625" style="87" customWidth="1"/>
    <col min="2" max="2" width="41.85546875" style="88" customWidth="1"/>
    <col min="3" max="3" width="8.42578125" style="87" customWidth="1"/>
    <col min="4" max="4" width="7.28515625" style="33" customWidth="1"/>
    <col min="5" max="5" width="9.42578125" style="33" customWidth="1"/>
    <col min="6" max="6" width="9.28515625" style="33" customWidth="1"/>
    <col min="7" max="7" width="13.85546875" style="34" customWidth="1"/>
    <col min="8" max="8" width="9.5703125" style="35" customWidth="1"/>
    <col min="9" max="9" width="8.28515625" style="35" customWidth="1"/>
    <col min="10" max="10" width="10" style="34" customWidth="1"/>
    <col min="11" max="11" width="12.42578125" style="34" customWidth="1"/>
    <col min="12" max="12" width="23.7109375" style="87" customWidth="1"/>
    <col min="13" max="16384" width="9.140625" style="81"/>
  </cols>
  <sheetData>
    <row r="1" spans="1:12" s="79" customFormat="1" ht="21" customHeight="1" x14ac:dyDescent="0.5">
      <c r="A1" s="95" t="s">
        <v>0</v>
      </c>
      <c r="B1" s="96" t="s">
        <v>1</v>
      </c>
      <c r="C1" s="96" t="s">
        <v>430</v>
      </c>
      <c r="D1" s="98" t="s">
        <v>2</v>
      </c>
      <c r="E1" s="98"/>
      <c r="F1" s="98"/>
      <c r="G1" s="26" t="s">
        <v>3</v>
      </c>
      <c r="H1" s="25" t="s">
        <v>4</v>
      </c>
      <c r="I1" s="99" t="s">
        <v>5</v>
      </c>
      <c r="J1" s="99"/>
      <c r="K1" s="99"/>
      <c r="L1" s="78" t="s">
        <v>13</v>
      </c>
    </row>
    <row r="2" spans="1:12" s="80" customFormat="1" ht="21" customHeight="1" x14ac:dyDescent="0.5">
      <c r="A2" s="95"/>
      <c r="B2" s="97"/>
      <c r="C2" s="97"/>
      <c r="D2" s="25" t="s">
        <v>6</v>
      </c>
      <c r="E2" s="25" t="s">
        <v>7</v>
      </c>
      <c r="F2" s="25" t="s">
        <v>8</v>
      </c>
      <c r="G2" s="26" t="s">
        <v>9</v>
      </c>
      <c r="H2" s="25" t="s">
        <v>10</v>
      </c>
      <c r="I2" s="25" t="s">
        <v>11</v>
      </c>
      <c r="J2" s="26" t="s">
        <v>12</v>
      </c>
      <c r="K2" s="26" t="s">
        <v>431</v>
      </c>
      <c r="L2" s="78" t="s">
        <v>14</v>
      </c>
    </row>
    <row r="3" spans="1:12" ht="24" customHeight="1" x14ac:dyDescent="0.5">
      <c r="A3" s="57">
        <v>1</v>
      </c>
      <c r="B3" s="58" t="s">
        <v>575</v>
      </c>
      <c r="C3" s="59" t="s">
        <v>606</v>
      </c>
      <c r="D3" s="20">
        <v>0</v>
      </c>
      <c r="E3" s="36">
        <v>168</v>
      </c>
      <c r="F3" s="45">
        <f>D3+E3</f>
        <v>168</v>
      </c>
      <c r="G3" s="48">
        <f>H3*J3</f>
        <v>30238.2</v>
      </c>
      <c r="H3" s="45">
        <f>F3-I3</f>
        <v>157</v>
      </c>
      <c r="I3" s="20">
        <v>11</v>
      </c>
      <c r="J3" s="21">
        <v>192.6</v>
      </c>
      <c r="K3" s="48">
        <f>I3*J3</f>
        <v>2118.6</v>
      </c>
      <c r="L3" s="78" t="s">
        <v>15</v>
      </c>
    </row>
    <row r="4" spans="1:12" ht="24" customHeight="1" x14ac:dyDescent="0.5">
      <c r="A4" s="57">
        <v>2</v>
      </c>
      <c r="B4" s="58" t="s">
        <v>717</v>
      </c>
      <c r="C4" s="59" t="s">
        <v>606</v>
      </c>
      <c r="D4" s="20">
        <v>0</v>
      </c>
      <c r="E4" s="36">
        <v>20</v>
      </c>
      <c r="F4" s="45">
        <f t="shared" ref="F4:F27" si="0">D4+E4</f>
        <v>20</v>
      </c>
      <c r="G4" s="48">
        <f t="shared" ref="G4:G27" si="1">H4*J4</f>
        <v>763.5</v>
      </c>
      <c r="H4" s="45">
        <f t="shared" ref="H4:H27" si="2">F4-I4</f>
        <v>15</v>
      </c>
      <c r="I4" s="20">
        <v>5</v>
      </c>
      <c r="J4" s="21">
        <v>50.9</v>
      </c>
      <c r="K4" s="48">
        <f t="shared" ref="K4:K27" si="3">I4*J4</f>
        <v>254.5</v>
      </c>
      <c r="L4" s="78" t="s">
        <v>716</v>
      </c>
    </row>
    <row r="5" spans="1:12" ht="24" customHeight="1" x14ac:dyDescent="0.5">
      <c r="A5" s="57">
        <v>3</v>
      </c>
      <c r="B5" s="58" t="s">
        <v>477</v>
      </c>
      <c r="C5" s="59" t="s">
        <v>606</v>
      </c>
      <c r="D5" s="20">
        <v>0</v>
      </c>
      <c r="E5" s="36">
        <v>20</v>
      </c>
      <c r="F5" s="45">
        <f t="shared" si="0"/>
        <v>20</v>
      </c>
      <c r="G5" s="48">
        <f t="shared" si="1"/>
        <v>72974</v>
      </c>
      <c r="H5" s="45">
        <f t="shared" si="2"/>
        <v>20</v>
      </c>
      <c r="I5" s="20">
        <v>0</v>
      </c>
      <c r="J5" s="21">
        <v>3648.7</v>
      </c>
      <c r="K5" s="48">
        <f t="shared" si="3"/>
        <v>0</v>
      </c>
      <c r="L5" s="78"/>
    </row>
    <row r="6" spans="1:12" ht="24" customHeight="1" x14ac:dyDescent="0.5">
      <c r="A6" s="57">
        <v>4</v>
      </c>
      <c r="B6" s="58" t="s">
        <v>478</v>
      </c>
      <c r="C6" s="59" t="s">
        <v>606</v>
      </c>
      <c r="D6" s="20">
        <v>0</v>
      </c>
      <c r="E6" s="36">
        <v>100</v>
      </c>
      <c r="F6" s="45">
        <f t="shared" si="0"/>
        <v>100</v>
      </c>
      <c r="G6" s="48">
        <f t="shared" si="1"/>
        <v>94160</v>
      </c>
      <c r="H6" s="45">
        <f t="shared" si="2"/>
        <v>100</v>
      </c>
      <c r="I6" s="20">
        <v>0</v>
      </c>
      <c r="J6" s="21">
        <v>941.6</v>
      </c>
      <c r="K6" s="48">
        <f t="shared" si="3"/>
        <v>0</v>
      </c>
      <c r="L6" s="89" t="s">
        <v>627</v>
      </c>
    </row>
    <row r="7" spans="1:12" ht="24" customHeight="1" x14ac:dyDescent="0.5">
      <c r="A7" s="57">
        <v>5</v>
      </c>
      <c r="B7" s="58" t="s">
        <v>576</v>
      </c>
      <c r="C7" s="59" t="s">
        <v>606</v>
      </c>
      <c r="D7" s="20">
        <v>156</v>
      </c>
      <c r="E7" s="36">
        <v>11802</v>
      </c>
      <c r="F7" s="45">
        <f t="shared" si="0"/>
        <v>11958</v>
      </c>
      <c r="G7" s="48">
        <f t="shared" si="1"/>
        <v>3454666.1999999997</v>
      </c>
      <c r="H7" s="45">
        <f t="shared" si="2"/>
        <v>11958</v>
      </c>
      <c r="I7" s="20">
        <v>0</v>
      </c>
      <c r="J7" s="21">
        <v>288.89999999999998</v>
      </c>
      <c r="K7" s="48">
        <f t="shared" si="3"/>
        <v>0</v>
      </c>
      <c r="L7" s="90" t="s">
        <v>460</v>
      </c>
    </row>
    <row r="8" spans="1:12" ht="24" customHeight="1" x14ac:dyDescent="0.5">
      <c r="A8" s="57">
        <v>6</v>
      </c>
      <c r="B8" s="58" t="s">
        <v>54</v>
      </c>
      <c r="C8" s="59" t="s">
        <v>606</v>
      </c>
      <c r="D8" s="20">
        <v>0</v>
      </c>
      <c r="E8" s="36">
        <v>120</v>
      </c>
      <c r="F8" s="45">
        <f t="shared" si="0"/>
        <v>120</v>
      </c>
      <c r="G8" s="48">
        <f t="shared" si="1"/>
        <v>109150.70000000001</v>
      </c>
      <c r="H8" s="45">
        <f t="shared" si="2"/>
        <v>101</v>
      </c>
      <c r="I8" s="20">
        <v>19</v>
      </c>
      <c r="J8" s="21">
        <v>1080.7</v>
      </c>
      <c r="K8" s="48">
        <f t="shared" si="3"/>
        <v>20533.3</v>
      </c>
      <c r="L8" s="90" t="s">
        <v>16</v>
      </c>
    </row>
    <row r="9" spans="1:12" ht="24" customHeight="1" x14ac:dyDescent="0.5">
      <c r="A9" s="57">
        <v>7</v>
      </c>
      <c r="B9" s="58" t="s">
        <v>55</v>
      </c>
      <c r="C9" s="59" t="s">
        <v>606</v>
      </c>
      <c r="D9" s="20">
        <v>0</v>
      </c>
      <c r="E9" s="36">
        <v>80</v>
      </c>
      <c r="F9" s="45">
        <f t="shared" si="0"/>
        <v>80</v>
      </c>
      <c r="G9" s="48">
        <f t="shared" si="1"/>
        <v>151298</v>
      </c>
      <c r="H9" s="45">
        <f t="shared" si="2"/>
        <v>70</v>
      </c>
      <c r="I9" s="20">
        <v>10</v>
      </c>
      <c r="J9" s="21">
        <v>2161.4</v>
      </c>
      <c r="K9" s="48">
        <f t="shared" si="3"/>
        <v>21614</v>
      </c>
      <c r="L9" s="90"/>
    </row>
    <row r="10" spans="1:12" ht="24" customHeight="1" x14ac:dyDescent="0.5">
      <c r="A10" s="57">
        <v>8</v>
      </c>
      <c r="B10" s="58" t="s">
        <v>56</v>
      </c>
      <c r="C10" s="59" t="s">
        <v>604</v>
      </c>
      <c r="D10" s="20">
        <v>48</v>
      </c>
      <c r="E10" s="36">
        <v>200</v>
      </c>
      <c r="F10" s="45">
        <f t="shared" si="0"/>
        <v>248</v>
      </c>
      <c r="G10" s="48">
        <f t="shared" si="1"/>
        <v>2976</v>
      </c>
      <c r="H10" s="45">
        <f t="shared" si="2"/>
        <v>248</v>
      </c>
      <c r="I10" s="20">
        <v>0</v>
      </c>
      <c r="J10" s="21">
        <v>12</v>
      </c>
      <c r="K10" s="48">
        <f t="shared" si="3"/>
        <v>0</v>
      </c>
      <c r="L10" s="89" t="s">
        <v>627</v>
      </c>
    </row>
    <row r="11" spans="1:12" ht="24" customHeight="1" x14ac:dyDescent="0.5">
      <c r="A11" s="57">
        <v>9</v>
      </c>
      <c r="B11" s="58" t="s">
        <v>718</v>
      </c>
      <c r="C11" s="59" t="s">
        <v>604</v>
      </c>
      <c r="D11" s="20">
        <v>0</v>
      </c>
      <c r="E11" s="36">
        <v>2000</v>
      </c>
      <c r="F11" s="45">
        <f t="shared" si="0"/>
        <v>2000</v>
      </c>
      <c r="G11" s="48">
        <f t="shared" si="1"/>
        <v>11000</v>
      </c>
      <c r="H11" s="45">
        <f t="shared" si="2"/>
        <v>2000</v>
      </c>
      <c r="I11" s="20">
        <v>0</v>
      </c>
      <c r="J11" s="21">
        <v>5.5</v>
      </c>
      <c r="K11" s="48">
        <f t="shared" si="3"/>
        <v>0</v>
      </c>
      <c r="L11" s="83" t="s">
        <v>461</v>
      </c>
    </row>
    <row r="12" spans="1:12" ht="24" customHeight="1" x14ac:dyDescent="0.5">
      <c r="A12" s="57">
        <v>10</v>
      </c>
      <c r="B12" s="58" t="s">
        <v>57</v>
      </c>
      <c r="C12" s="59" t="s">
        <v>191</v>
      </c>
      <c r="D12" s="20">
        <v>30</v>
      </c>
      <c r="E12" s="36">
        <v>260</v>
      </c>
      <c r="F12" s="45">
        <f t="shared" si="0"/>
        <v>290</v>
      </c>
      <c r="G12" s="48">
        <f t="shared" si="1"/>
        <v>24700</v>
      </c>
      <c r="H12" s="45">
        <f t="shared" si="2"/>
        <v>260</v>
      </c>
      <c r="I12" s="20">
        <v>30</v>
      </c>
      <c r="J12" s="21">
        <v>95</v>
      </c>
      <c r="K12" s="48">
        <f t="shared" si="3"/>
        <v>2850</v>
      </c>
      <c r="L12" s="90" t="s">
        <v>17</v>
      </c>
    </row>
    <row r="13" spans="1:12" ht="24" customHeight="1" x14ac:dyDescent="0.5">
      <c r="A13" s="57">
        <v>11</v>
      </c>
      <c r="B13" s="58" t="s">
        <v>58</v>
      </c>
      <c r="C13" s="59" t="s">
        <v>604</v>
      </c>
      <c r="D13" s="20">
        <v>71</v>
      </c>
      <c r="E13" s="36">
        <v>100</v>
      </c>
      <c r="F13" s="45">
        <f t="shared" si="0"/>
        <v>171</v>
      </c>
      <c r="G13" s="48">
        <f t="shared" si="1"/>
        <v>15390</v>
      </c>
      <c r="H13" s="45">
        <f t="shared" si="2"/>
        <v>162</v>
      </c>
      <c r="I13" s="20">
        <v>9</v>
      </c>
      <c r="J13" s="21">
        <v>95</v>
      </c>
      <c r="K13" s="48">
        <f t="shared" si="3"/>
        <v>855</v>
      </c>
      <c r="L13" s="90"/>
    </row>
    <row r="14" spans="1:12" ht="24" customHeight="1" x14ac:dyDescent="0.5">
      <c r="A14" s="57">
        <v>12</v>
      </c>
      <c r="B14" s="58" t="s">
        <v>59</v>
      </c>
      <c r="C14" s="59" t="s">
        <v>604</v>
      </c>
      <c r="D14" s="20">
        <v>136</v>
      </c>
      <c r="E14" s="36">
        <v>0</v>
      </c>
      <c r="F14" s="45">
        <f t="shared" si="0"/>
        <v>136</v>
      </c>
      <c r="G14" s="48">
        <f t="shared" si="1"/>
        <v>10667.800000000001</v>
      </c>
      <c r="H14" s="45">
        <f t="shared" si="2"/>
        <v>110</v>
      </c>
      <c r="I14" s="20">
        <v>26</v>
      </c>
      <c r="J14" s="21">
        <v>96.98</v>
      </c>
      <c r="K14" s="48">
        <f t="shared" si="3"/>
        <v>2521.48</v>
      </c>
      <c r="L14" s="89" t="s">
        <v>627</v>
      </c>
    </row>
    <row r="15" spans="1:12" ht="24" customHeight="1" x14ac:dyDescent="0.5">
      <c r="A15" s="57">
        <v>13</v>
      </c>
      <c r="B15" s="58" t="s">
        <v>60</v>
      </c>
      <c r="C15" s="59" t="s">
        <v>606</v>
      </c>
      <c r="D15" s="20">
        <v>442</v>
      </c>
      <c r="E15" s="36">
        <v>5000</v>
      </c>
      <c r="F15" s="45">
        <f t="shared" si="0"/>
        <v>5442</v>
      </c>
      <c r="G15" s="48">
        <f t="shared" si="1"/>
        <v>245745.19999999998</v>
      </c>
      <c r="H15" s="45">
        <f t="shared" si="2"/>
        <v>4828</v>
      </c>
      <c r="I15" s="20">
        <v>614</v>
      </c>
      <c r="J15" s="21">
        <v>50.9</v>
      </c>
      <c r="K15" s="48">
        <f t="shared" si="3"/>
        <v>31252.6</v>
      </c>
      <c r="L15" s="90" t="s">
        <v>730</v>
      </c>
    </row>
    <row r="16" spans="1:12" ht="24" customHeight="1" x14ac:dyDescent="0.5">
      <c r="A16" s="57">
        <v>14</v>
      </c>
      <c r="B16" s="58" t="s">
        <v>719</v>
      </c>
      <c r="C16" s="59" t="s">
        <v>606</v>
      </c>
      <c r="D16" s="20">
        <v>0</v>
      </c>
      <c r="E16" s="36">
        <v>3300</v>
      </c>
      <c r="F16" s="45">
        <f t="shared" si="0"/>
        <v>3300</v>
      </c>
      <c r="G16" s="48">
        <f t="shared" si="1"/>
        <v>160029.6</v>
      </c>
      <c r="H16" s="45">
        <f t="shared" si="2"/>
        <v>3144</v>
      </c>
      <c r="I16" s="20">
        <v>156</v>
      </c>
      <c r="J16" s="21">
        <v>50.9</v>
      </c>
      <c r="K16" s="48">
        <f t="shared" si="3"/>
        <v>7940.4</v>
      </c>
      <c r="L16" s="83" t="s">
        <v>18</v>
      </c>
    </row>
    <row r="17" spans="1:12" ht="24" customHeight="1" x14ac:dyDescent="0.5">
      <c r="A17" s="57">
        <v>15</v>
      </c>
      <c r="B17" s="58" t="s">
        <v>61</v>
      </c>
      <c r="C17" s="59" t="s">
        <v>606</v>
      </c>
      <c r="D17" s="20">
        <v>345</v>
      </c>
      <c r="E17" s="36">
        <v>5500</v>
      </c>
      <c r="F17" s="45">
        <f t="shared" si="0"/>
        <v>5845</v>
      </c>
      <c r="G17" s="48">
        <f t="shared" si="1"/>
        <v>256950</v>
      </c>
      <c r="H17" s="45">
        <f t="shared" si="2"/>
        <v>5710</v>
      </c>
      <c r="I17" s="20">
        <v>135</v>
      </c>
      <c r="J17" s="21">
        <v>45</v>
      </c>
      <c r="K17" s="48">
        <f t="shared" si="3"/>
        <v>6075</v>
      </c>
      <c r="L17" s="83"/>
    </row>
    <row r="18" spans="1:12" ht="24" customHeight="1" x14ac:dyDescent="0.5">
      <c r="A18" s="57">
        <v>16</v>
      </c>
      <c r="B18" s="58" t="s">
        <v>62</v>
      </c>
      <c r="C18" s="59" t="s">
        <v>606</v>
      </c>
      <c r="D18" s="20">
        <v>39</v>
      </c>
      <c r="E18" s="36">
        <v>5300</v>
      </c>
      <c r="F18" s="45">
        <f t="shared" si="0"/>
        <v>5339</v>
      </c>
      <c r="G18" s="48">
        <f t="shared" si="1"/>
        <v>195255</v>
      </c>
      <c r="H18" s="45">
        <f t="shared" si="2"/>
        <v>4339</v>
      </c>
      <c r="I18" s="20">
        <v>1000</v>
      </c>
      <c r="J18" s="21">
        <v>45</v>
      </c>
      <c r="K18" s="48">
        <f t="shared" si="3"/>
        <v>45000</v>
      </c>
      <c r="L18" s="89" t="s">
        <v>627</v>
      </c>
    </row>
    <row r="19" spans="1:12" ht="24" customHeight="1" x14ac:dyDescent="0.5">
      <c r="A19" s="57">
        <v>17</v>
      </c>
      <c r="B19" s="58" t="s">
        <v>63</v>
      </c>
      <c r="C19" s="59" t="s">
        <v>606</v>
      </c>
      <c r="D19" s="20">
        <v>413</v>
      </c>
      <c r="E19" s="36">
        <v>800</v>
      </c>
      <c r="F19" s="45">
        <f t="shared" si="0"/>
        <v>1213</v>
      </c>
      <c r="G19" s="48">
        <f t="shared" si="1"/>
        <v>51705</v>
      </c>
      <c r="H19" s="45">
        <f t="shared" si="2"/>
        <v>1149</v>
      </c>
      <c r="I19" s="20">
        <v>64</v>
      </c>
      <c r="J19" s="21">
        <v>45</v>
      </c>
      <c r="K19" s="48">
        <f t="shared" si="3"/>
        <v>2880</v>
      </c>
      <c r="L19" s="78" t="s">
        <v>434</v>
      </c>
    </row>
    <row r="20" spans="1:12" ht="24" customHeight="1" x14ac:dyDescent="0.5">
      <c r="A20" s="57">
        <v>18</v>
      </c>
      <c r="B20" s="58" t="s">
        <v>64</v>
      </c>
      <c r="C20" s="59" t="s">
        <v>606</v>
      </c>
      <c r="D20" s="20">
        <v>0</v>
      </c>
      <c r="E20" s="36">
        <v>1000</v>
      </c>
      <c r="F20" s="45">
        <f t="shared" si="0"/>
        <v>1000</v>
      </c>
      <c r="G20" s="48">
        <f t="shared" si="1"/>
        <v>45000</v>
      </c>
      <c r="H20" s="45">
        <f t="shared" si="2"/>
        <v>1000</v>
      </c>
      <c r="I20" s="20">
        <v>0</v>
      </c>
      <c r="J20" s="21">
        <v>45</v>
      </c>
      <c r="K20" s="48">
        <f t="shared" si="3"/>
        <v>0</v>
      </c>
      <c r="L20" s="83" t="s">
        <v>433</v>
      </c>
    </row>
    <row r="21" spans="1:12" ht="24" customHeight="1" x14ac:dyDescent="0.5">
      <c r="A21" s="57">
        <v>19</v>
      </c>
      <c r="B21" s="58" t="s">
        <v>65</v>
      </c>
      <c r="C21" s="59" t="s">
        <v>606</v>
      </c>
      <c r="D21" s="20">
        <v>0</v>
      </c>
      <c r="E21" s="36">
        <v>500</v>
      </c>
      <c r="F21" s="45">
        <f t="shared" si="0"/>
        <v>500</v>
      </c>
      <c r="G21" s="48">
        <f t="shared" si="1"/>
        <v>22500</v>
      </c>
      <c r="H21" s="45">
        <f t="shared" si="2"/>
        <v>500</v>
      </c>
      <c r="I21" s="20">
        <v>0</v>
      </c>
      <c r="J21" s="21">
        <v>45</v>
      </c>
      <c r="K21" s="48">
        <f t="shared" si="3"/>
        <v>0</v>
      </c>
      <c r="L21" s="78"/>
    </row>
    <row r="22" spans="1:12" ht="24" customHeight="1" x14ac:dyDescent="0.5">
      <c r="A22" s="57">
        <v>20</v>
      </c>
      <c r="B22" s="58" t="s">
        <v>66</v>
      </c>
      <c r="C22" s="59" t="s">
        <v>606</v>
      </c>
      <c r="D22" s="20">
        <v>30</v>
      </c>
      <c r="E22" s="36">
        <v>0</v>
      </c>
      <c r="F22" s="45">
        <f t="shared" si="0"/>
        <v>30</v>
      </c>
      <c r="G22" s="48">
        <f t="shared" si="1"/>
        <v>1449</v>
      </c>
      <c r="H22" s="45">
        <f t="shared" si="2"/>
        <v>21</v>
      </c>
      <c r="I22" s="20">
        <v>9</v>
      </c>
      <c r="J22" s="21">
        <v>69</v>
      </c>
      <c r="K22" s="48">
        <f t="shared" si="3"/>
        <v>621</v>
      </c>
      <c r="L22" s="89" t="s">
        <v>627</v>
      </c>
    </row>
    <row r="23" spans="1:12" ht="24" customHeight="1" x14ac:dyDescent="0.5">
      <c r="A23" s="57"/>
      <c r="B23" s="65" t="s">
        <v>432</v>
      </c>
      <c r="C23" s="65"/>
      <c r="D23" s="22"/>
      <c r="E23" s="23"/>
      <c r="F23" s="22"/>
      <c r="G23" s="24">
        <f>SUM(G3:G22)</f>
        <v>4956618.1999999993</v>
      </c>
      <c r="H23" s="22"/>
      <c r="I23" s="22"/>
      <c r="J23" s="24"/>
      <c r="K23" s="24">
        <f>SUM(K3:K22)</f>
        <v>144515.88</v>
      </c>
      <c r="L23" s="78" t="s">
        <v>503</v>
      </c>
    </row>
    <row r="24" spans="1:12" ht="24" customHeight="1" x14ac:dyDescent="0.5">
      <c r="B24" s="79"/>
      <c r="C24" s="79"/>
      <c r="D24" s="27"/>
      <c r="E24" s="28"/>
      <c r="F24" s="27"/>
      <c r="G24" s="49"/>
      <c r="H24" s="27"/>
      <c r="I24" s="27"/>
      <c r="J24" s="49"/>
      <c r="K24" s="49"/>
      <c r="L24" s="83" t="s">
        <v>435</v>
      </c>
    </row>
    <row r="25" spans="1:12" ht="24" customHeight="1" x14ac:dyDescent="0.5">
      <c r="A25" s="57">
        <v>21</v>
      </c>
      <c r="B25" s="58" t="s">
        <v>720</v>
      </c>
      <c r="C25" s="59" t="s">
        <v>606</v>
      </c>
      <c r="D25" s="20">
        <v>0</v>
      </c>
      <c r="E25" s="36">
        <v>608</v>
      </c>
      <c r="F25" s="45">
        <f t="shared" si="0"/>
        <v>608</v>
      </c>
      <c r="G25" s="48">
        <f t="shared" si="1"/>
        <v>139840</v>
      </c>
      <c r="H25" s="45">
        <f t="shared" si="2"/>
        <v>608</v>
      </c>
      <c r="I25" s="20">
        <v>0</v>
      </c>
      <c r="J25" s="48">
        <v>230</v>
      </c>
      <c r="K25" s="48">
        <f t="shared" si="3"/>
        <v>0</v>
      </c>
      <c r="L25" s="78" t="s">
        <v>15</v>
      </c>
    </row>
    <row r="26" spans="1:12" ht="24" customHeight="1" x14ac:dyDescent="0.5">
      <c r="A26" s="57">
        <v>22</v>
      </c>
      <c r="B26" s="58" t="s">
        <v>577</v>
      </c>
      <c r="C26" s="59" t="s">
        <v>604</v>
      </c>
      <c r="D26" s="20">
        <v>60</v>
      </c>
      <c r="E26" s="36">
        <v>400</v>
      </c>
      <c r="F26" s="45">
        <f t="shared" si="0"/>
        <v>460</v>
      </c>
      <c r="G26" s="48">
        <f t="shared" si="1"/>
        <v>96300</v>
      </c>
      <c r="H26" s="45">
        <f t="shared" si="2"/>
        <v>300</v>
      </c>
      <c r="I26" s="20">
        <v>160</v>
      </c>
      <c r="J26" s="48">
        <v>321</v>
      </c>
      <c r="K26" s="48">
        <f t="shared" si="3"/>
        <v>51360</v>
      </c>
      <c r="L26" s="78" t="s">
        <v>716</v>
      </c>
    </row>
    <row r="27" spans="1:12" ht="24" customHeight="1" x14ac:dyDescent="0.5">
      <c r="A27" s="57">
        <v>23</v>
      </c>
      <c r="B27" s="58" t="s">
        <v>578</v>
      </c>
      <c r="C27" s="59" t="s">
        <v>604</v>
      </c>
      <c r="D27" s="20">
        <v>0</v>
      </c>
      <c r="E27" s="36">
        <v>1280</v>
      </c>
      <c r="F27" s="45">
        <f t="shared" si="0"/>
        <v>1280</v>
      </c>
      <c r="G27" s="48">
        <f t="shared" si="1"/>
        <v>471142.39999999997</v>
      </c>
      <c r="H27" s="45">
        <f t="shared" si="2"/>
        <v>1280</v>
      </c>
      <c r="I27" s="20">
        <v>0</v>
      </c>
      <c r="J27" s="48">
        <v>368.08</v>
      </c>
      <c r="K27" s="48">
        <f t="shared" si="3"/>
        <v>0</v>
      </c>
      <c r="L27" s="78"/>
    </row>
    <row r="28" spans="1:12" ht="24" customHeight="1" x14ac:dyDescent="0.5">
      <c r="A28" s="57">
        <v>24</v>
      </c>
      <c r="B28" s="58" t="s">
        <v>579</v>
      </c>
      <c r="C28" s="59" t="s">
        <v>604</v>
      </c>
      <c r="D28" s="45">
        <v>75</v>
      </c>
      <c r="E28" s="36">
        <v>690</v>
      </c>
      <c r="F28" s="45">
        <f>D28+E28</f>
        <v>765</v>
      </c>
      <c r="G28" s="48">
        <f>H28*J28</f>
        <v>363436.2</v>
      </c>
      <c r="H28" s="45">
        <f>F28-I28</f>
        <v>765</v>
      </c>
      <c r="I28" s="20">
        <v>0</v>
      </c>
      <c r="J28" s="48">
        <v>475.08</v>
      </c>
      <c r="K28" s="48">
        <f>I28*J28</f>
        <v>0</v>
      </c>
      <c r="L28" s="89" t="s">
        <v>627</v>
      </c>
    </row>
    <row r="29" spans="1:12" ht="24" customHeight="1" x14ac:dyDescent="0.5">
      <c r="A29" s="57">
        <v>25</v>
      </c>
      <c r="B29" s="58" t="s">
        <v>67</v>
      </c>
      <c r="C29" s="59" t="s">
        <v>606</v>
      </c>
      <c r="D29" s="45">
        <v>0</v>
      </c>
      <c r="E29" s="36">
        <v>150</v>
      </c>
      <c r="F29" s="45">
        <f t="shared" ref="F29:F49" si="4">D29+E29</f>
        <v>150</v>
      </c>
      <c r="G29" s="48">
        <f t="shared" ref="G29:G49" si="5">H29*J29</f>
        <v>64200</v>
      </c>
      <c r="H29" s="45">
        <f t="shared" ref="H29:H49" si="6">F29-I29</f>
        <v>150</v>
      </c>
      <c r="I29" s="20">
        <v>0</v>
      </c>
      <c r="J29" s="48">
        <v>428</v>
      </c>
      <c r="K29" s="48">
        <f t="shared" ref="K29:K49" si="7">I29*J29</f>
        <v>0</v>
      </c>
      <c r="L29" s="90" t="s">
        <v>460</v>
      </c>
    </row>
    <row r="30" spans="1:12" ht="24" customHeight="1" x14ac:dyDescent="0.5">
      <c r="A30" s="57">
        <v>26</v>
      </c>
      <c r="B30" s="58" t="s">
        <v>68</v>
      </c>
      <c r="C30" s="59" t="s">
        <v>606</v>
      </c>
      <c r="D30" s="20">
        <v>5</v>
      </c>
      <c r="E30" s="36">
        <v>100</v>
      </c>
      <c r="F30" s="45">
        <f t="shared" si="4"/>
        <v>105</v>
      </c>
      <c r="G30" s="48">
        <f t="shared" si="5"/>
        <v>25680</v>
      </c>
      <c r="H30" s="45">
        <f t="shared" si="6"/>
        <v>30</v>
      </c>
      <c r="I30" s="20">
        <v>75</v>
      </c>
      <c r="J30" s="48">
        <v>856</v>
      </c>
      <c r="K30" s="48">
        <f t="shared" si="7"/>
        <v>64200</v>
      </c>
      <c r="L30" s="90" t="s">
        <v>16</v>
      </c>
    </row>
    <row r="31" spans="1:12" ht="24" customHeight="1" x14ac:dyDescent="0.5">
      <c r="A31" s="57">
        <v>27</v>
      </c>
      <c r="B31" s="58" t="s">
        <v>404</v>
      </c>
      <c r="C31" s="59" t="s">
        <v>605</v>
      </c>
      <c r="D31" s="20">
        <v>3450</v>
      </c>
      <c r="E31" s="36">
        <v>0</v>
      </c>
      <c r="F31" s="45">
        <f t="shared" si="4"/>
        <v>3450</v>
      </c>
      <c r="G31" s="48">
        <f t="shared" si="5"/>
        <v>8347.5</v>
      </c>
      <c r="H31" s="45">
        <f t="shared" si="6"/>
        <v>2650</v>
      </c>
      <c r="I31" s="20">
        <v>800</v>
      </c>
      <c r="J31" s="48">
        <v>3.15</v>
      </c>
      <c r="K31" s="48">
        <f t="shared" si="7"/>
        <v>2520</v>
      </c>
      <c r="L31" s="90"/>
    </row>
    <row r="32" spans="1:12" ht="24" customHeight="1" x14ac:dyDescent="0.5">
      <c r="A32" s="57">
        <v>28</v>
      </c>
      <c r="B32" s="58" t="s">
        <v>405</v>
      </c>
      <c r="C32" s="59" t="s">
        <v>605</v>
      </c>
      <c r="D32" s="20">
        <v>3150</v>
      </c>
      <c r="E32" s="36">
        <v>82000</v>
      </c>
      <c r="F32" s="45">
        <f t="shared" si="4"/>
        <v>85150</v>
      </c>
      <c r="G32" s="48">
        <f t="shared" si="5"/>
        <v>254047.5</v>
      </c>
      <c r="H32" s="45">
        <f t="shared" si="6"/>
        <v>80650</v>
      </c>
      <c r="I32" s="20">
        <v>4500</v>
      </c>
      <c r="J32" s="48">
        <v>3.15</v>
      </c>
      <c r="K32" s="48">
        <f t="shared" si="7"/>
        <v>14175</v>
      </c>
      <c r="L32" s="89" t="s">
        <v>627</v>
      </c>
    </row>
    <row r="33" spans="1:12" ht="24" customHeight="1" x14ac:dyDescent="0.5">
      <c r="A33" s="57">
        <v>29</v>
      </c>
      <c r="B33" s="58" t="s">
        <v>406</v>
      </c>
      <c r="C33" s="59" t="s">
        <v>605</v>
      </c>
      <c r="D33" s="20">
        <v>150</v>
      </c>
      <c r="E33" s="36">
        <v>36000</v>
      </c>
      <c r="F33" s="45">
        <f t="shared" si="4"/>
        <v>36150</v>
      </c>
      <c r="G33" s="48">
        <f t="shared" si="5"/>
        <v>100012.5</v>
      </c>
      <c r="H33" s="45">
        <f t="shared" si="6"/>
        <v>31750</v>
      </c>
      <c r="I33" s="20">
        <v>4400</v>
      </c>
      <c r="J33" s="48">
        <v>3.15</v>
      </c>
      <c r="K33" s="48">
        <f t="shared" si="7"/>
        <v>13860</v>
      </c>
      <c r="L33" s="83" t="s">
        <v>461</v>
      </c>
    </row>
    <row r="34" spans="1:12" ht="24" customHeight="1" x14ac:dyDescent="0.5">
      <c r="A34" s="57">
        <v>30</v>
      </c>
      <c r="B34" s="58" t="s">
        <v>69</v>
      </c>
      <c r="C34" s="59" t="s">
        <v>606</v>
      </c>
      <c r="D34" s="20">
        <v>0</v>
      </c>
      <c r="E34" s="36">
        <v>200</v>
      </c>
      <c r="F34" s="45">
        <f t="shared" si="4"/>
        <v>200</v>
      </c>
      <c r="G34" s="48">
        <f t="shared" si="5"/>
        <v>23355</v>
      </c>
      <c r="H34" s="45">
        <f t="shared" si="6"/>
        <v>173</v>
      </c>
      <c r="I34" s="20">
        <v>27</v>
      </c>
      <c r="J34" s="21">
        <v>135</v>
      </c>
      <c r="K34" s="48">
        <f t="shared" si="7"/>
        <v>3645</v>
      </c>
      <c r="L34" s="90" t="s">
        <v>17</v>
      </c>
    </row>
    <row r="35" spans="1:12" ht="24" customHeight="1" x14ac:dyDescent="0.5">
      <c r="A35" s="57">
        <v>31</v>
      </c>
      <c r="B35" s="58" t="s">
        <v>70</v>
      </c>
      <c r="C35" s="59" t="s">
        <v>606</v>
      </c>
      <c r="D35" s="20">
        <v>17</v>
      </c>
      <c r="E35" s="36">
        <v>0</v>
      </c>
      <c r="F35" s="45">
        <f t="shared" si="4"/>
        <v>17</v>
      </c>
      <c r="G35" s="48">
        <f t="shared" si="5"/>
        <v>2295</v>
      </c>
      <c r="H35" s="45">
        <f t="shared" si="6"/>
        <v>17</v>
      </c>
      <c r="I35" s="20">
        <v>0</v>
      </c>
      <c r="J35" s="21">
        <v>135</v>
      </c>
      <c r="K35" s="48">
        <f t="shared" si="7"/>
        <v>0</v>
      </c>
      <c r="L35" s="90"/>
    </row>
    <row r="36" spans="1:12" ht="24" customHeight="1" x14ac:dyDescent="0.5">
      <c r="A36" s="57">
        <v>32</v>
      </c>
      <c r="B36" s="58" t="s">
        <v>71</v>
      </c>
      <c r="C36" s="59" t="s">
        <v>606</v>
      </c>
      <c r="D36" s="20">
        <v>0</v>
      </c>
      <c r="E36" s="36">
        <v>65</v>
      </c>
      <c r="F36" s="45">
        <f t="shared" si="4"/>
        <v>65</v>
      </c>
      <c r="G36" s="48">
        <f t="shared" si="5"/>
        <v>5535</v>
      </c>
      <c r="H36" s="45">
        <f t="shared" si="6"/>
        <v>41</v>
      </c>
      <c r="I36" s="20">
        <v>24</v>
      </c>
      <c r="J36" s="21">
        <v>135</v>
      </c>
      <c r="K36" s="48">
        <f t="shared" si="7"/>
        <v>3240</v>
      </c>
      <c r="L36" s="89" t="s">
        <v>627</v>
      </c>
    </row>
    <row r="37" spans="1:12" ht="24" customHeight="1" x14ac:dyDescent="0.5">
      <c r="A37" s="57">
        <v>33</v>
      </c>
      <c r="B37" s="58" t="s">
        <v>72</v>
      </c>
      <c r="C37" s="59" t="s">
        <v>606</v>
      </c>
      <c r="D37" s="20">
        <v>0</v>
      </c>
      <c r="E37" s="36">
        <v>65</v>
      </c>
      <c r="F37" s="45">
        <f t="shared" si="4"/>
        <v>65</v>
      </c>
      <c r="G37" s="48">
        <f t="shared" si="5"/>
        <v>6615</v>
      </c>
      <c r="H37" s="45">
        <f t="shared" si="6"/>
        <v>49</v>
      </c>
      <c r="I37" s="20">
        <v>16</v>
      </c>
      <c r="J37" s="21">
        <v>135</v>
      </c>
      <c r="K37" s="48">
        <f t="shared" si="7"/>
        <v>2160</v>
      </c>
      <c r="L37" s="90" t="s">
        <v>730</v>
      </c>
    </row>
    <row r="38" spans="1:12" ht="24" customHeight="1" x14ac:dyDescent="0.5">
      <c r="A38" s="57">
        <v>34</v>
      </c>
      <c r="B38" s="58" t="s">
        <v>73</v>
      </c>
      <c r="C38" s="59" t="s">
        <v>605</v>
      </c>
      <c r="D38" s="20">
        <v>400</v>
      </c>
      <c r="E38" s="36">
        <v>200</v>
      </c>
      <c r="F38" s="45">
        <f t="shared" si="4"/>
        <v>600</v>
      </c>
      <c r="G38" s="48">
        <f t="shared" si="5"/>
        <v>2000</v>
      </c>
      <c r="H38" s="45">
        <f t="shared" si="6"/>
        <v>200</v>
      </c>
      <c r="I38" s="20">
        <v>400</v>
      </c>
      <c r="J38" s="48">
        <v>10</v>
      </c>
      <c r="K38" s="48">
        <f t="shared" si="7"/>
        <v>4000</v>
      </c>
      <c r="L38" s="83" t="s">
        <v>18</v>
      </c>
    </row>
    <row r="39" spans="1:12" ht="24" customHeight="1" x14ac:dyDescent="0.5">
      <c r="A39" s="57">
        <v>35</v>
      </c>
      <c r="B39" s="58" t="s">
        <v>74</v>
      </c>
      <c r="C39" s="59" t="s">
        <v>605</v>
      </c>
      <c r="D39" s="20">
        <v>0</v>
      </c>
      <c r="E39" s="36">
        <v>7200</v>
      </c>
      <c r="F39" s="45">
        <f t="shared" si="4"/>
        <v>7200</v>
      </c>
      <c r="G39" s="48">
        <f t="shared" si="5"/>
        <v>64800</v>
      </c>
      <c r="H39" s="45">
        <f t="shared" si="6"/>
        <v>7200</v>
      </c>
      <c r="I39" s="20">
        <v>0</v>
      </c>
      <c r="J39" s="48">
        <v>9</v>
      </c>
      <c r="K39" s="48">
        <f t="shared" si="7"/>
        <v>0</v>
      </c>
      <c r="L39" s="83"/>
    </row>
    <row r="40" spans="1:12" ht="24" customHeight="1" x14ac:dyDescent="0.5">
      <c r="A40" s="57">
        <v>36</v>
      </c>
      <c r="B40" s="58" t="s">
        <v>75</v>
      </c>
      <c r="C40" s="59" t="s">
        <v>605</v>
      </c>
      <c r="D40" s="20">
        <v>0</v>
      </c>
      <c r="E40" s="36">
        <v>1000</v>
      </c>
      <c r="F40" s="45">
        <f t="shared" si="4"/>
        <v>1000</v>
      </c>
      <c r="G40" s="48">
        <f t="shared" si="5"/>
        <v>6000</v>
      </c>
      <c r="H40" s="45">
        <f t="shared" si="6"/>
        <v>600</v>
      </c>
      <c r="I40" s="20">
        <v>400</v>
      </c>
      <c r="J40" s="48">
        <v>10</v>
      </c>
      <c r="K40" s="48">
        <f t="shared" si="7"/>
        <v>4000</v>
      </c>
      <c r="L40" s="89" t="s">
        <v>627</v>
      </c>
    </row>
    <row r="41" spans="1:12" ht="24" customHeight="1" x14ac:dyDescent="0.5">
      <c r="A41" s="57">
        <v>37</v>
      </c>
      <c r="B41" s="58" t="s">
        <v>76</v>
      </c>
      <c r="C41" s="59" t="s">
        <v>605</v>
      </c>
      <c r="D41" s="20">
        <v>0</v>
      </c>
      <c r="E41" s="36">
        <v>4400</v>
      </c>
      <c r="F41" s="45">
        <f t="shared" si="4"/>
        <v>4400</v>
      </c>
      <c r="G41" s="48">
        <f t="shared" si="5"/>
        <v>39600</v>
      </c>
      <c r="H41" s="45">
        <f t="shared" si="6"/>
        <v>4400</v>
      </c>
      <c r="I41" s="20">
        <v>0</v>
      </c>
      <c r="J41" s="48">
        <v>9</v>
      </c>
      <c r="K41" s="48">
        <f t="shared" si="7"/>
        <v>0</v>
      </c>
      <c r="L41" s="78" t="s">
        <v>434</v>
      </c>
    </row>
    <row r="42" spans="1:12" ht="24" customHeight="1" x14ac:dyDescent="0.5">
      <c r="A42" s="57">
        <v>38</v>
      </c>
      <c r="B42" s="58" t="s">
        <v>77</v>
      </c>
      <c r="C42" s="59" t="s">
        <v>191</v>
      </c>
      <c r="D42" s="20">
        <v>0</v>
      </c>
      <c r="E42" s="36">
        <v>5800</v>
      </c>
      <c r="F42" s="45">
        <f t="shared" si="4"/>
        <v>5800</v>
      </c>
      <c r="G42" s="48">
        <f t="shared" si="5"/>
        <v>1303260</v>
      </c>
      <c r="H42" s="45">
        <f t="shared" si="6"/>
        <v>5800</v>
      </c>
      <c r="I42" s="20">
        <v>0</v>
      </c>
      <c r="J42" s="48">
        <v>224.7</v>
      </c>
      <c r="K42" s="48">
        <f t="shared" si="7"/>
        <v>0</v>
      </c>
      <c r="L42" s="83" t="s">
        <v>433</v>
      </c>
    </row>
    <row r="43" spans="1:12" ht="24" customHeight="1" x14ac:dyDescent="0.5">
      <c r="A43" s="57">
        <v>39</v>
      </c>
      <c r="B43" s="58" t="s">
        <v>78</v>
      </c>
      <c r="C43" s="59" t="s">
        <v>605</v>
      </c>
      <c r="D43" s="20">
        <v>40</v>
      </c>
      <c r="E43" s="36">
        <v>0</v>
      </c>
      <c r="F43" s="45">
        <f t="shared" si="4"/>
        <v>40</v>
      </c>
      <c r="G43" s="48">
        <f t="shared" si="5"/>
        <v>2300</v>
      </c>
      <c r="H43" s="45">
        <f t="shared" si="6"/>
        <v>20</v>
      </c>
      <c r="I43" s="20">
        <v>20</v>
      </c>
      <c r="J43" s="48">
        <v>115</v>
      </c>
      <c r="K43" s="48">
        <f t="shared" si="7"/>
        <v>2300</v>
      </c>
      <c r="L43" s="78"/>
    </row>
    <row r="44" spans="1:12" ht="24" customHeight="1" x14ac:dyDescent="0.5">
      <c r="A44" s="57">
        <v>40</v>
      </c>
      <c r="B44" s="58" t="s">
        <v>79</v>
      </c>
      <c r="C44" s="59" t="s">
        <v>605</v>
      </c>
      <c r="D44" s="20">
        <v>0</v>
      </c>
      <c r="E44" s="36">
        <v>20</v>
      </c>
      <c r="F44" s="45">
        <f t="shared" si="4"/>
        <v>20</v>
      </c>
      <c r="G44" s="48">
        <f t="shared" si="5"/>
        <v>1150</v>
      </c>
      <c r="H44" s="45">
        <f t="shared" si="6"/>
        <v>10</v>
      </c>
      <c r="I44" s="20">
        <v>10</v>
      </c>
      <c r="J44" s="48">
        <v>115</v>
      </c>
      <c r="K44" s="48">
        <f t="shared" si="7"/>
        <v>1150</v>
      </c>
      <c r="L44" s="89" t="s">
        <v>627</v>
      </c>
    </row>
    <row r="45" spans="1:12" ht="24" customHeight="1" x14ac:dyDescent="0.5">
      <c r="A45" s="57"/>
      <c r="B45" s="65" t="s">
        <v>432</v>
      </c>
      <c r="C45" s="65"/>
      <c r="D45" s="22"/>
      <c r="E45" s="23"/>
      <c r="F45" s="22"/>
      <c r="G45" s="24">
        <f>SUM(G25:G44)</f>
        <v>2979916.0999999996</v>
      </c>
      <c r="H45" s="22"/>
      <c r="I45" s="22"/>
      <c r="J45" s="24"/>
      <c r="K45" s="24">
        <f>SUM(K25:K44)</f>
        <v>166610</v>
      </c>
      <c r="L45" s="78" t="s">
        <v>503</v>
      </c>
    </row>
    <row r="46" spans="1:12" ht="24" customHeight="1" x14ac:dyDescent="0.5">
      <c r="B46" s="79"/>
      <c r="C46" s="79"/>
      <c r="D46" s="27"/>
      <c r="E46" s="28"/>
      <c r="F46" s="27"/>
      <c r="G46" s="49"/>
      <c r="H46" s="27"/>
      <c r="I46" s="27"/>
      <c r="J46" s="49"/>
      <c r="K46" s="49"/>
      <c r="L46" s="83" t="s">
        <v>435</v>
      </c>
    </row>
    <row r="47" spans="1:12" ht="24" customHeight="1" x14ac:dyDescent="0.5">
      <c r="A47" s="57">
        <v>41</v>
      </c>
      <c r="B47" s="58" t="s">
        <v>80</v>
      </c>
      <c r="C47" s="59" t="s">
        <v>605</v>
      </c>
      <c r="D47" s="20">
        <v>0</v>
      </c>
      <c r="E47" s="36">
        <v>20</v>
      </c>
      <c r="F47" s="45">
        <f t="shared" si="4"/>
        <v>20</v>
      </c>
      <c r="G47" s="48">
        <f t="shared" si="5"/>
        <v>1150</v>
      </c>
      <c r="H47" s="45">
        <f t="shared" si="6"/>
        <v>10</v>
      </c>
      <c r="I47" s="20">
        <v>10</v>
      </c>
      <c r="J47" s="48">
        <v>115</v>
      </c>
      <c r="K47" s="48">
        <f t="shared" si="7"/>
        <v>1150</v>
      </c>
      <c r="L47" s="78" t="s">
        <v>15</v>
      </c>
    </row>
    <row r="48" spans="1:12" ht="24" customHeight="1" x14ac:dyDescent="0.5">
      <c r="A48" s="57">
        <v>42</v>
      </c>
      <c r="B48" s="58" t="s">
        <v>81</v>
      </c>
      <c r="C48" s="59" t="s">
        <v>605</v>
      </c>
      <c r="D48" s="20">
        <v>30</v>
      </c>
      <c r="E48" s="36">
        <v>0</v>
      </c>
      <c r="F48" s="45">
        <f t="shared" si="4"/>
        <v>30</v>
      </c>
      <c r="G48" s="48">
        <f t="shared" si="5"/>
        <v>0</v>
      </c>
      <c r="H48" s="45">
        <f t="shared" si="6"/>
        <v>0</v>
      </c>
      <c r="I48" s="20">
        <v>30</v>
      </c>
      <c r="J48" s="48">
        <v>115</v>
      </c>
      <c r="K48" s="48">
        <f t="shared" si="7"/>
        <v>3450</v>
      </c>
      <c r="L48" s="78" t="s">
        <v>716</v>
      </c>
    </row>
    <row r="49" spans="1:12" ht="24" customHeight="1" x14ac:dyDescent="0.5">
      <c r="A49" s="57">
        <v>43</v>
      </c>
      <c r="B49" s="58" t="s">
        <v>721</v>
      </c>
      <c r="C49" s="59" t="s">
        <v>605</v>
      </c>
      <c r="D49" s="20">
        <v>0</v>
      </c>
      <c r="E49" s="36">
        <v>40</v>
      </c>
      <c r="F49" s="45">
        <f t="shared" si="4"/>
        <v>40</v>
      </c>
      <c r="G49" s="48">
        <f t="shared" si="5"/>
        <v>2300</v>
      </c>
      <c r="H49" s="45">
        <f t="shared" si="6"/>
        <v>20</v>
      </c>
      <c r="I49" s="20">
        <v>20</v>
      </c>
      <c r="J49" s="48">
        <v>115</v>
      </c>
      <c r="K49" s="48">
        <f t="shared" si="7"/>
        <v>2300</v>
      </c>
      <c r="L49" s="78"/>
    </row>
    <row r="50" spans="1:12" ht="24" customHeight="1" x14ac:dyDescent="0.5">
      <c r="A50" s="57">
        <v>44</v>
      </c>
      <c r="B50" s="58" t="s">
        <v>82</v>
      </c>
      <c r="C50" s="59" t="s">
        <v>605</v>
      </c>
      <c r="D50" s="20">
        <v>0</v>
      </c>
      <c r="E50" s="36">
        <v>400</v>
      </c>
      <c r="F50" s="45">
        <f>D50+E50</f>
        <v>400</v>
      </c>
      <c r="G50" s="48">
        <f>H50*J50</f>
        <v>7500</v>
      </c>
      <c r="H50" s="45">
        <f>F50-I50</f>
        <v>250</v>
      </c>
      <c r="I50" s="20">
        <v>150</v>
      </c>
      <c r="J50" s="48">
        <v>30</v>
      </c>
      <c r="K50" s="48">
        <f>I50*J50</f>
        <v>4500</v>
      </c>
      <c r="L50" s="89" t="s">
        <v>627</v>
      </c>
    </row>
    <row r="51" spans="1:12" ht="24" customHeight="1" x14ac:dyDescent="0.5">
      <c r="A51" s="57">
        <v>45</v>
      </c>
      <c r="B51" s="58" t="s">
        <v>83</v>
      </c>
      <c r="C51" s="59" t="s">
        <v>605</v>
      </c>
      <c r="D51" s="20">
        <v>0</v>
      </c>
      <c r="E51" s="36">
        <v>300</v>
      </c>
      <c r="F51" s="45">
        <f t="shared" ref="F51:F71" si="8">D51+E51</f>
        <v>300</v>
      </c>
      <c r="G51" s="48">
        <f t="shared" ref="G51:G71" si="9">H51*J51</f>
        <v>1760</v>
      </c>
      <c r="H51" s="45">
        <f t="shared" ref="H51:H71" si="10">F51-I51</f>
        <v>110</v>
      </c>
      <c r="I51" s="20">
        <v>190</v>
      </c>
      <c r="J51" s="48">
        <v>16</v>
      </c>
      <c r="K51" s="48">
        <f t="shared" ref="K51:K71" si="11">I51*J51</f>
        <v>3040</v>
      </c>
      <c r="L51" s="90" t="s">
        <v>460</v>
      </c>
    </row>
    <row r="52" spans="1:12" ht="24" customHeight="1" x14ac:dyDescent="0.5">
      <c r="A52" s="57">
        <v>46</v>
      </c>
      <c r="B52" s="58" t="s">
        <v>84</v>
      </c>
      <c r="C52" s="59" t="s">
        <v>605</v>
      </c>
      <c r="D52" s="20">
        <v>0</v>
      </c>
      <c r="E52" s="36">
        <v>550</v>
      </c>
      <c r="F52" s="45">
        <f t="shared" si="8"/>
        <v>550</v>
      </c>
      <c r="G52" s="48">
        <f t="shared" si="9"/>
        <v>8800</v>
      </c>
      <c r="H52" s="45">
        <f t="shared" si="10"/>
        <v>550</v>
      </c>
      <c r="I52" s="20">
        <v>0</v>
      </c>
      <c r="J52" s="48">
        <v>16</v>
      </c>
      <c r="K52" s="48">
        <f t="shared" si="11"/>
        <v>0</v>
      </c>
      <c r="L52" s="90" t="s">
        <v>16</v>
      </c>
    </row>
    <row r="53" spans="1:12" ht="24" customHeight="1" x14ac:dyDescent="0.5">
      <c r="A53" s="57">
        <v>47</v>
      </c>
      <c r="B53" s="58" t="s">
        <v>85</v>
      </c>
      <c r="C53" s="59" t="s">
        <v>605</v>
      </c>
      <c r="D53" s="20">
        <v>0</v>
      </c>
      <c r="E53" s="45">
        <v>8000</v>
      </c>
      <c r="F53" s="45">
        <f t="shared" si="8"/>
        <v>8000</v>
      </c>
      <c r="G53" s="48">
        <f t="shared" si="9"/>
        <v>128000</v>
      </c>
      <c r="H53" s="45">
        <f t="shared" si="10"/>
        <v>8000</v>
      </c>
      <c r="I53" s="20">
        <v>0</v>
      </c>
      <c r="J53" s="48">
        <v>16</v>
      </c>
      <c r="K53" s="48">
        <f t="shared" si="11"/>
        <v>0</v>
      </c>
      <c r="L53" s="90"/>
    </row>
    <row r="54" spans="1:12" ht="24" customHeight="1" x14ac:dyDescent="0.5">
      <c r="A54" s="57">
        <v>48</v>
      </c>
      <c r="B54" s="58" t="s">
        <v>86</v>
      </c>
      <c r="C54" s="59" t="s">
        <v>605</v>
      </c>
      <c r="D54" s="20">
        <v>150</v>
      </c>
      <c r="E54" s="36">
        <v>750</v>
      </c>
      <c r="F54" s="45">
        <f t="shared" si="8"/>
        <v>900</v>
      </c>
      <c r="G54" s="48">
        <f t="shared" si="9"/>
        <v>12800</v>
      </c>
      <c r="H54" s="45">
        <f t="shared" si="10"/>
        <v>800</v>
      </c>
      <c r="I54" s="20">
        <v>100</v>
      </c>
      <c r="J54" s="48">
        <v>16</v>
      </c>
      <c r="K54" s="48">
        <f t="shared" si="11"/>
        <v>1600</v>
      </c>
      <c r="L54" s="89" t="s">
        <v>627</v>
      </c>
    </row>
    <row r="55" spans="1:12" ht="24" customHeight="1" x14ac:dyDescent="0.5">
      <c r="A55" s="57">
        <v>49</v>
      </c>
      <c r="B55" s="58" t="s">
        <v>87</v>
      </c>
      <c r="C55" s="59" t="s">
        <v>605</v>
      </c>
      <c r="D55" s="20">
        <v>50</v>
      </c>
      <c r="E55" s="45">
        <v>800</v>
      </c>
      <c r="F55" s="45">
        <f t="shared" si="8"/>
        <v>850</v>
      </c>
      <c r="G55" s="48">
        <f t="shared" si="9"/>
        <v>11360</v>
      </c>
      <c r="H55" s="45">
        <f t="shared" si="10"/>
        <v>710</v>
      </c>
      <c r="I55" s="20">
        <v>140</v>
      </c>
      <c r="J55" s="48">
        <v>16</v>
      </c>
      <c r="K55" s="48">
        <f t="shared" si="11"/>
        <v>2240</v>
      </c>
      <c r="L55" s="83" t="s">
        <v>461</v>
      </c>
    </row>
    <row r="56" spans="1:12" ht="24" customHeight="1" x14ac:dyDescent="0.5">
      <c r="A56" s="57">
        <v>50</v>
      </c>
      <c r="B56" s="58" t="s">
        <v>88</v>
      </c>
      <c r="C56" s="59" t="s">
        <v>605</v>
      </c>
      <c r="D56" s="45">
        <v>130</v>
      </c>
      <c r="E56" s="36">
        <v>300</v>
      </c>
      <c r="F56" s="45">
        <f t="shared" si="8"/>
        <v>430</v>
      </c>
      <c r="G56" s="48">
        <f t="shared" si="9"/>
        <v>3040</v>
      </c>
      <c r="H56" s="45">
        <f t="shared" si="10"/>
        <v>190</v>
      </c>
      <c r="I56" s="20">
        <v>240</v>
      </c>
      <c r="J56" s="48">
        <v>16</v>
      </c>
      <c r="K56" s="48">
        <f t="shared" si="11"/>
        <v>3840</v>
      </c>
      <c r="L56" s="90" t="s">
        <v>17</v>
      </c>
    </row>
    <row r="57" spans="1:12" ht="24" customHeight="1" x14ac:dyDescent="0.5">
      <c r="A57" s="57">
        <v>51</v>
      </c>
      <c r="B57" s="58" t="s">
        <v>89</v>
      </c>
      <c r="C57" s="59" t="s">
        <v>605</v>
      </c>
      <c r="D57" s="20">
        <v>50</v>
      </c>
      <c r="E57" s="36">
        <v>650</v>
      </c>
      <c r="F57" s="45">
        <f t="shared" si="8"/>
        <v>700</v>
      </c>
      <c r="G57" s="48">
        <f t="shared" si="9"/>
        <v>14700</v>
      </c>
      <c r="H57" s="45">
        <f t="shared" si="10"/>
        <v>490</v>
      </c>
      <c r="I57" s="20">
        <v>210</v>
      </c>
      <c r="J57" s="48">
        <v>30</v>
      </c>
      <c r="K57" s="48">
        <f t="shared" si="11"/>
        <v>6300</v>
      </c>
      <c r="L57" s="90"/>
    </row>
    <row r="58" spans="1:12" ht="24" customHeight="1" x14ac:dyDescent="0.5">
      <c r="A58" s="57">
        <v>52</v>
      </c>
      <c r="B58" s="58" t="s">
        <v>90</v>
      </c>
      <c r="C58" s="59" t="s">
        <v>605</v>
      </c>
      <c r="D58" s="20">
        <v>200</v>
      </c>
      <c r="E58" s="36">
        <v>0</v>
      </c>
      <c r="F58" s="45">
        <f t="shared" si="8"/>
        <v>200</v>
      </c>
      <c r="G58" s="48">
        <f t="shared" si="9"/>
        <v>12840</v>
      </c>
      <c r="H58" s="45">
        <f t="shared" si="10"/>
        <v>100</v>
      </c>
      <c r="I58" s="20">
        <v>100</v>
      </c>
      <c r="J58" s="48">
        <v>128.4</v>
      </c>
      <c r="K58" s="48">
        <f t="shared" si="11"/>
        <v>12840</v>
      </c>
      <c r="L58" s="89" t="s">
        <v>627</v>
      </c>
    </row>
    <row r="59" spans="1:12" ht="24" customHeight="1" x14ac:dyDescent="0.5">
      <c r="A59" s="57">
        <v>53</v>
      </c>
      <c r="B59" s="58" t="s">
        <v>91</v>
      </c>
      <c r="C59" s="59" t="s">
        <v>605</v>
      </c>
      <c r="D59" s="20">
        <v>550</v>
      </c>
      <c r="E59" s="36">
        <v>0</v>
      </c>
      <c r="F59" s="45">
        <f t="shared" si="8"/>
        <v>550</v>
      </c>
      <c r="G59" s="48">
        <f t="shared" si="9"/>
        <v>9000</v>
      </c>
      <c r="H59" s="45">
        <f t="shared" si="10"/>
        <v>300</v>
      </c>
      <c r="I59" s="20">
        <v>250</v>
      </c>
      <c r="J59" s="48">
        <v>30</v>
      </c>
      <c r="K59" s="48">
        <f t="shared" si="11"/>
        <v>7500</v>
      </c>
      <c r="L59" s="90" t="s">
        <v>730</v>
      </c>
    </row>
    <row r="60" spans="1:12" ht="24" customHeight="1" x14ac:dyDescent="0.5">
      <c r="A60" s="57">
        <v>54</v>
      </c>
      <c r="B60" s="58" t="s">
        <v>92</v>
      </c>
      <c r="C60" s="59" t="s">
        <v>604</v>
      </c>
      <c r="D60" s="20">
        <v>0</v>
      </c>
      <c r="E60" s="36">
        <v>10000</v>
      </c>
      <c r="F60" s="45">
        <f t="shared" si="8"/>
        <v>10000</v>
      </c>
      <c r="G60" s="48">
        <f t="shared" si="9"/>
        <v>60000</v>
      </c>
      <c r="H60" s="45">
        <f t="shared" si="10"/>
        <v>10000</v>
      </c>
      <c r="I60" s="20">
        <v>0</v>
      </c>
      <c r="J60" s="48">
        <v>6</v>
      </c>
      <c r="K60" s="48">
        <f t="shared" si="11"/>
        <v>0</v>
      </c>
      <c r="L60" s="83" t="s">
        <v>18</v>
      </c>
    </row>
    <row r="61" spans="1:12" ht="24" customHeight="1" x14ac:dyDescent="0.5">
      <c r="A61" s="57">
        <v>55</v>
      </c>
      <c r="B61" s="58" t="s">
        <v>93</v>
      </c>
      <c r="C61" s="59" t="s">
        <v>604</v>
      </c>
      <c r="D61" s="20">
        <v>0</v>
      </c>
      <c r="E61" s="36">
        <v>56400</v>
      </c>
      <c r="F61" s="45">
        <f t="shared" si="8"/>
        <v>56400</v>
      </c>
      <c r="G61" s="48">
        <f t="shared" si="9"/>
        <v>169200</v>
      </c>
      <c r="H61" s="45">
        <f t="shared" si="10"/>
        <v>56400</v>
      </c>
      <c r="I61" s="20">
        <v>0</v>
      </c>
      <c r="J61" s="48">
        <v>3</v>
      </c>
      <c r="K61" s="48">
        <f t="shared" si="11"/>
        <v>0</v>
      </c>
      <c r="L61" s="83"/>
    </row>
    <row r="62" spans="1:12" ht="24" customHeight="1" x14ac:dyDescent="0.5">
      <c r="A62" s="57">
        <v>56</v>
      </c>
      <c r="B62" s="58" t="s">
        <v>94</v>
      </c>
      <c r="C62" s="59" t="s">
        <v>604</v>
      </c>
      <c r="D62" s="45">
        <v>84</v>
      </c>
      <c r="E62" s="36">
        <v>900</v>
      </c>
      <c r="F62" s="45">
        <f t="shared" si="8"/>
        <v>984</v>
      </c>
      <c r="G62" s="48">
        <f t="shared" si="9"/>
        <v>15202</v>
      </c>
      <c r="H62" s="45">
        <f t="shared" si="10"/>
        <v>691</v>
      </c>
      <c r="I62" s="20">
        <v>293</v>
      </c>
      <c r="J62" s="48">
        <v>22</v>
      </c>
      <c r="K62" s="48">
        <f t="shared" si="11"/>
        <v>6446</v>
      </c>
      <c r="L62" s="89" t="s">
        <v>627</v>
      </c>
    </row>
    <row r="63" spans="1:12" ht="24" customHeight="1" x14ac:dyDescent="0.5">
      <c r="A63" s="57">
        <v>57</v>
      </c>
      <c r="B63" s="58" t="s">
        <v>95</v>
      </c>
      <c r="C63" s="59" t="s">
        <v>604</v>
      </c>
      <c r="D63" s="20">
        <v>740</v>
      </c>
      <c r="E63" s="36">
        <v>0</v>
      </c>
      <c r="F63" s="45">
        <f t="shared" si="8"/>
        <v>740</v>
      </c>
      <c r="G63" s="48">
        <f t="shared" si="9"/>
        <v>35250</v>
      </c>
      <c r="H63" s="45">
        <f t="shared" si="10"/>
        <v>705</v>
      </c>
      <c r="I63" s="20">
        <v>35</v>
      </c>
      <c r="J63" s="48">
        <v>50</v>
      </c>
      <c r="K63" s="48">
        <f t="shared" si="11"/>
        <v>1750</v>
      </c>
      <c r="L63" s="78" t="s">
        <v>434</v>
      </c>
    </row>
    <row r="64" spans="1:12" ht="24" customHeight="1" x14ac:dyDescent="0.5">
      <c r="A64" s="57">
        <v>58</v>
      </c>
      <c r="B64" s="58" t="s">
        <v>96</v>
      </c>
      <c r="C64" s="59" t="s">
        <v>604</v>
      </c>
      <c r="D64" s="20">
        <v>635</v>
      </c>
      <c r="E64" s="36">
        <v>800</v>
      </c>
      <c r="F64" s="45">
        <f t="shared" si="8"/>
        <v>1435</v>
      </c>
      <c r="G64" s="48">
        <f t="shared" si="9"/>
        <v>55760</v>
      </c>
      <c r="H64" s="45">
        <f t="shared" si="10"/>
        <v>820</v>
      </c>
      <c r="I64" s="20">
        <v>615</v>
      </c>
      <c r="J64" s="48">
        <v>68</v>
      </c>
      <c r="K64" s="48">
        <f t="shared" si="11"/>
        <v>41820</v>
      </c>
      <c r="L64" s="83" t="s">
        <v>433</v>
      </c>
    </row>
    <row r="65" spans="1:12" ht="24" customHeight="1" x14ac:dyDescent="0.5">
      <c r="A65" s="57">
        <v>59</v>
      </c>
      <c r="B65" s="58" t="s">
        <v>97</v>
      </c>
      <c r="C65" s="59" t="s">
        <v>604</v>
      </c>
      <c r="D65" s="20">
        <v>37</v>
      </c>
      <c r="E65" s="36">
        <v>0</v>
      </c>
      <c r="F65" s="45">
        <f t="shared" si="8"/>
        <v>37</v>
      </c>
      <c r="G65" s="48">
        <f t="shared" si="9"/>
        <v>1575</v>
      </c>
      <c r="H65" s="45">
        <f t="shared" si="10"/>
        <v>21</v>
      </c>
      <c r="I65" s="20">
        <v>16</v>
      </c>
      <c r="J65" s="48">
        <v>75</v>
      </c>
      <c r="K65" s="48">
        <f t="shared" si="11"/>
        <v>1200</v>
      </c>
      <c r="L65" s="78"/>
    </row>
    <row r="66" spans="1:12" ht="24" customHeight="1" x14ac:dyDescent="0.5">
      <c r="A66" s="57">
        <v>60</v>
      </c>
      <c r="B66" s="58" t="s">
        <v>98</v>
      </c>
      <c r="C66" s="59" t="s">
        <v>604</v>
      </c>
      <c r="D66" s="20">
        <v>0</v>
      </c>
      <c r="E66" s="36">
        <v>100</v>
      </c>
      <c r="F66" s="45">
        <f t="shared" si="8"/>
        <v>100</v>
      </c>
      <c r="G66" s="48">
        <f t="shared" si="9"/>
        <v>18000</v>
      </c>
      <c r="H66" s="45">
        <f t="shared" si="10"/>
        <v>100</v>
      </c>
      <c r="I66" s="20">
        <v>0</v>
      </c>
      <c r="J66" s="48">
        <v>180</v>
      </c>
      <c r="K66" s="48">
        <f t="shared" si="11"/>
        <v>0</v>
      </c>
      <c r="L66" s="89" t="s">
        <v>627</v>
      </c>
    </row>
    <row r="67" spans="1:12" ht="24" customHeight="1" x14ac:dyDescent="0.5">
      <c r="A67" s="57"/>
      <c r="B67" s="65" t="s">
        <v>432</v>
      </c>
      <c r="C67" s="65"/>
      <c r="D67" s="22"/>
      <c r="E67" s="23"/>
      <c r="F67" s="22"/>
      <c r="G67" s="24">
        <f>SUM(G47:G66)</f>
        <v>568237</v>
      </c>
      <c r="H67" s="22"/>
      <c r="I67" s="22"/>
      <c r="J67" s="24"/>
      <c r="K67" s="24">
        <f>SUM(K47:K66)</f>
        <v>99976</v>
      </c>
      <c r="L67" s="78" t="s">
        <v>503</v>
      </c>
    </row>
    <row r="68" spans="1:12" ht="24" customHeight="1" x14ac:dyDescent="0.5">
      <c r="B68" s="79"/>
      <c r="C68" s="79"/>
      <c r="D68" s="27"/>
      <c r="E68" s="28"/>
      <c r="F68" s="27"/>
      <c r="G68" s="49"/>
      <c r="H68" s="27"/>
      <c r="I68" s="27"/>
      <c r="J68" s="49"/>
      <c r="K68" s="49"/>
      <c r="L68" s="83" t="s">
        <v>435</v>
      </c>
    </row>
    <row r="69" spans="1:12" ht="24" customHeight="1" x14ac:dyDescent="0.5">
      <c r="A69" s="57">
        <v>61</v>
      </c>
      <c r="B69" s="58" t="s">
        <v>99</v>
      </c>
      <c r="C69" s="59" t="s">
        <v>604</v>
      </c>
      <c r="D69" s="20">
        <v>0</v>
      </c>
      <c r="E69" s="36">
        <v>320</v>
      </c>
      <c r="F69" s="45">
        <f t="shared" si="8"/>
        <v>320</v>
      </c>
      <c r="G69" s="48">
        <f t="shared" si="9"/>
        <v>64000</v>
      </c>
      <c r="H69" s="45">
        <f t="shared" si="10"/>
        <v>320</v>
      </c>
      <c r="I69" s="20">
        <v>0</v>
      </c>
      <c r="J69" s="48">
        <v>200</v>
      </c>
      <c r="K69" s="48">
        <f t="shared" si="11"/>
        <v>0</v>
      </c>
      <c r="L69" s="78" t="s">
        <v>15</v>
      </c>
    </row>
    <row r="70" spans="1:12" ht="24" customHeight="1" x14ac:dyDescent="0.5">
      <c r="A70" s="57">
        <v>62</v>
      </c>
      <c r="B70" s="58" t="s">
        <v>100</v>
      </c>
      <c r="C70" s="59" t="s">
        <v>604</v>
      </c>
      <c r="D70" s="20">
        <v>0</v>
      </c>
      <c r="E70" s="36">
        <v>60000</v>
      </c>
      <c r="F70" s="45">
        <f t="shared" si="8"/>
        <v>60000</v>
      </c>
      <c r="G70" s="48">
        <f t="shared" si="9"/>
        <v>135000</v>
      </c>
      <c r="H70" s="45">
        <f t="shared" si="10"/>
        <v>60000</v>
      </c>
      <c r="I70" s="20">
        <v>0</v>
      </c>
      <c r="J70" s="48">
        <v>2.25</v>
      </c>
      <c r="K70" s="48">
        <f t="shared" si="11"/>
        <v>0</v>
      </c>
      <c r="L70" s="78" t="s">
        <v>716</v>
      </c>
    </row>
    <row r="71" spans="1:12" ht="24" customHeight="1" x14ac:dyDescent="0.5">
      <c r="A71" s="57">
        <v>63</v>
      </c>
      <c r="B71" s="58" t="s">
        <v>101</v>
      </c>
      <c r="C71" s="59" t="s">
        <v>604</v>
      </c>
      <c r="D71" s="20">
        <v>0</v>
      </c>
      <c r="E71" s="36">
        <v>335000</v>
      </c>
      <c r="F71" s="45">
        <f t="shared" si="8"/>
        <v>335000</v>
      </c>
      <c r="G71" s="48">
        <f t="shared" si="9"/>
        <v>1283050</v>
      </c>
      <c r="H71" s="45">
        <f t="shared" si="10"/>
        <v>335000</v>
      </c>
      <c r="I71" s="20">
        <v>0</v>
      </c>
      <c r="J71" s="48">
        <v>3.83</v>
      </c>
      <c r="K71" s="48">
        <f t="shared" si="11"/>
        <v>0</v>
      </c>
      <c r="L71" s="78"/>
    </row>
    <row r="72" spans="1:12" ht="24" customHeight="1" x14ac:dyDescent="0.5">
      <c r="A72" s="57">
        <v>64</v>
      </c>
      <c r="B72" s="58" t="s">
        <v>102</v>
      </c>
      <c r="C72" s="59" t="s">
        <v>604</v>
      </c>
      <c r="D72" s="20">
        <v>0</v>
      </c>
      <c r="E72" s="36">
        <v>23000</v>
      </c>
      <c r="F72" s="45">
        <f>D72+E72</f>
        <v>23000</v>
      </c>
      <c r="G72" s="48">
        <f>H72*J72</f>
        <v>1573200.0000000002</v>
      </c>
      <c r="H72" s="45">
        <f>F72-I72</f>
        <v>23000</v>
      </c>
      <c r="I72" s="20">
        <v>0</v>
      </c>
      <c r="J72" s="48">
        <v>68.400000000000006</v>
      </c>
      <c r="K72" s="48">
        <f>I72*J72</f>
        <v>0</v>
      </c>
      <c r="L72" s="89" t="s">
        <v>627</v>
      </c>
    </row>
    <row r="73" spans="1:12" ht="24" customHeight="1" x14ac:dyDescent="0.5">
      <c r="A73" s="57">
        <v>65</v>
      </c>
      <c r="B73" s="58" t="s">
        <v>580</v>
      </c>
      <c r="C73" s="59" t="s">
        <v>604</v>
      </c>
      <c r="D73" s="20">
        <v>0</v>
      </c>
      <c r="E73" s="36">
        <v>50</v>
      </c>
      <c r="F73" s="45">
        <f t="shared" ref="F73:F92" si="12">D73+E73</f>
        <v>50</v>
      </c>
      <c r="G73" s="48">
        <f t="shared" ref="G73:G92" si="13">H73*J73</f>
        <v>9250</v>
      </c>
      <c r="H73" s="45">
        <f t="shared" ref="H73:H92" si="14">F73-I73</f>
        <v>50</v>
      </c>
      <c r="I73" s="20">
        <v>0</v>
      </c>
      <c r="J73" s="48">
        <v>185</v>
      </c>
      <c r="K73" s="48">
        <f t="shared" ref="K73:K92" si="15">I73*J73</f>
        <v>0</v>
      </c>
      <c r="L73" s="90" t="s">
        <v>460</v>
      </c>
    </row>
    <row r="74" spans="1:12" ht="24" customHeight="1" x14ac:dyDescent="0.5">
      <c r="A74" s="57">
        <v>66</v>
      </c>
      <c r="B74" s="58" t="s">
        <v>722</v>
      </c>
      <c r="C74" s="59" t="s">
        <v>604</v>
      </c>
      <c r="D74" s="20">
        <v>0</v>
      </c>
      <c r="E74" s="36">
        <v>2100</v>
      </c>
      <c r="F74" s="45">
        <f t="shared" si="12"/>
        <v>2100</v>
      </c>
      <c r="G74" s="48">
        <f t="shared" si="13"/>
        <v>147000</v>
      </c>
      <c r="H74" s="45">
        <f t="shared" si="14"/>
        <v>2100</v>
      </c>
      <c r="I74" s="20">
        <v>0</v>
      </c>
      <c r="J74" s="48">
        <v>70</v>
      </c>
      <c r="K74" s="48">
        <f t="shared" si="15"/>
        <v>0</v>
      </c>
      <c r="L74" s="90" t="s">
        <v>16</v>
      </c>
    </row>
    <row r="75" spans="1:12" ht="24" customHeight="1" x14ac:dyDescent="0.5">
      <c r="A75" s="57">
        <v>67</v>
      </c>
      <c r="B75" s="58" t="s">
        <v>103</v>
      </c>
      <c r="C75" s="59" t="s">
        <v>606</v>
      </c>
      <c r="D75" s="20">
        <v>0</v>
      </c>
      <c r="E75" s="36">
        <v>30</v>
      </c>
      <c r="F75" s="45">
        <f t="shared" si="12"/>
        <v>30</v>
      </c>
      <c r="G75" s="48">
        <f t="shared" si="13"/>
        <v>107640</v>
      </c>
      <c r="H75" s="45">
        <f t="shared" si="14"/>
        <v>30</v>
      </c>
      <c r="I75" s="20">
        <v>0</v>
      </c>
      <c r="J75" s="48">
        <v>3588</v>
      </c>
      <c r="K75" s="48">
        <f t="shared" si="15"/>
        <v>0</v>
      </c>
      <c r="L75" s="90"/>
    </row>
    <row r="76" spans="1:12" ht="24" customHeight="1" x14ac:dyDescent="0.5">
      <c r="A76" s="57">
        <v>68</v>
      </c>
      <c r="B76" s="58" t="s">
        <v>104</v>
      </c>
      <c r="C76" s="59" t="s">
        <v>606</v>
      </c>
      <c r="D76" s="20">
        <v>0</v>
      </c>
      <c r="E76" s="36">
        <v>60</v>
      </c>
      <c r="F76" s="45">
        <f t="shared" si="12"/>
        <v>60</v>
      </c>
      <c r="G76" s="48">
        <f t="shared" si="13"/>
        <v>215280</v>
      </c>
      <c r="H76" s="45">
        <f t="shared" si="14"/>
        <v>60</v>
      </c>
      <c r="I76" s="20">
        <v>0</v>
      </c>
      <c r="J76" s="48">
        <v>3588</v>
      </c>
      <c r="K76" s="48">
        <f t="shared" si="15"/>
        <v>0</v>
      </c>
      <c r="L76" s="89" t="s">
        <v>627</v>
      </c>
    </row>
    <row r="77" spans="1:12" ht="24" customHeight="1" x14ac:dyDescent="0.5">
      <c r="A77" s="57">
        <v>69</v>
      </c>
      <c r="B77" s="58" t="s">
        <v>407</v>
      </c>
      <c r="C77" s="59" t="s">
        <v>606</v>
      </c>
      <c r="D77" s="20">
        <v>0</v>
      </c>
      <c r="E77" s="36">
        <v>170</v>
      </c>
      <c r="F77" s="45">
        <f t="shared" si="12"/>
        <v>170</v>
      </c>
      <c r="G77" s="48">
        <f t="shared" si="13"/>
        <v>609960</v>
      </c>
      <c r="H77" s="45">
        <f t="shared" si="14"/>
        <v>170</v>
      </c>
      <c r="I77" s="20">
        <v>0</v>
      </c>
      <c r="J77" s="48">
        <v>3588</v>
      </c>
      <c r="K77" s="48">
        <f t="shared" si="15"/>
        <v>0</v>
      </c>
      <c r="L77" s="83" t="s">
        <v>461</v>
      </c>
    </row>
    <row r="78" spans="1:12" ht="24" customHeight="1" x14ac:dyDescent="0.5">
      <c r="A78" s="57">
        <v>70</v>
      </c>
      <c r="B78" s="58" t="s">
        <v>105</v>
      </c>
      <c r="C78" s="59" t="s">
        <v>606</v>
      </c>
      <c r="D78" s="20">
        <v>155</v>
      </c>
      <c r="E78" s="36">
        <v>700</v>
      </c>
      <c r="F78" s="45">
        <f t="shared" si="12"/>
        <v>855</v>
      </c>
      <c r="G78" s="48">
        <f t="shared" si="13"/>
        <v>60480</v>
      </c>
      <c r="H78" s="45">
        <f t="shared" si="14"/>
        <v>576</v>
      </c>
      <c r="I78" s="20">
        <v>279</v>
      </c>
      <c r="J78" s="48">
        <v>105</v>
      </c>
      <c r="K78" s="48">
        <f t="shared" si="15"/>
        <v>29295</v>
      </c>
      <c r="L78" s="90" t="s">
        <v>17</v>
      </c>
    </row>
    <row r="79" spans="1:12" ht="24" customHeight="1" x14ac:dyDescent="0.5">
      <c r="A79" s="57">
        <v>71</v>
      </c>
      <c r="B79" s="58" t="s">
        <v>106</v>
      </c>
      <c r="C79" s="59" t="s">
        <v>606</v>
      </c>
      <c r="D79" s="20">
        <v>52</v>
      </c>
      <c r="E79" s="36">
        <v>4900</v>
      </c>
      <c r="F79" s="45">
        <f t="shared" si="12"/>
        <v>4952</v>
      </c>
      <c r="G79" s="48">
        <f t="shared" si="13"/>
        <v>486570</v>
      </c>
      <c r="H79" s="45">
        <f t="shared" si="14"/>
        <v>4634</v>
      </c>
      <c r="I79" s="20">
        <v>318</v>
      </c>
      <c r="J79" s="48">
        <v>105</v>
      </c>
      <c r="K79" s="48">
        <f t="shared" si="15"/>
        <v>33390</v>
      </c>
      <c r="L79" s="90"/>
    </row>
    <row r="80" spans="1:12" ht="24" customHeight="1" x14ac:dyDescent="0.5">
      <c r="A80" s="57">
        <v>72</v>
      </c>
      <c r="B80" s="58" t="s">
        <v>107</v>
      </c>
      <c r="C80" s="59" t="s">
        <v>606</v>
      </c>
      <c r="D80" s="20">
        <v>728</v>
      </c>
      <c r="E80" s="36">
        <v>39900</v>
      </c>
      <c r="F80" s="45">
        <f t="shared" si="12"/>
        <v>40628</v>
      </c>
      <c r="G80" s="48">
        <f t="shared" si="13"/>
        <v>4216485</v>
      </c>
      <c r="H80" s="45">
        <f t="shared" si="14"/>
        <v>40157</v>
      </c>
      <c r="I80" s="20">
        <v>471</v>
      </c>
      <c r="J80" s="48">
        <v>105</v>
      </c>
      <c r="K80" s="48">
        <f t="shared" si="15"/>
        <v>49455</v>
      </c>
      <c r="L80" s="89" t="s">
        <v>627</v>
      </c>
    </row>
    <row r="81" spans="1:12" ht="24" customHeight="1" x14ac:dyDescent="0.5">
      <c r="A81" s="57">
        <v>73</v>
      </c>
      <c r="B81" s="58" t="s">
        <v>108</v>
      </c>
      <c r="C81" s="59" t="s">
        <v>606</v>
      </c>
      <c r="D81" s="20">
        <v>0</v>
      </c>
      <c r="E81" s="36">
        <v>8000</v>
      </c>
      <c r="F81" s="45">
        <f t="shared" si="12"/>
        <v>8000</v>
      </c>
      <c r="G81" s="48">
        <f t="shared" si="13"/>
        <v>1078000</v>
      </c>
      <c r="H81" s="45">
        <f t="shared" si="14"/>
        <v>7700</v>
      </c>
      <c r="I81" s="20">
        <v>300</v>
      </c>
      <c r="J81" s="48">
        <v>140</v>
      </c>
      <c r="K81" s="48">
        <f t="shared" si="15"/>
        <v>42000</v>
      </c>
      <c r="L81" s="90" t="s">
        <v>730</v>
      </c>
    </row>
    <row r="82" spans="1:12" ht="24" customHeight="1" x14ac:dyDescent="0.5">
      <c r="A82" s="57">
        <v>74</v>
      </c>
      <c r="B82" s="58" t="s">
        <v>109</v>
      </c>
      <c r="C82" s="59" t="s">
        <v>606</v>
      </c>
      <c r="D82" s="20">
        <v>276</v>
      </c>
      <c r="E82" s="36">
        <v>1700</v>
      </c>
      <c r="F82" s="45">
        <f t="shared" si="12"/>
        <v>1976</v>
      </c>
      <c r="G82" s="48">
        <f t="shared" si="13"/>
        <v>165060</v>
      </c>
      <c r="H82" s="45">
        <f t="shared" si="14"/>
        <v>1572</v>
      </c>
      <c r="I82" s="20">
        <v>404</v>
      </c>
      <c r="J82" s="48">
        <v>105</v>
      </c>
      <c r="K82" s="48">
        <f t="shared" si="15"/>
        <v>42420</v>
      </c>
      <c r="L82" s="83" t="s">
        <v>18</v>
      </c>
    </row>
    <row r="83" spans="1:12" ht="24" customHeight="1" x14ac:dyDescent="0.5">
      <c r="A83" s="57">
        <v>75</v>
      </c>
      <c r="B83" s="58" t="s">
        <v>502</v>
      </c>
      <c r="C83" s="59" t="s">
        <v>615</v>
      </c>
      <c r="D83" s="20">
        <v>0</v>
      </c>
      <c r="E83" s="36">
        <v>6000</v>
      </c>
      <c r="F83" s="45">
        <f t="shared" si="12"/>
        <v>6000</v>
      </c>
      <c r="G83" s="48">
        <f t="shared" si="13"/>
        <v>45000</v>
      </c>
      <c r="H83" s="45">
        <f t="shared" si="14"/>
        <v>6000</v>
      </c>
      <c r="I83" s="20">
        <v>0</v>
      </c>
      <c r="J83" s="48">
        <v>7.5</v>
      </c>
      <c r="K83" s="48">
        <f t="shared" si="15"/>
        <v>0</v>
      </c>
      <c r="L83" s="83"/>
    </row>
    <row r="84" spans="1:12" ht="24" customHeight="1" x14ac:dyDescent="0.5">
      <c r="A84" s="57">
        <v>76</v>
      </c>
      <c r="B84" s="58" t="s">
        <v>110</v>
      </c>
      <c r="C84" s="59" t="s">
        <v>615</v>
      </c>
      <c r="D84" s="20">
        <v>0</v>
      </c>
      <c r="E84" s="36">
        <v>225000</v>
      </c>
      <c r="F84" s="45">
        <f t="shared" si="12"/>
        <v>225000</v>
      </c>
      <c r="G84" s="48">
        <f t="shared" si="13"/>
        <v>1777500</v>
      </c>
      <c r="H84" s="45">
        <f t="shared" si="14"/>
        <v>225000</v>
      </c>
      <c r="I84" s="20">
        <v>0</v>
      </c>
      <c r="J84" s="48">
        <v>7.9</v>
      </c>
      <c r="K84" s="48">
        <f t="shared" si="15"/>
        <v>0</v>
      </c>
      <c r="L84" s="89" t="s">
        <v>627</v>
      </c>
    </row>
    <row r="85" spans="1:12" ht="24" customHeight="1" x14ac:dyDescent="0.5">
      <c r="A85" s="57">
        <v>77</v>
      </c>
      <c r="B85" s="58" t="s">
        <v>111</v>
      </c>
      <c r="C85" s="59" t="s">
        <v>606</v>
      </c>
      <c r="D85" s="20">
        <v>14</v>
      </c>
      <c r="E85" s="36">
        <v>340</v>
      </c>
      <c r="F85" s="45">
        <f t="shared" si="12"/>
        <v>354</v>
      </c>
      <c r="G85" s="48">
        <f t="shared" si="13"/>
        <v>323000</v>
      </c>
      <c r="H85" s="45">
        <f t="shared" si="14"/>
        <v>340</v>
      </c>
      <c r="I85" s="20">
        <v>14</v>
      </c>
      <c r="J85" s="48">
        <v>950</v>
      </c>
      <c r="K85" s="48">
        <f t="shared" si="15"/>
        <v>13300</v>
      </c>
      <c r="L85" s="78" t="s">
        <v>434</v>
      </c>
    </row>
    <row r="86" spans="1:12" ht="24" customHeight="1" x14ac:dyDescent="0.5">
      <c r="A86" s="57">
        <v>78</v>
      </c>
      <c r="B86" s="58" t="s">
        <v>112</v>
      </c>
      <c r="C86" s="59" t="s">
        <v>606</v>
      </c>
      <c r="D86" s="20">
        <v>0</v>
      </c>
      <c r="E86" s="36">
        <v>1980</v>
      </c>
      <c r="F86" s="45">
        <f t="shared" si="12"/>
        <v>1980</v>
      </c>
      <c r="G86" s="48">
        <f t="shared" si="13"/>
        <v>1856300</v>
      </c>
      <c r="H86" s="45">
        <f t="shared" si="14"/>
        <v>1954</v>
      </c>
      <c r="I86" s="20">
        <v>26</v>
      </c>
      <c r="J86" s="48">
        <v>950</v>
      </c>
      <c r="K86" s="48">
        <f t="shared" si="15"/>
        <v>24700</v>
      </c>
      <c r="L86" s="83" t="s">
        <v>433</v>
      </c>
    </row>
    <row r="87" spans="1:12" ht="24" customHeight="1" x14ac:dyDescent="0.5">
      <c r="A87" s="57">
        <v>79</v>
      </c>
      <c r="B87" s="58" t="s">
        <v>113</v>
      </c>
      <c r="C87" s="59" t="s">
        <v>606</v>
      </c>
      <c r="D87" s="20">
        <v>157</v>
      </c>
      <c r="E87" s="36">
        <v>1520</v>
      </c>
      <c r="F87" s="45">
        <f t="shared" si="12"/>
        <v>1677</v>
      </c>
      <c r="G87" s="48">
        <f t="shared" si="13"/>
        <v>1593150</v>
      </c>
      <c r="H87" s="45">
        <f t="shared" si="14"/>
        <v>1677</v>
      </c>
      <c r="I87" s="20">
        <v>0</v>
      </c>
      <c r="J87" s="48">
        <v>950</v>
      </c>
      <c r="K87" s="48">
        <f t="shared" si="15"/>
        <v>0</v>
      </c>
      <c r="L87" s="78"/>
    </row>
    <row r="88" spans="1:12" ht="24" customHeight="1" x14ac:dyDescent="0.5">
      <c r="A88" s="57">
        <v>80</v>
      </c>
      <c r="B88" s="58" t="s">
        <v>114</v>
      </c>
      <c r="C88" s="59" t="s">
        <v>606</v>
      </c>
      <c r="D88" s="20">
        <v>20</v>
      </c>
      <c r="E88" s="36">
        <v>600</v>
      </c>
      <c r="F88" s="45">
        <f t="shared" si="12"/>
        <v>620</v>
      </c>
      <c r="G88" s="48">
        <f t="shared" si="13"/>
        <v>582350</v>
      </c>
      <c r="H88" s="45">
        <f t="shared" si="14"/>
        <v>613</v>
      </c>
      <c r="I88" s="20">
        <v>7</v>
      </c>
      <c r="J88" s="48">
        <v>950</v>
      </c>
      <c r="K88" s="48">
        <f t="shared" si="15"/>
        <v>6650</v>
      </c>
      <c r="L88" s="89" t="s">
        <v>627</v>
      </c>
    </row>
    <row r="89" spans="1:12" ht="24" customHeight="1" x14ac:dyDescent="0.5">
      <c r="A89" s="57"/>
      <c r="B89" s="65" t="s">
        <v>432</v>
      </c>
      <c r="C89" s="65"/>
      <c r="D89" s="22"/>
      <c r="E89" s="23"/>
      <c r="F89" s="22"/>
      <c r="G89" s="24">
        <f>SUM(G69:G88)</f>
        <v>16328275</v>
      </c>
      <c r="H89" s="22"/>
      <c r="I89" s="22"/>
      <c r="J89" s="24"/>
      <c r="K89" s="24">
        <f>SUM(K69:K88)</f>
        <v>241210</v>
      </c>
      <c r="L89" s="78" t="s">
        <v>503</v>
      </c>
    </row>
    <row r="90" spans="1:12" ht="24" customHeight="1" x14ac:dyDescent="0.5">
      <c r="B90" s="79"/>
      <c r="C90" s="79"/>
      <c r="D90" s="27"/>
      <c r="E90" s="28"/>
      <c r="F90" s="27"/>
      <c r="G90" s="49"/>
      <c r="H90" s="27"/>
      <c r="I90" s="27"/>
      <c r="J90" s="49"/>
      <c r="K90" s="49"/>
      <c r="L90" s="83" t="s">
        <v>435</v>
      </c>
    </row>
    <row r="91" spans="1:12" ht="24" customHeight="1" x14ac:dyDescent="0.5">
      <c r="A91" s="57">
        <v>81</v>
      </c>
      <c r="B91" s="58" t="s">
        <v>115</v>
      </c>
      <c r="C91" s="59" t="s">
        <v>606</v>
      </c>
      <c r="D91" s="20">
        <v>0</v>
      </c>
      <c r="E91" s="36">
        <v>380</v>
      </c>
      <c r="F91" s="45">
        <f t="shared" si="12"/>
        <v>380</v>
      </c>
      <c r="G91" s="48">
        <f t="shared" si="13"/>
        <v>345800</v>
      </c>
      <c r="H91" s="45">
        <f t="shared" si="14"/>
        <v>364</v>
      </c>
      <c r="I91" s="20">
        <v>16</v>
      </c>
      <c r="J91" s="48">
        <v>950</v>
      </c>
      <c r="K91" s="48">
        <f t="shared" si="15"/>
        <v>15200</v>
      </c>
      <c r="L91" s="78" t="s">
        <v>15</v>
      </c>
    </row>
    <row r="92" spans="1:12" ht="24" customHeight="1" x14ac:dyDescent="0.5">
      <c r="A92" s="57">
        <v>82</v>
      </c>
      <c r="B92" s="58" t="s">
        <v>116</v>
      </c>
      <c r="C92" s="59" t="s">
        <v>606</v>
      </c>
      <c r="D92" s="20">
        <v>41</v>
      </c>
      <c r="E92" s="36">
        <v>110</v>
      </c>
      <c r="F92" s="45">
        <f t="shared" si="12"/>
        <v>151</v>
      </c>
      <c r="G92" s="48">
        <f t="shared" si="13"/>
        <v>86450</v>
      </c>
      <c r="H92" s="45">
        <f t="shared" si="14"/>
        <v>91</v>
      </c>
      <c r="I92" s="20">
        <v>60</v>
      </c>
      <c r="J92" s="48">
        <v>950</v>
      </c>
      <c r="K92" s="48">
        <f t="shared" si="15"/>
        <v>57000</v>
      </c>
      <c r="L92" s="78" t="s">
        <v>716</v>
      </c>
    </row>
    <row r="93" spans="1:12" ht="24" customHeight="1" x14ac:dyDescent="0.5">
      <c r="A93" s="57">
        <v>83</v>
      </c>
      <c r="B93" s="58" t="s">
        <v>723</v>
      </c>
      <c r="C93" s="59" t="s">
        <v>606</v>
      </c>
      <c r="D93" s="45">
        <v>0</v>
      </c>
      <c r="E93" s="36">
        <v>5</v>
      </c>
      <c r="F93" s="45">
        <f>D93+E93</f>
        <v>5</v>
      </c>
      <c r="G93" s="48">
        <f>H93*J93</f>
        <v>4750</v>
      </c>
      <c r="H93" s="45">
        <f>F93-I93</f>
        <v>5</v>
      </c>
      <c r="I93" s="20">
        <v>0</v>
      </c>
      <c r="J93" s="48">
        <v>950</v>
      </c>
      <c r="K93" s="48">
        <f>I93*J93</f>
        <v>0</v>
      </c>
      <c r="L93" s="78"/>
    </row>
    <row r="94" spans="1:12" ht="24" customHeight="1" x14ac:dyDescent="0.5">
      <c r="A94" s="57">
        <v>84</v>
      </c>
      <c r="B94" s="58" t="s">
        <v>117</v>
      </c>
      <c r="C94" s="59" t="s">
        <v>606</v>
      </c>
      <c r="D94" s="20">
        <v>32</v>
      </c>
      <c r="E94" s="36">
        <v>1000</v>
      </c>
      <c r="F94" s="45">
        <f t="shared" ref="F94:F113" si="16">D94+E94</f>
        <v>1032</v>
      </c>
      <c r="G94" s="48">
        <f t="shared" ref="G94:G113" si="17">H94*J94</f>
        <v>355796.4</v>
      </c>
      <c r="H94" s="45">
        <f t="shared" ref="H94:H113" si="18">F94-I94</f>
        <v>978</v>
      </c>
      <c r="I94" s="20">
        <v>54</v>
      </c>
      <c r="J94" s="48">
        <v>363.8</v>
      </c>
      <c r="K94" s="48">
        <f t="shared" ref="K94:K113" si="19">I94*J94</f>
        <v>19645.2</v>
      </c>
      <c r="L94" s="89" t="s">
        <v>627</v>
      </c>
    </row>
    <row r="95" spans="1:12" ht="24" customHeight="1" x14ac:dyDescent="0.5">
      <c r="A95" s="57">
        <v>85</v>
      </c>
      <c r="B95" s="58" t="s">
        <v>118</v>
      </c>
      <c r="C95" s="59" t="s">
        <v>606</v>
      </c>
      <c r="D95" s="20">
        <v>14</v>
      </c>
      <c r="E95" s="36">
        <v>60</v>
      </c>
      <c r="F95" s="45">
        <f t="shared" si="16"/>
        <v>74</v>
      </c>
      <c r="G95" s="48">
        <f t="shared" si="17"/>
        <v>46224</v>
      </c>
      <c r="H95" s="45">
        <f t="shared" si="18"/>
        <v>72</v>
      </c>
      <c r="I95" s="20">
        <v>2</v>
      </c>
      <c r="J95" s="48">
        <v>642</v>
      </c>
      <c r="K95" s="48">
        <f t="shared" si="19"/>
        <v>1284</v>
      </c>
      <c r="L95" s="90" t="s">
        <v>460</v>
      </c>
    </row>
    <row r="96" spans="1:12" ht="24" customHeight="1" x14ac:dyDescent="0.5">
      <c r="A96" s="57">
        <v>86</v>
      </c>
      <c r="B96" s="58" t="s">
        <v>119</v>
      </c>
      <c r="C96" s="59" t="s">
        <v>606</v>
      </c>
      <c r="D96" s="20">
        <v>82</v>
      </c>
      <c r="E96" s="36">
        <v>150</v>
      </c>
      <c r="F96" s="45">
        <f t="shared" si="16"/>
        <v>232</v>
      </c>
      <c r="G96" s="48">
        <f t="shared" si="17"/>
        <v>99766.799999999988</v>
      </c>
      <c r="H96" s="45">
        <f t="shared" si="18"/>
        <v>222</v>
      </c>
      <c r="I96" s="20">
        <v>10</v>
      </c>
      <c r="J96" s="48">
        <v>449.4</v>
      </c>
      <c r="K96" s="48">
        <f t="shared" si="19"/>
        <v>4494</v>
      </c>
      <c r="L96" s="90" t="s">
        <v>16</v>
      </c>
    </row>
    <row r="97" spans="1:12" ht="24" customHeight="1" x14ac:dyDescent="0.5">
      <c r="A97" s="57">
        <v>87</v>
      </c>
      <c r="B97" s="58" t="s">
        <v>479</v>
      </c>
      <c r="C97" s="59" t="s">
        <v>606</v>
      </c>
      <c r="D97" s="20">
        <v>21</v>
      </c>
      <c r="E97" s="36">
        <v>24</v>
      </c>
      <c r="F97" s="45">
        <f t="shared" si="16"/>
        <v>45</v>
      </c>
      <c r="G97" s="48">
        <f t="shared" si="17"/>
        <v>49500</v>
      </c>
      <c r="H97" s="45">
        <f t="shared" si="18"/>
        <v>45</v>
      </c>
      <c r="I97" s="20">
        <v>0</v>
      </c>
      <c r="J97" s="48">
        <v>1100</v>
      </c>
      <c r="K97" s="48">
        <f t="shared" si="19"/>
        <v>0</v>
      </c>
      <c r="L97" s="90"/>
    </row>
    <row r="98" spans="1:12" ht="24" customHeight="1" x14ac:dyDescent="0.5">
      <c r="A98" s="57">
        <v>88</v>
      </c>
      <c r="B98" s="58" t="s">
        <v>392</v>
      </c>
      <c r="C98" s="59" t="s">
        <v>606</v>
      </c>
      <c r="D98" s="20">
        <v>35</v>
      </c>
      <c r="E98" s="36">
        <v>0</v>
      </c>
      <c r="F98" s="45">
        <f t="shared" si="16"/>
        <v>35</v>
      </c>
      <c r="G98" s="48">
        <f t="shared" si="17"/>
        <v>18297</v>
      </c>
      <c r="H98" s="45">
        <f t="shared" si="18"/>
        <v>19</v>
      </c>
      <c r="I98" s="20">
        <v>16</v>
      </c>
      <c r="J98" s="48">
        <v>963</v>
      </c>
      <c r="K98" s="48">
        <f t="shared" si="19"/>
        <v>15408</v>
      </c>
      <c r="L98" s="89" t="s">
        <v>627</v>
      </c>
    </row>
    <row r="99" spans="1:12" ht="24" customHeight="1" x14ac:dyDescent="0.5">
      <c r="A99" s="57">
        <v>89</v>
      </c>
      <c r="B99" s="58" t="s">
        <v>120</v>
      </c>
      <c r="C99" s="59" t="s">
        <v>606</v>
      </c>
      <c r="D99" s="20">
        <v>0</v>
      </c>
      <c r="E99" s="36">
        <v>72</v>
      </c>
      <c r="F99" s="45">
        <f t="shared" si="16"/>
        <v>72</v>
      </c>
      <c r="G99" s="48">
        <f t="shared" si="17"/>
        <v>67410</v>
      </c>
      <c r="H99" s="45">
        <f t="shared" si="18"/>
        <v>63</v>
      </c>
      <c r="I99" s="20">
        <v>9</v>
      </c>
      <c r="J99" s="48">
        <v>1070</v>
      </c>
      <c r="K99" s="48">
        <f t="shared" si="19"/>
        <v>9630</v>
      </c>
      <c r="L99" s="83" t="s">
        <v>461</v>
      </c>
    </row>
    <row r="100" spans="1:12" ht="24" customHeight="1" x14ac:dyDescent="0.5">
      <c r="A100" s="57">
        <v>90</v>
      </c>
      <c r="B100" s="58" t="s">
        <v>408</v>
      </c>
      <c r="C100" s="59" t="s">
        <v>606</v>
      </c>
      <c r="D100" s="20">
        <v>0</v>
      </c>
      <c r="E100" s="36">
        <v>280</v>
      </c>
      <c r="F100" s="45">
        <f t="shared" si="16"/>
        <v>280</v>
      </c>
      <c r="G100" s="48">
        <f t="shared" si="17"/>
        <v>117742.79999999999</v>
      </c>
      <c r="H100" s="45">
        <f t="shared" si="18"/>
        <v>262</v>
      </c>
      <c r="I100" s="20">
        <v>18</v>
      </c>
      <c r="J100" s="48">
        <v>449.4</v>
      </c>
      <c r="K100" s="48">
        <f t="shared" si="19"/>
        <v>8089.2</v>
      </c>
      <c r="L100" s="90" t="s">
        <v>17</v>
      </c>
    </row>
    <row r="101" spans="1:12" ht="24" customHeight="1" x14ac:dyDescent="0.5">
      <c r="A101" s="57">
        <v>91</v>
      </c>
      <c r="B101" s="58" t="s">
        <v>398</v>
      </c>
      <c r="C101" s="59" t="s">
        <v>606</v>
      </c>
      <c r="D101" s="20">
        <v>0</v>
      </c>
      <c r="E101" s="36">
        <v>12</v>
      </c>
      <c r="F101" s="45">
        <f t="shared" si="16"/>
        <v>12</v>
      </c>
      <c r="G101" s="48">
        <f t="shared" si="17"/>
        <v>12840</v>
      </c>
      <c r="H101" s="45">
        <f t="shared" si="18"/>
        <v>12</v>
      </c>
      <c r="I101" s="20">
        <v>0</v>
      </c>
      <c r="J101" s="48">
        <v>1070</v>
      </c>
      <c r="K101" s="48">
        <f t="shared" si="19"/>
        <v>0</v>
      </c>
      <c r="L101" s="90"/>
    </row>
    <row r="102" spans="1:12" ht="24" customHeight="1" x14ac:dyDescent="0.5">
      <c r="A102" s="57">
        <v>92</v>
      </c>
      <c r="B102" s="58" t="s">
        <v>121</v>
      </c>
      <c r="C102" s="59" t="s">
        <v>606</v>
      </c>
      <c r="D102" s="45">
        <v>21</v>
      </c>
      <c r="E102" s="36">
        <v>1700</v>
      </c>
      <c r="F102" s="45">
        <f t="shared" si="16"/>
        <v>1721</v>
      </c>
      <c r="G102" s="48">
        <f t="shared" si="17"/>
        <v>743757</v>
      </c>
      <c r="H102" s="45">
        <f t="shared" si="18"/>
        <v>1655</v>
      </c>
      <c r="I102" s="20">
        <v>66</v>
      </c>
      <c r="J102" s="48">
        <v>449.4</v>
      </c>
      <c r="K102" s="48">
        <f t="shared" si="19"/>
        <v>29660.399999999998</v>
      </c>
      <c r="L102" s="89" t="s">
        <v>627</v>
      </c>
    </row>
    <row r="103" spans="1:12" ht="24" customHeight="1" x14ac:dyDescent="0.5">
      <c r="A103" s="57">
        <v>93</v>
      </c>
      <c r="B103" s="58" t="s">
        <v>122</v>
      </c>
      <c r="C103" s="59" t="s">
        <v>606</v>
      </c>
      <c r="D103" s="20">
        <v>15</v>
      </c>
      <c r="E103" s="36">
        <v>48</v>
      </c>
      <c r="F103" s="45">
        <f t="shared" si="16"/>
        <v>63</v>
      </c>
      <c r="G103" s="48">
        <f t="shared" si="17"/>
        <v>65270</v>
      </c>
      <c r="H103" s="45">
        <f t="shared" si="18"/>
        <v>61</v>
      </c>
      <c r="I103" s="20">
        <v>2</v>
      </c>
      <c r="J103" s="48">
        <v>1070</v>
      </c>
      <c r="K103" s="48">
        <f t="shared" si="19"/>
        <v>2140</v>
      </c>
      <c r="L103" s="90" t="s">
        <v>730</v>
      </c>
    </row>
    <row r="104" spans="1:12" ht="24" customHeight="1" x14ac:dyDescent="0.5">
      <c r="A104" s="57">
        <v>94</v>
      </c>
      <c r="B104" s="58" t="s">
        <v>123</v>
      </c>
      <c r="C104" s="59" t="s">
        <v>606</v>
      </c>
      <c r="D104" s="20">
        <v>0</v>
      </c>
      <c r="E104" s="36">
        <v>2400</v>
      </c>
      <c r="F104" s="45">
        <f t="shared" si="16"/>
        <v>2400</v>
      </c>
      <c r="G104" s="48">
        <f t="shared" si="17"/>
        <v>1038114</v>
      </c>
      <c r="H104" s="45">
        <f t="shared" si="18"/>
        <v>2310</v>
      </c>
      <c r="I104" s="20">
        <v>90</v>
      </c>
      <c r="J104" s="48">
        <v>449.4</v>
      </c>
      <c r="K104" s="48">
        <f t="shared" si="19"/>
        <v>40446</v>
      </c>
      <c r="L104" s="83" t="s">
        <v>18</v>
      </c>
    </row>
    <row r="105" spans="1:12" ht="24" customHeight="1" x14ac:dyDescent="0.5">
      <c r="A105" s="57">
        <v>95</v>
      </c>
      <c r="B105" s="58" t="s">
        <v>459</v>
      </c>
      <c r="C105" s="59" t="s">
        <v>606</v>
      </c>
      <c r="D105" s="20">
        <v>12</v>
      </c>
      <c r="E105" s="36">
        <v>304</v>
      </c>
      <c r="F105" s="45">
        <f t="shared" si="16"/>
        <v>316</v>
      </c>
      <c r="G105" s="48">
        <f t="shared" si="17"/>
        <v>335980</v>
      </c>
      <c r="H105" s="45">
        <f t="shared" si="18"/>
        <v>314</v>
      </c>
      <c r="I105" s="20">
        <v>2</v>
      </c>
      <c r="J105" s="48">
        <v>1070</v>
      </c>
      <c r="K105" s="48">
        <f t="shared" si="19"/>
        <v>2140</v>
      </c>
      <c r="L105" s="83"/>
    </row>
    <row r="106" spans="1:12" ht="24" customHeight="1" x14ac:dyDescent="0.5">
      <c r="A106" s="57">
        <v>96</v>
      </c>
      <c r="B106" s="58" t="s">
        <v>124</v>
      </c>
      <c r="C106" s="59" t="s">
        <v>50</v>
      </c>
      <c r="D106" s="20">
        <v>0</v>
      </c>
      <c r="E106" s="36">
        <v>12800</v>
      </c>
      <c r="F106" s="45">
        <f t="shared" si="16"/>
        <v>12800</v>
      </c>
      <c r="G106" s="48">
        <f t="shared" si="17"/>
        <v>958720.00000000012</v>
      </c>
      <c r="H106" s="45">
        <f t="shared" si="18"/>
        <v>12800</v>
      </c>
      <c r="I106" s="20">
        <v>0</v>
      </c>
      <c r="J106" s="48">
        <v>74.900000000000006</v>
      </c>
      <c r="K106" s="48">
        <f t="shared" si="19"/>
        <v>0</v>
      </c>
      <c r="L106" s="89" t="s">
        <v>627</v>
      </c>
    </row>
    <row r="107" spans="1:12" ht="24" customHeight="1" x14ac:dyDescent="0.5">
      <c r="A107" s="57">
        <v>97</v>
      </c>
      <c r="B107" s="58" t="s">
        <v>125</v>
      </c>
      <c r="C107" s="59" t="s">
        <v>605</v>
      </c>
      <c r="D107" s="20">
        <v>632</v>
      </c>
      <c r="E107" s="36">
        <v>223000</v>
      </c>
      <c r="F107" s="45">
        <f t="shared" si="16"/>
        <v>223632</v>
      </c>
      <c r="G107" s="48">
        <f>H107*J107</f>
        <v>1751147.7000000002</v>
      </c>
      <c r="H107" s="45">
        <f t="shared" si="18"/>
        <v>213035</v>
      </c>
      <c r="I107" s="20">
        <v>10597</v>
      </c>
      <c r="J107" s="48">
        <v>8.2200000000000006</v>
      </c>
      <c r="K107" s="48">
        <f t="shared" si="19"/>
        <v>87107.340000000011</v>
      </c>
      <c r="L107" s="78" t="s">
        <v>434</v>
      </c>
    </row>
    <row r="108" spans="1:12" ht="24" customHeight="1" x14ac:dyDescent="0.5">
      <c r="A108" s="57">
        <v>98</v>
      </c>
      <c r="B108" s="58" t="s">
        <v>126</v>
      </c>
      <c r="C108" s="59" t="s">
        <v>605</v>
      </c>
      <c r="D108" s="20">
        <v>283</v>
      </c>
      <c r="E108" s="36">
        <v>6000</v>
      </c>
      <c r="F108" s="45">
        <f>D108+E108</f>
        <v>6283</v>
      </c>
      <c r="G108" s="48">
        <f>H108*J108</f>
        <v>88830</v>
      </c>
      <c r="H108" s="45">
        <f>F108-I108</f>
        <v>5922</v>
      </c>
      <c r="I108" s="20">
        <v>361</v>
      </c>
      <c r="J108" s="48">
        <v>15</v>
      </c>
      <c r="K108" s="48">
        <f>I108*J108</f>
        <v>5415</v>
      </c>
      <c r="L108" s="83" t="s">
        <v>433</v>
      </c>
    </row>
    <row r="109" spans="1:12" ht="24" customHeight="1" x14ac:dyDescent="0.5">
      <c r="A109" s="57">
        <v>99</v>
      </c>
      <c r="B109" s="58" t="s">
        <v>127</v>
      </c>
      <c r="C109" s="59" t="s">
        <v>38</v>
      </c>
      <c r="D109" s="20">
        <v>0</v>
      </c>
      <c r="E109" s="36">
        <v>200</v>
      </c>
      <c r="F109" s="45">
        <f t="shared" si="16"/>
        <v>200</v>
      </c>
      <c r="G109" s="48">
        <f t="shared" si="17"/>
        <v>18000</v>
      </c>
      <c r="H109" s="45">
        <f t="shared" si="18"/>
        <v>200</v>
      </c>
      <c r="I109" s="20">
        <v>0</v>
      </c>
      <c r="J109" s="48">
        <v>90</v>
      </c>
      <c r="K109" s="48">
        <f t="shared" si="19"/>
        <v>0</v>
      </c>
      <c r="L109" s="78"/>
    </row>
    <row r="110" spans="1:12" ht="24" customHeight="1" x14ac:dyDescent="0.5">
      <c r="A110" s="57">
        <v>100</v>
      </c>
      <c r="B110" s="58" t="s">
        <v>128</v>
      </c>
      <c r="C110" s="59" t="s">
        <v>50</v>
      </c>
      <c r="D110" s="20">
        <v>0</v>
      </c>
      <c r="E110" s="36">
        <v>14700</v>
      </c>
      <c r="F110" s="45">
        <f>D110+E110</f>
        <v>14700</v>
      </c>
      <c r="G110" s="48">
        <f>H110*J110</f>
        <v>1258320</v>
      </c>
      <c r="H110" s="45">
        <f>F110-I110</f>
        <v>14700</v>
      </c>
      <c r="I110" s="20">
        <v>0</v>
      </c>
      <c r="J110" s="48">
        <v>85.6</v>
      </c>
      <c r="K110" s="48">
        <f>I110*J110</f>
        <v>0</v>
      </c>
      <c r="L110" s="89" t="s">
        <v>627</v>
      </c>
    </row>
    <row r="111" spans="1:12" ht="24" customHeight="1" x14ac:dyDescent="0.5">
      <c r="A111" s="57"/>
      <c r="B111" s="65" t="s">
        <v>432</v>
      </c>
      <c r="C111" s="65"/>
      <c r="D111" s="22"/>
      <c r="E111" s="23"/>
      <c r="F111" s="22"/>
      <c r="G111" s="24">
        <f>SUM(G91:G109)</f>
        <v>6204395.7000000002</v>
      </c>
      <c r="H111" s="22"/>
      <c r="I111" s="22"/>
      <c r="J111" s="24"/>
      <c r="K111" s="24">
        <f>SUM(K91:K110)</f>
        <v>297659.14</v>
      </c>
      <c r="L111" s="78" t="s">
        <v>503</v>
      </c>
    </row>
    <row r="112" spans="1:12" ht="24" customHeight="1" x14ac:dyDescent="0.5">
      <c r="B112" s="79"/>
      <c r="C112" s="79"/>
      <c r="D112" s="27"/>
      <c r="E112" s="28"/>
      <c r="F112" s="27"/>
      <c r="G112" s="49"/>
      <c r="H112" s="27"/>
      <c r="I112" s="27"/>
      <c r="J112" s="49"/>
      <c r="K112" s="49"/>
      <c r="L112" s="83" t="s">
        <v>435</v>
      </c>
    </row>
    <row r="113" spans="1:12" ht="24" customHeight="1" x14ac:dyDescent="0.5">
      <c r="A113" s="57">
        <v>101</v>
      </c>
      <c r="B113" s="58" t="s">
        <v>129</v>
      </c>
      <c r="C113" s="59" t="s">
        <v>606</v>
      </c>
      <c r="D113" s="20">
        <v>20</v>
      </c>
      <c r="E113" s="36">
        <v>120</v>
      </c>
      <c r="F113" s="45">
        <f t="shared" si="16"/>
        <v>140</v>
      </c>
      <c r="G113" s="48">
        <f t="shared" si="17"/>
        <v>179760</v>
      </c>
      <c r="H113" s="45">
        <f t="shared" si="18"/>
        <v>140</v>
      </c>
      <c r="I113" s="20">
        <v>0</v>
      </c>
      <c r="J113" s="48">
        <v>1284</v>
      </c>
      <c r="K113" s="48">
        <f t="shared" si="19"/>
        <v>0</v>
      </c>
      <c r="L113" s="78" t="s">
        <v>15</v>
      </c>
    </row>
    <row r="114" spans="1:12" ht="24" customHeight="1" x14ac:dyDescent="0.5">
      <c r="A114" s="57">
        <v>102</v>
      </c>
      <c r="B114" s="58" t="s">
        <v>130</v>
      </c>
      <c r="C114" s="59" t="s">
        <v>606</v>
      </c>
      <c r="D114" s="20">
        <v>0</v>
      </c>
      <c r="E114" s="36">
        <v>560</v>
      </c>
      <c r="F114" s="45">
        <f>D114+E114</f>
        <v>560</v>
      </c>
      <c r="G114" s="48">
        <f>H114*J114</f>
        <v>820904</v>
      </c>
      <c r="H114" s="45">
        <f>F114-I114</f>
        <v>560</v>
      </c>
      <c r="I114" s="20">
        <v>0</v>
      </c>
      <c r="J114" s="48">
        <v>1465.9</v>
      </c>
      <c r="K114" s="48">
        <f>I114*J114</f>
        <v>0</v>
      </c>
      <c r="L114" s="78" t="s">
        <v>716</v>
      </c>
    </row>
    <row r="115" spans="1:12" ht="24" customHeight="1" x14ac:dyDescent="0.5">
      <c r="A115" s="57">
        <v>103</v>
      </c>
      <c r="B115" s="58" t="s">
        <v>409</v>
      </c>
      <c r="C115" s="59" t="s">
        <v>606</v>
      </c>
      <c r="D115" s="20">
        <v>0</v>
      </c>
      <c r="E115" s="36">
        <v>350</v>
      </c>
      <c r="F115" s="45">
        <f t="shared" ref="F115:F131" si="20">D115+E115</f>
        <v>350</v>
      </c>
      <c r="G115" s="48">
        <f t="shared" ref="G115:G131" si="21">H115*J115</f>
        <v>119839.99999999999</v>
      </c>
      <c r="H115" s="45">
        <f t="shared" ref="H115:H131" si="22">F115-I115</f>
        <v>350</v>
      </c>
      <c r="I115" s="20">
        <v>0</v>
      </c>
      <c r="J115" s="48">
        <v>342.4</v>
      </c>
      <c r="K115" s="48">
        <f t="shared" ref="K115:K131" si="23">I115*J115</f>
        <v>0</v>
      </c>
      <c r="L115" s="78"/>
    </row>
    <row r="116" spans="1:12" ht="24" customHeight="1" x14ac:dyDescent="0.5">
      <c r="A116" s="57">
        <v>104</v>
      </c>
      <c r="B116" s="58" t="s">
        <v>131</v>
      </c>
      <c r="C116" s="59" t="s">
        <v>606</v>
      </c>
      <c r="D116" s="20">
        <v>0</v>
      </c>
      <c r="E116" s="36">
        <v>600</v>
      </c>
      <c r="F116" s="45">
        <f t="shared" si="20"/>
        <v>600</v>
      </c>
      <c r="G116" s="48">
        <f t="shared" si="21"/>
        <v>205440</v>
      </c>
      <c r="H116" s="45">
        <f t="shared" si="22"/>
        <v>600</v>
      </c>
      <c r="I116" s="20">
        <v>0</v>
      </c>
      <c r="J116" s="48">
        <v>342.4</v>
      </c>
      <c r="K116" s="48">
        <f t="shared" si="23"/>
        <v>0</v>
      </c>
      <c r="L116" s="89" t="s">
        <v>627</v>
      </c>
    </row>
    <row r="117" spans="1:12" ht="24" customHeight="1" x14ac:dyDescent="0.5">
      <c r="A117" s="57">
        <v>105</v>
      </c>
      <c r="B117" s="58" t="s">
        <v>132</v>
      </c>
      <c r="C117" s="59" t="s">
        <v>605</v>
      </c>
      <c r="D117" s="20">
        <v>400</v>
      </c>
      <c r="E117" s="36">
        <v>0</v>
      </c>
      <c r="F117" s="45">
        <f t="shared" si="20"/>
        <v>400</v>
      </c>
      <c r="G117" s="48">
        <f t="shared" si="21"/>
        <v>1800</v>
      </c>
      <c r="H117" s="45">
        <f t="shared" si="22"/>
        <v>200</v>
      </c>
      <c r="I117" s="20">
        <v>200</v>
      </c>
      <c r="J117" s="48">
        <v>9</v>
      </c>
      <c r="K117" s="48">
        <f t="shared" si="23"/>
        <v>1800</v>
      </c>
      <c r="L117" s="90" t="s">
        <v>460</v>
      </c>
    </row>
    <row r="118" spans="1:12" ht="24" customHeight="1" x14ac:dyDescent="0.5">
      <c r="A118" s="57">
        <v>106</v>
      </c>
      <c r="B118" s="58" t="s">
        <v>133</v>
      </c>
      <c r="C118" s="59" t="s">
        <v>605</v>
      </c>
      <c r="D118" s="20">
        <v>350</v>
      </c>
      <c r="E118" s="36">
        <v>0</v>
      </c>
      <c r="F118" s="45">
        <f t="shared" si="20"/>
        <v>350</v>
      </c>
      <c r="G118" s="48">
        <f t="shared" si="21"/>
        <v>800</v>
      </c>
      <c r="H118" s="45">
        <f t="shared" si="22"/>
        <v>100</v>
      </c>
      <c r="I118" s="20">
        <v>250</v>
      </c>
      <c r="J118" s="48">
        <v>8</v>
      </c>
      <c r="K118" s="48">
        <f t="shared" si="23"/>
        <v>2000</v>
      </c>
      <c r="L118" s="90" t="s">
        <v>16</v>
      </c>
    </row>
    <row r="119" spans="1:12" ht="24" customHeight="1" x14ac:dyDescent="0.5">
      <c r="A119" s="57">
        <v>107</v>
      </c>
      <c r="B119" s="58" t="s">
        <v>134</v>
      </c>
      <c r="C119" s="59" t="s">
        <v>605</v>
      </c>
      <c r="D119" s="20">
        <v>0</v>
      </c>
      <c r="E119" s="36">
        <v>2000</v>
      </c>
      <c r="F119" s="45">
        <f t="shared" si="20"/>
        <v>2000</v>
      </c>
      <c r="G119" s="48">
        <f t="shared" si="21"/>
        <v>15600</v>
      </c>
      <c r="H119" s="45">
        <f t="shared" si="22"/>
        <v>2000</v>
      </c>
      <c r="I119" s="20">
        <v>0</v>
      </c>
      <c r="J119" s="48">
        <v>7.8</v>
      </c>
      <c r="K119" s="48">
        <f t="shared" si="23"/>
        <v>0</v>
      </c>
      <c r="L119" s="90"/>
    </row>
    <row r="120" spans="1:12" ht="24" customHeight="1" x14ac:dyDescent="0.5">
      <c r="A120" s="57">
        <v>108</v>
      </c>
      <c r="B120" s="58" t="s">
        <v>135</v>
      </c>
      <c r="C120" s="59" t="s">
        <v>605</v>
      </c>
      <c r="D120" s="20">
        <v>0</v>
      </c>
      <c r="E120" s="36">
        <v>7000</v>
      </c>
      <c r="F120" s="45">
        <f t="shared" si="20"/>
        <v>7000</v>
      </c>
      <c r="G120" s="48">
        <f t="shared" si="21"/>
        <v>54600</v>
      </c>
      <c r="H120" s="45">
        <f t="shared" si="22"/>
        <v>7000</v>
      </c>
      <c r="I120" s="20">
        <v>0</v>
      </c>
      <c r="J120" s="48">
        <v>7.8</v>
      </c>
      <c r="K120" s="48">
        <f t="shared" si="23"/>
        <v>0</v>
      </c>
      <c r="L120" s="89" t="s">
        <v>627</v>
      </c>
    </row>
    <row r="121" spans="1:12" ht="24" customHeight="1" x14ac:dyDescent="0.5">
      <c r="A121" s="57">
        <v>109</v>
      </c>
      <c r="B121" s="58" t="s">
        <v>581</v>
      </c>
      <c r="C121" s="59" t="s">
        <v>605</v>
      </c>
      <c r="D121" s="20">
        <v>0</v>
      </c>
      <c r="E121" s="36">
        <v>200</v>
      </c>
      <c r="F121" s="45">
        <f t="shared" si="20"/>
        <v>200</v>
      </c>
      <c r="G121" s="48">
        <f t="shared" si="21"/>
        <v>1560</v>
      </c>
      <c r="H121" s="45">
        <f t="shared" si="22"/>
        <v>200</v>
      </c>
      <c r="I121" s="20">
        <v>0</v>
      </c>
      <c r="J121" s="48">
        <v>7.8</v>
      </c>
      <c r="K121" s="48">
        <f t="shared" si="23"/>
        <v>0</v>
      </c>
      <c r="L121" s="83" t="s">
        <v>461</v>
      </c>
    </row>
    <row r="122" spans="1:12" ht="24" customHeight="1" x14ac:dyDescent="0.5">
      <c r="A122" s="57">
        <v>110</v>
      </c>
      <c r="B122" s="58" t="s">
        <v>582</v>
      </c>
      <c r="C122" s="59" t="s">
        <v>606</v>
      </c>
      <c r="D122" s="20">
        <v>0</v>
      </c>
      <c r="E122" s="36">
        <v>20</v>
      </c>
      <c r="F122" s="45">
        <f t="shared" si="20"/>
        <v>20</v>
      </c>
      <c r="G122" s="48">
        <f t="shared" si="21"/>
        <v>23968</v>
      </c>
      <c r="H122" s="45">
        <f t="shared" si="22"/>
        <v>20</v>
      </c>
      <c r="I122" s="20">
        <v>0</v>
      </c>
      <c r="J122" s="48">
        <v>1198.4000000000001</v>
      </c>
      <c r="K122" s="48">
        <f t="shared" si="23"/>
        <v>0</v>
      </c>
      <c r="L122" s="90" t="s">
        <v>17</v>
      </c>
    </row>
    <row r="123" spans="1:12" ht="24" customHeight="1" x14ac:dyDescent="0.5">
      <c r="A123" s="57">
        <v>111</v>
      </c>
      <c r="B123" s="58" t="s">
        <v>136</v>
      </c>
      <c r="C123" s="59" t="s">
        <v>606</v>
      </c>
      <c r="D123" s="20">
        <v>24</v>
      </c>
      <c r="E123" s="36">
        <v>50</v>
      </c>
      <c r="F123" s="45">
        <f t="shared" si="20"/>
        <v>74</v>
      </c>
      <c r="G123" s="48">
        <f t="shared" si="21"/>
        <v>127116</v>
      </c>
      <c r="H123" s="45">
        <f t="shared" si="22"/>
        <v>60</v>
      </c>
      <c r="I123" s="20">
        <v>14</v>
      </c>
      <c r="J123" s="48">
        <v>2118.6</v>
      </c>
      <c r="K123" s="48">
        <f t="shared" si="23"/>
        <v>29660.399999999998</v>
      </c>
      <c r="L123" s="90"/>
    </row>
    <row r="124" spans="1:12" ht="24" customHeight="1" x14ac:dyDescent="0.5">
      <c r="A124" s="57">
        <v>112</v>
      </c>
      <c r="B124" s="58" t="s">
        <v>137</v>
      </c>
      <c r="C124" s="59" t="s">
        <v>606</v>
      </c>
      <c r="D124" s="20">
        <v>35</v>
      </c>
      <c r="E124" s="36">
        <v>50</v>
      </c>
      <c r="F124" s="45">
        <f t="shared" si="20"/>
        <v>85</v>
      </c>
      <c r="G124" s="48">
        <f t="shared" si="21"/>
        <v>20303.25</v>
      </c>
      <c r="H124" s="45">
        <f t="shared" si="22"/>
        <v>23</v>
      </c>
      <c r="I124" s="20">
        <v>62</v>
      </c>
      <c r="J124" s="48">
        <v>882.75</v>
      </c>
      <c r="K124" s="48">
        <f t="shared" si="23"/>
        <v>54730.5</v>
      </c>
      <c r="L124" s="89" t="s">
        <v>627</v>
      </c>
    </row>
    <row r="125" spans="1:12" ht="24" customHeight="1" x14ac:dyDescent="0.5">
      <c r="A125" s="57">
        <v>113</v>
      </c>
      <c r="B125" s="58" t="s">
        <v>138</v>
      </c>
      <c r="C125" s="59" t="s">
        <v>606</v>
      </c>
      <c r="D125" s="20">
        <v>0</v>
      </c>
      <c r="E125" s="36">
        <v>660</v>
      </c>
      <c r="F125" s="45">
        <f t="shared" si="20"/>
        <v>660</v>
      </c>
      <c r="G125" s="48">
        <f t="shared" si="21"/>
        <v>183612</v>
      </c>
      <c r="H125" s="45">
        <f t="shared" si="22"/>
        <v>660</v>
      </c>
      <c r="I125" s="20">
        <v>0</v>
      </c>
      <c r="J125" s="48">
        <v>278.2</v>
      </c>
      <c r="K125" s="48">
        <f t="shared" si="23"/>
        <v>0</v>
      </c>
      <c r="L125" s="90" t="s">
        <v>730</v>
      </c>
    </row>
    <row r="126" spans="1:12" ht="24" customHeight="1" x14ac:dyDescent="0.5">
      <c r="A126" s="57">
        <v>114</v>
      </c>
      <c r="B126" s="58" t="s">
        <v>583</v>
      </c>
      <c r="C126" s="59" t="s">
        <v>191</v>
      </c>
      <c r="D126" s="20">
        <v>197</v>
      </c>
      <c r="E126" s="36">
        <v>2040</v>
      </c>
      <c r="F126" s="45">
        <f t="shared" si="20"/>
        <v>2237</v>
      </c>
      <c r="G126" s="48">
        <f t="shared" si="21"/>
        <v>123007.20000000001</v>
      </c>
      <c r="H126" s="45">
        <f t="shared" si="22"/>
        <v>1916</v>
      </c>
      <c r="I126" s="20">
        <v>321</v>
      </c>
      <c r="J126" s="48">
        <v>64.2</v>
      </c>
      <c r="K126" s="48">
        <f t="shared" si="23"/>
        <v>20608.2</v>
      </c>
      <c r="L126" s="83" t="s">
        <v>18</v>
      </c>
    </row>
    <row r="127" spans="1:12" ht="24" customHeight="1" x14ac:dyDescent="0.5">
      <c r="A127" s="57">
        <v>115</v>
      </c>
      <c r="B127" s="58" t="s">
        <v>139</v>
      </c>
      <c r="C127" s="59" t="s">
        <v>191</v>
      </c>
      <c r="D127" s="20">
        <v>106</v>
      </c>
      <c r="E127" s="36">
        <v>1320</v>
      </c>
      <c r="F127" s="45">
        <f t="shared" si="20"/>
        <v>1426</v>
      </c>
      <c r="G127" s="48">
        <f t="shared" si="21"/>
        <v>70192</v>
      </c>
      <c r="H127" s="45">
        <f t="shared" si="22"/>
        <v>1312</v>
      </c>
      <c r="I127" s="20">
        <v>114</v>
      </c>
      <c r="J127" s="48">
        <v>53.5</v>
      </c>
      <c r="K127" s="48">
        <f t="shared" si="23"/>
        <v>6099</v>
      </c>
      <c r="L127" s="83"/>
    </row>
    <row r="128" spans="1:12" ht="24" customHeight="1" x14ac:dyDescent="0.5">
      <c r="A128" s="57">
        <v>116</v>
      </c>
      <c r="B128" s="58" t="s">
        <v>140</v>
      </c>
      <c r="C128" s="59" t="s">
        <v>606</v>
      </c>
      <c r="D128" s="20">
        <v>45</v>
      </c>
      <c r="E128" s="36">
        <v>800</v>
      </c>
      <c r="F128" s="45">
        <f t="shared" si="20"/>
        <v>845</v>
      </c>
      <c r="G128" s="48">
        <f t="shared" si="21"/>
        <v>25098</v>
      </c>
      <c r="H128" s="45">
        <f t="shared" si="22"/>
        <v>534</v>
      </c>
      <c r="I128" s="20">
        <v>311</v>
      </c>
      <c r="J128" s="48">
        <v>47</v>
      </c>
      <c r="K128" s="48">
        <f t="shared" si="23"/>
        <v>14617</v>
      </c>
      <c r="L128" s="89" t="s">
        <v>627</v>
      </c>
    </row>
    <row r="129" spans="1:12" ht="24" customHeight="1" x14ac:dyDescent="0.5">
      <c r="A129" s="57">
        <v>117</v>
      </c>
      <c r="B129" s="58" t="s">
        <v>141</v>
      </c>
      <c r="C129" s="59" t="s">
        <v>50</v>
      </c>
      <c r="D129" s="20">
        <v>0</v>
      </c>
      <c r="E129" s="36">
        <v>560</v>
      </c>
      <c r="F129" s="45">
        <f t="shared" si="20"/>
        <v>560</v>
      </c>
      <c r="G129" s="48">
        <f t="shared" si="21"/>
        <v>359520</v>
      </c>
      <c r="H129" s="45">
        <f t="shared" si="22"/>
        <v>560</v>
      </c>
      <c r="I129" s="20">
        <v>0</v>
      </c>
      <c r="J129" s="48">
        <v>642</v>
      </c>
      <c r="K129" s="48">
        <f t="shared" si="23"/>
        <v>0</v>
      </c>
      <c r="L129" s="78" t="s">
        <v>434</v>
      </c>
    </row>
    <row r="130" spans="1:12" ht="24" customHeight="1" x14ac:dyDescent="0.5">
      <c r="A130" s="57">
        <v>118</v>
      </c>
      <c r="B130" s="58" t="s">
        <v>142</v>
      </c>
      <c r="C130" s="59" t="s">
        <v>50</v>
      </c>
      <c r="D130" s="20">
        <v>0</v>
      </c>
      <c r="E130" s="36">
        <v>500</v>
      </c>
      <c r="F130" s="45">
        <f t="shared" si="20"/>
        <v>500</v>
      </c>
      <c r="G130" s="48">
        <f t="shared" si="21"/>
        <v>321000</v>
      </c>
      <c r="H130" s="45">
        <f t="shared" si="22"/>
        <v>500</v>
      </c>
      <c r="I130" s="20">
        <v>0</v>
      </c>
      <c r="J130" s="48">
        <v>642</v>
      </c>
      <c r="K130" s="48">
        <f t="shared" si="23"/>
        <v>0</v>
      </c>
      <c r="L130" s="83" t="s">
        <v>433</v>
      </c>
    </row>
    <row r="131" spans="1:12" ht="24" customHeight="1" x14ac:dyDescent="0.5">
      <c r="A131" s="57">
        <v>119</v>
      </c>
      <c r="B131" s="58" t="s">
        <v>143</v>
      </c>
      <c r="C131" s="59" t="s">
        <v>606</v>
      </c>
      <c r="D131" s="20">
        <v>2</v>
      </c>
      <c r="E131" s="36">
        <v>0</v>
      </c>
      <c r="F131" s="45">
        <f t="shared" si="20"/>
        <v>2</v>
      </c>
      <c r="G131" s="48">
        <f t="shared" si="21"/>
        <v>0</v>
      </c>
      <c r="H131" s="45">
        <f t="shared" si="22"/>
        <v>0</v>
      </c>
      <c r="I131" s="20">
        <v>2</v>
      </c>
      <c r="J131" s="48">
        <v>535</v>
      </c>
      <c r="K131" s="48">
        <f t="shared" si="23"/>
        <v>1070</v>
      </c>
      <c r="L131" s="78"/>
    </row>
    <row r="132" spans="1:12" ht="24" customHeight="1" x14ac:dyDescent="0.5">
      <c r="A132" s="57">
        <v>120</v>
      </c>
      <c r="B132" s="58" t="s">
        <v>144</v>
      </c>
      <c r="C132" s="59" t="s">
        <v>606</v>
      </c>
      <c r="D132" s="45">
        <v>5</v>
      </c>
      <c r="E132" s="36">
        <v>0</v>
      </c>
      <c r="F132" s="45">
        <f>D132+E132</f>
        <v>5</v>
      </c>
      <c r="G132" s="48">
        <f>H132*J132</f>
        <v>2675</v>
      </c>
      <c r="H132" s="45">
        <f>F132-I132</f>
        <v>5</v>
      </c>
      <c r="I132" s="20">
        <v>0</v>
      </c>
      <c r="J132" s="48">
        <v>535</v>
      </c>
      <c r="K132" s="48">
        <f>I132*J132</f>
        <v>0</v>
      </c>
      <c r="L132" s="89" t="s">
        <v>627</v>
      </c>
    </row>
    <row r="133" spans="1:12" ht="24" customHeight="1" x14ac:dyDescent="0.5">
      <c r="A133" s="57"/>
      <c r="B133" s="65" t="s">
        <v>432</v>
      </c>
      <c r="C133" s="65"/>
      <c r="D133" s="22"/>
      <c r="E133" s="23"/>
      <c r="F133" s="22"/>
      <c r="G133" s="24">
        <f>SUM(G113:G132)</f>
        <v>2656795.4500000002</v>
      </c>
      <c r="H133" s="22"/>
      <c r="I133" s="22"/>
      <c r="J133" s="24"/>
      <c r="K133" s="24">
        <f>SUM(K113:K132)</f>
        <v>130585.09999999999</v>
      </c>
      <c r="L133" s="78" t="s">
        <v>503</v>
      </c>
    </row>
    <row r="134" spans="1:12" ht="24" customHeight="1" x14ac:dyDescent="0.5">
      <c r="B134" s="79"/>
      <c r="C134" s="79"/>
      <c r="D134" s="27"/>
      <c r="E134" s="28"/>
      <c r="F134" s="27"/>
      <c r="G134" s="49"/>
      <c r="H134" s="27"/>
      <c r="I134" s="27"/>
      <c r="J134" s="49"/>
      <c r="K134" s="49"/>
      <c r="L134" s="83" t="s">
        <v>435</v>
      </c>
    </row>
    <row r="135" spans="1:12" ht="24" customHeight="1" x14ac:dyDescent="0.5">
      <c r="A135" s="57">
        <v>121</v>
      </c>
      <c r="B135" s="58" t="s">
        <v>145</v>
      </c>
      <c r="C135" s="59" t="s">
        <v>606</v>
      </c>
      <c r="D135" s="45">
        <v>5</v>
      </c>
      <c r="E135" s="36">
        <v>0</v>
      </c>
      <c r="F135" s="45">
        <f t="shared" ref="F135:F154" si="24">D135+E135</f>
        <v>5</v>
      </c>
      <c r="G135" s="48">
        <f t="shared" ref="G135:G154" si="25">H135*J135</f>
        <v>2140</v>
      </c>
      <c r="H135" s="45">
        <f t="shared" ref="H135:H154" si="26">F135-I135</f>
        <v>4</v>
      </c>
      <c r="I135" s="20">
        <v>1</v>
      </c>
      <c r="J135" s="48">
        <v>535</v>
      </c>
      <c r="K135" s="48">
        <f t="shared" ref="K135:K154" si="27">I135*J135</f>
        <v>535</v>
      </c>
      <c r="L135" s="78" t="s">
        <v>15</v>
      </c>
    </row>
    <row r="136" spans="1:12" ht="24" customHeight="1" x14ac:dyDescent="0.5">
      <c r="A136" s="57">
        <v>122</v>
      </c>
      <c r="B136" s="58" t="s">
        <v>146</v>
      </c>
      <c r="C136" s="59" t="s">
        <v>38</v>
      </c>
      <c r="D136" s="45">
        <v>25</v>
      </c>
      <c r="E136" s="36">
        <v>0</v>
      </c>
      <c r="F136" s="45">
        <f t="shared" si="24"/>
        <v>25</v>
      </c>
      <c r="G136" s="48">
        <f t="shared" si="25"/>
        <v>0</v>
      </c>
      <c r="H136" s="45">
        <f t="shared" si="26"/>
        <v>0</v>
      </c>
      <c r="I136" s="20">
        <v>25</v>
      </c>
      <c r="J136" s="48">
        <v>680</v>
      </c>
      <c r="K136" s="48">
        <f t="shared" si="27"/>
        <v>17000</v>
      </c>
      <c r="L136" s="78" t="s">
        <v>716</v>
      </c>
    </row>
    <row r="137" spans="1:12" ht="24" customHeight="1" x14ac:dyDescent="0.5">
      <c r="A137" s="57">
        <v>123</v>
      </c>
      <c r="B137" s="58" t="s">
        <v>147</v>
      </c>
      <c r="C137" s="59" t="s">
        <v>38</v>
      </c>
      <c r="D137" s="20">
        <v>0</v>
      </c>
      <c r="E137" s="36">
        <v>15</v>
      </c>
      <c r="F137" s="45">
        <f t="shared" si="24"/>
        <v>15</v>
      </c>
      <c r="G137" s="48">
        <f t="shared" si="25"/>
        <v>0</v>
      </c>
      <c r="H137" s="45">
        <f t="shared" si="26"/>
        <v>0</v>
      </c>
      <c r="I137" s="20">
        <v>15</v>
      </c>
      <c r="J137" s="48">
        <v>680</v>
      </c>
      <c r="K137" s="48">
        <f t="shared" si="27"/>
        <v>10200</v>
      </c>
      <c r="L137" s="78"/>
    </row>
    <row r="138" spans="1:12" ht="24" customHeight="1" x14ac:dyDescent="0.5">
      <c r="A138" s="57">
        <v>124</v>
      </c>
      <c r="B138" s="58" t="s">
        <v>148</v>
      </c>
      <c r="C138" s="59" t="s">
        <v>38</v>
      </c>
      <c r="D138" s="20">
        <v>0</v>
      </c>
      <c r="E138" s="36">
        <v>20</v>
      </c>
      <c r="F138" s="45">
        <f t="shared" si="24"/>
        <v>20</v>
      </c>
      <c r="G138" s="48">
        <f t="shared" si="25"/>
        <v>10200</v>
      </c>
      <c r="H138" s="45">
        <f t="shared" si="26"/>
        <v>15</v>
      </c>
      <c r="I138" s="20">
        <v>5</v>
      </c>
      <c r="J138" s="48">
        <v>680</v>
      </c>
      <c r="K138" s="48">
        <f t="shared" si="27"/>
        <v>3400</v>
      </c>
      <c r="L138" s="89" t="s">
        <v>627</v>
      </c>
    </row>
    <row r="139" spans="1:12" ht="24" customHeight="1" x14ac:dyDescent="0.5">
      <c r="A139" s="57">
        <v>125</v>
      </c>
      <c r="B139" s="58" t="s">
        <v>149</v>
      </c>
      <c r="C139" s="59" t="s">
        <v>38</v>
      </c>
      <c r="D139" s="20">
        <v>0</v>
      </c>
      <c r="E139" s="36">
        <v>35</v>
      </c>
      <c r="F139" s="45">
        <f t="shared" si="24"/>
        <v>35</v>
      </c>
      <c r="G139" s="48">
        <f t="shared" si="25"/>
        <v>23800</v>
      </c>
      <c r="H139" s="45">
        <f t="shared" si="26"/>
        <v>35</v>
      </c>
      <c r="I139" s="20">
        <v>0</v>
      </c>
      <c r="J139" s="48">
        <v>680</v>
      </c>
      <c r="K139" s="48">
        <f t="shared" si="27"/>
        <v>0</v>
      </c>
      <c r="L139" s="90" t="s">
        <v>460</v>
      </c>
    </row>
    <row r="140" spans="1:12" ht="24" customHeight="1" x14ac:dyDescent="0.5">
      <c r="A140" s="57">
        <v>126</v>
      </c>
      <c r="B140" s="58" t="s">
        <v>480</v>
      </c>
      <c r="C140" s="59" t="s">
        <v>606</v>
      </c>
      <c r="D140" s="20">
        <v>31</v>
      </c>
      <c r="E140" s="36">
        <v>0</v>
      </c>
      <c r="F140" s="45">
        <f t="shared" si="24"/>
        <v>31</v>
      </c>
      <c r="G140" s="48">
        <f t="shared" si="25"/>
        <v>33170</v>
      </c>
      <c r="H140" s="45">
        <f t="shared" si="26"/>
        <v>31</v>
      </c>
      <c r="I140" s="20">
        <v>0</v>
      </c>
      <c r="J140" s="48">
        <v>1070</v>
      </c>
      <c r="K140" s="48">
        <f t="shared" si="27"/>
        <v>0</v>
      </c>
      <c r="L140" s="90" t="s">
        <v>16</v>
      </c>
    </row>
    <row r="141" spans="1:12" ht="24" customHeight="1" x14ac:dyDescent="0.5">
      <c r="A141" s="57">
        <v>127</v>
      </c>
      <c r="B141" s="58" t="s">
        <v>457</v>
      </c>
      <c r="C141" s="59" t="s">
        <v>606</v>
      </c>
      <c r="D141" s="45">
        <v>3</v>
      </c>
      <c r="E141" s="36">
        <v>40</v>
      </c>
      <c r="F141" s="45">
        <f t="shared" si="24"/>
        <v>43</v>
      </c>
      <c r="G141" s="48">
        <f t="shared" si="25"/>
        <v>53320</v>
      </c>
      <c r="H141" s="45">
        <f t="shared" si="26"/>
        <v>43</v>
      </c>
      <c r="I141" s="20">
        <v>0</v>
      </c>
      <c r="J141" s="48">
        <v>1240</v>
      </c>
      <c r="K141" s="48">
        <f t="shared" si="27"/>
        <v>0</v>
      </c>
      <c r="L141" s="90"/>
    </row>
    <row r="142" spans="1:12" ht="24" customHeight="1" x14ac:dyDescent="0.5">
      <c r="A142" s="57">
        <v>128</v>
      </c>
      <c r="B142" s="58" t="s">
        <v>150</v>
      </c>
      <c r="C142" s="59" t="s">
        <v>606</v>
      </c>
      <c r="D142" s="20">
        <v>9</v>
      </c>
      <c r="E142" s="36">
        <v>0</v>
      </c>
      <c r="F142" s="45">
        <f t="shared" si="24"/>
        <v>9</v>
      </c>
      <c r="G142" s="48">
        <f t="shared" si="25"/>
        <v>4566.6000000000004</v>
      </c>
      <c r="H142" s="45">
        <f t="shared" si="26"/>
        <v>5</v>
      </c>
      <c r="I142" s="20">
        <v>4</v>
      </c>
      <c r="J142" s="48">
        <v>913.32</v>
      </c>
      <c r="K142" s="48">
        <f t="shared" si="27"/>
        <v>3653.28</v>
      </c>
      <c r="L142" s="89" t="s">
        <v>627</v>
      </c>
    </row>
    <row r="143" spans="1:12" ht="24" customHeight="1" x14ac:dyDescent="0.5">
      <c r="A143" s="57">
        <v>129</v>
      </c>
      <c r="B143" s="58" t="s">
        <v>151</v>
      </c>
      <c r="C143" s="59" t="s">
        <v>606</v>
      </c>
      <c r="D143" s="20">
        <v>6</v>
      </c>
      <c r="E143" s="36">
        <v>0</v>
      </c>
      <c r="F143" s="45">
        <f t="shared" si="24"/>
        <v>6</v>
      </c>
      <c r="G143" s="48">
        <f t="shared" si="25"/>
        <v>1712</v>
      </c>
      <c r="H143" s="45">
        <f t="shared" si="26"/>
        <v>2</v>
      </c>
      <c r="I143" s="20">
        <v>4</v>
      </c>
      <c r="J143" s="48">
        <v>856</v>
      </c>
      <c r="K143" s="48">
        <f t="shared" si="27"/>
        <v>3424</v>
      </c>
      <c r="L143" s="83" t="s">
        <v>461</v>
      </c>
    </row>
    <row r="144" spans="1:12" ht="24" customHeight="1" x14ac:dyDescent="0.5">
      <c r="A144" s="57">
        <v>130</v>
      </c>
      <c r="B144" s="58" t="s">
        <v>152</v>
      </c>
      <c r="C144" s="59" t="s">
        <v>606</v>
      </c>
      <c r="D144" s="20">
        <v>5</v>
      </c>
      <c r="E144" s="36">
        <v>55</v>
      </c>
      <c r="F144" s="45">
        <f t="shared" si="24"/>
        <v>60</v>
      </c>
      <c r="G144" s="48">
        <f t="shared" si="25"/>
        <v>51360</v>
      </c>
      <c r="H144" s="45">
        <f t="shared" si="26"/>
        <v>60</v>
      </c>
      <c r="I144" s="20">
        <v>0</v>
      </c>
      <c r="J144" s="48">
        <v>856</v>
      </c>
      <c r="K144" s="48">
        <f t="shared" si="27"/>
        <v>0</v>
      </c>
      <c r="L144" s="90" t="s">
        <v>17</v>
      </c>
    </row>
    <row r="145" spans="1:12" ht="24" customHeight="1" x14ac:dyDescent="0.5">
      <c r="A145" s="57">
        <v>131</v>
      </c>
      <c r="B145" s="58" t="s">
        <v>153</v>
      </c>
      <c r="C145" s="59" t="s">
        <v>606</v>
      </c>
      <c r="D145" s="20">
        <v>0</v>
      </c>
      <c r="E145" s="36">
        <v>64</v>
      </c>
      <c r="F145" s="45">
        <f t="shared" si="24"/>
        <v>64</v>
      </c>
      <c r="G145" s="48">
        <f t="shared" si="25"/>
        <v>35524</v>
      </c>
      <c r="H145" s="45">
        <f t="shared" si="26"/>
        <v>40</v>
      </c>
      <c r="I145" s="20">
        <v>24</v>
      </c>
      <c r="J145" s="48">
        <v>888.1</v>
      </c>
      <c r="K145" s="48">
        <f t="shared" si="27"/>
        <v>21314.400000000001</v>
      </c>
      <c r="L145" s="90"/>
    </row>
    <row r="146" spans="1:12" ht="24" customHeight="1" x14ac:dyDescent="0.5">
      <c r="A146" s="57">
        <v>132</v>
      </c>
      <c r="B146" s="58" t="s">
        <v>154</v>
      </c>
      <c r="C146" s="59" t="s">
        <v>606</v>
      </c>
      <c r="D146" s="20">
        <v>0</v>
      </c>
      <c r="E146" s="36">
        <v>162</v>
      </c>
      <c r="F146" s="45">
        <f t="shared" si="24"/>
        <v>162</v>
      </c>
      <c r="G146" s="48">
        <f t="shared" si="25"/>
        <v>154187</v>
      </c>
      <c r="H146" s="45">
        <f t="shared" si="26"/>
        <v>131</v>
      </c>
      <c r="I146" s="20">
        <v>31</v>
      </c>
      <c r="J146" s="48">
        <v>1177</v>
      </c>
      <c r="K146" s="48">
        <f t="shared" si="27"/>
        <v>36487</v>
      </c>
      <c r="L146" s="89" t="s">
        <v>627</v>
      </c>
    </row>
    <row r="147" spans="1:12" ht="24" customHeight="1" x14ac:dyDescent="0.5">
      <c r="A147" s="57">
        <v>133</v>
      </c>
      <c r="B147" s="58" t="s">
        <v>155</v>
      </c>
      <c r="C147" s="59" t="s">
        <v>605</v>
      </c>
      <c r="D147" s="20">
        <v>4000</v>
      </c>
      <c r="E147" s="36">
        <v>16000</v>
      </c>
      <c r="F147" s="45">
        <f t="shared" si="24"/>
        <v>20000</v>
      </c>
      <c r="G147" s="48">
        <f t="shared" si="25"/>
        <v>44000</v>
      </c>
      <c r="H147" s="45">
        <f t="shared" si="26"/>
        <v>20000</v>
      </c>
      <c r="I147" s="20">
        <v>0</v>
      </c>
      <c r="J147" s="48">
        <v>2.2000000000000002</v>
      </c>
      <c r="K147" s="48">
        <f t="shared" si="27"/>
        <v>0</v>
      </c>
      <c r="L147" s="90" t="s">
        <v>730</v>
      </c>
    </row>
    <row r="148" spans="1:12" ht="24" customHeight="1" x14ac:dyDescent="0.5">
      <c r="A148" s="57">
        <v>134</v>
      </c>
      <c r="B148" s="58" t="s">
        <v>458</v>
      </c>
      <c r="C148" s="59" t="s">
        <v>605</v>
      </c>
      <c r="D148" s="20">
        <v>9000</v>
      </c>
      <c r="E148" s="36">
        <v>0</v>
      </c>
      <c r="F148" s="45">
        <f t="shared" si="24"/>
        <v>9000</v>
      </c>
      <c r="G148" s="48">
        <f t="shared" si="25"/>
        <v>2200</v>
      </c>
      <c r="H148" s="45">
        <f t="shared" si="26"/>
        <v>1000</v>
      </c>
      <c r="I148" s="20">
        <v>8000</v>
      </c>
      <c r="J148" s="48">
        <v>2.2000000000000002</v>
      </c>
      <c r="K148" s="48">
        <f t="shared" si="27"/>
        <v>17600</v>
      </c>
      <c r="L148" s="83" t="s">
        <v>18</v>
      </c>
    </row>
    <row r="149" spans="1:12" ht="24" customHeight="1" x14ac:dyDescent="0.5">
      <c r="A149" s="57">
        <v>135</v>
      </c>
      <c r="B149" s="58" t="s">
        <v>156</v>
      </c>
      <c r="C149" s="59" t="s">
        <v>605</v>
      </c>
      <c r="D149" s="20">
        <v>0</v>
      </c>
      <c r="E149" s="36">
        <v>330000</v>
      </c>
      <c r="F149" s="45">
        <f t="shared" si="24"/>
        <v>330000</v>
      </c>
      <c r="G149" s="48">
        <f t="shared" si="25"/>
        <v>726000.00000000012</v>
      </c>
      <c r="H149" s="45">
        <f t="shared" si="26"/>
        <v>330000</v>
      </c>
      <c r="I149" s="20">
        <v>0</v>
      </c>
      <c r="J149" s="48">
        <v>2.2000000000000002</v>
      </c>
      <c r="K149" s="48">
        <f t="shared" si="27"/>
        <v>0</v>
      </c>
      <c r="L149" s="83"/>
    </row>
    <row r="150" spans="1:12" ht="24" customHeight="1" x14ac:dyDescent="0.5">
      <c r="A150" s="57">
        <v>136</v>
      </c>
      <c r="B150" s="58" t="s">
        <v>157</v>
      </c>
      <c r="C150" s="59" t="s">
        <v>605</v>
      </c>
      <c r="D150" s="20">
        <v>3000</v>
      </c>
      <c r="E150" s="36">
        <v>7000</v>
      </c>
      <c r="F150" s="45">
        <f t="shared" si="24"/>
        <v>10000</v>
      </c>
      <c r="G150" s="48">
        <f t="shared" si="25"/>
        <v>22000</v>
      </c>
      <c r="H150" s="45">
        <f t="shared" si="26"/>
        <v>10000</v>
      </c>
      <c r="I150" s="20">
        <v>0</v>
      </c>
      <c r="J150" s="48">
        <v>2.2000000000000002</v>
      </c>
      <c r="K150" s="48">
        <f t="shared" si="27"/>
        <v>0</v>
      </c>
      <c r="L150" s="89" t="s">
        <v>627</v>
      </c>
    </row>
    <row r="151" spans="1:12" ht="24" customHeight="1" x14ac:dyDescent="0.5">
      <c r="A151" s="57">
        <v>137</v>
      </c>
      <c r="B151" s="58" t="s">
        <v>158</v>
      </c>
      <c r="C151" s="59" t="s">
        <v>605</v>
      </c>
      <c r="D151" s="20">
        <v>0</v>
      </c>
      <c r="E151" s="36">
        <v>15000</v>
      </c>
      <c r="F151" s="45">
        <f t="shared" si="24"/>
        <v>15000</v>
      </c>
      <c r="G151" s="48">
        <f t="shared" si="25"/>
        <v>33000</v>
      </c>
      <c r="H151" s="45">
        <f t="shared" si="26"/>
        <v>15000</v>
      </c>
      <c r="I151" s="20">
        <v>0</v>
      </c>
      <c r="J151" s="48">
        <v>2.2000000000000002</v>
      </c>
      <c r="K151" s="48">
        <f t="shared" si="27"/>
        <v>0</v>
      </c>
      <c r="L151" s="78" t="s">
        <v>434</v>
      </c>
    </row>
    <row r="152" spans="1:12" ht="24" customHeight="1" x14ac:dyDescent="0.5">
      <c r="A152" s="57">
        <v>138</v>
      </c>
      <c r="B152" s="58" t="s">
        <v>159</v>
      </c>
      <c r="C152" s="59" t="s">
        <v>605</v>
      </c>
      <c r="D152" s="20">
        <v>0</v>
      </c>
      <c r="E152" s="36">
        <v>32000</v>
      </c>
      <c r="F152" s="45">
        <f t="shared" si="24"/>
        <v>32000</v>
      </c>
      <c r="G152" s="48">
        <f t="shared" si="25"/>
        <v>70400</v>
      </c>
      <c r="H152" s="45">
        <f t="shared" si="26"/>
        <v>32000</v>
      </c>
      <c r="I152" s="20">
        <v>0</v>
      </c>
      <c r="J152" s="48">
        <v>2.2000000000000002</v>
      </c>
      <c r="K152" s="48">
        <f t="shared" si="27"/>
        <v>0</v>
      </c>
      <c r="L152" s="83" t="s">
        <v>433</v>
      </c>
    </row>
    <row r="153" spans="1:12" ht="24" customHeight="1" x14ac:dyDescent="0.5">
      <c r="A153" s="57">
        <v>139</v>
      </c>
      <c r="B153" s="58" t="s">
        <v>160</v>
      </c>
      <c r="C153" s="59" t="s">
        <v>604</v>
      </c>
      <c r="D153" s="20">
        <v>0</v>
      </c>
      <c r="E153" s="36">
        <v>1120</v>
      </c>
      <c r="F153" s="45">
        <f t="shared" si="24"/>
        <v>1120</v>
      </c>
      <c r="G153" s="48">
        <f t="shared" si="25"/>
        <v>184800</v>
      </c>
      <c r="H153" s="45">
        <f t="shared" si="26"/>
        <v>1120</v>
      </c>
      <c r="I153" s="20">
        <v>0</v>
      </c>
      <c r="J153" s="48">
        <v>165</v>
      </c>
      <c r="K153" s="48">
        <f t="shared" si="27"/>
        <v>0</v>
      </c>
      <c r="L153" s="78"/>
    </row>
    <row r="154" spans="1:12" ht="24" customHeight="1" x14ac:dyDescent="0.5">
      <c r="A154" s="57">
        <v>140</v>
      </c>
      <c r="B154" s="58" t="s">
        <v>752</v>
      </c>
      <c r="C154" s="59" t="s">
        <v>604</v>
      </c>
      <c r="D154" s="20">
        <v>350</v>
      </c>
      <c r="E154" s="36">
        <v>0</v>
      </c>
      <c r="F154" s="45">
        <f t="shared" si="24"/>
        <v>350</v>
      </c>
      <c r="G154" s="48">
        <f t="shared" si="25"/>
        <v>57750</v>
      </c>
      <c r="H154" s="45">
        <f t="shared" si="26"/>
        <v>350</v>
      </c>
      <c r="I154" s="20">
        <v>0</v>
      </c>
      <c r="J154" s="48">
        <v>165</v>
      </c>
      <c r="K154" s="48">
        <f t="shared" si="27"/>
        <v>0</v>
      </c>
      <c r="L154" s="89" t="s">
        <v>627</v>
      </c>
    </row>
    <row r="155" spans="1:12" ht="24" customHeight="1" x14ac:dyDescent="0.5">
      <c r="A155" s="57"/>
      <c r="B155" s="65" t="s">
        <v>432</v>
      </c>
      <c r="C155" s="65"/>
      <c r="D155" s="22"/>
      <c r="E155" s="23"/>
      <c r="F155" s="22"/>
      <c r="G155" s="24">
        <f>SUM(G135:G154)</f>
        <v>1510129.6</v>
      </c>
      <c r="H155" s="22"/>
      <c r="I155" s="22"/>
      <c r="J155" s="24"/>
      <c r="K155" s="24">
        <f>SUM(K135:K154)</f>
        <v>113613.68</v>
      </c>
      <c r="L155" s="78" t="s">
        <v>503</v>
      </c>
    </row>
    <row r="156" spans="1:12" ht="24" customHeight="1" x14ac:dyDescent="0.5">
      <c r="B156" s="79"/>
      <c r="C156" s="79"/>
      <c r="D156" s="27"/>
      <c r="E156" s="28"/>
      <c r="F156" s="27"/>
      <c r="G156" s="49"/>
      <c r="H156" s="27"/>
      <c r="I156" s="27"/>
      <c r="J156" s="49"/>
      <c r="K156" s="49"/>
      <c r="L156" s="83" t="s">
        <v>435</v>
      </c>
    </row>
    <row r="157" spans="1:12" ht="24" customHeight="1" x14ac:dyDescent="0.5">
      <c r="A157" s="57">
        <v>141</v>
      </c>
      <c r="B157" s="58" t="s">
        <v>161</v>
      </c>
      <c r="C157" s="59" t="s">
        <v>604</v>
      </c>
      <c r="D157" s="20">
        <v>0</v>
      </c>
      <c r="E157" s="36">
        <v>20880</v>
      </c>
      <c r="F157" s="45">
        <f t="shared" ref="F157" si="28">D157+E157</f>
        <v>20880</v>
      </c>
      <c r="G157" s="48">
        <f t="shared" ref="G157" si="29">H157*J157</f>
        <v>415303.2</v>
      </c>
      <c r="H157" s="45">
        <f t="shared" ref="H157" si="30">F157-I157</f>
        <v>20880</v>
      </c>
      <c r="I157" s="20">
        <v>0</v>
      </c>
      <c r="J157" s="48">
        <v>19.89</v>
      </c>
      <c r="K157" s="48">
        <f t="shared" ref="K157" si="31">I157*J157</f>
        <v>0</v>
      </c>
      <c r="L157" s="78" t="s">
        <v>15</v>
      </c>
    </row>
    <row r="158" spans="1:12" ht="24" customHeight="1" x14ac:dyDescent="0.5">
      <c r="A158" s="57">
        <v>142</v>
      </c>
      <c r="B158" s="58" t="s">
        <v>162</v>
      </c>
      <c r="C158" s="59" t="s">
        <v>606</v>
      </c>
      <c r="D158" s="20">
        <v>0</v>
      </c>
      <c r="E158" s="36">
        <v>115</v>
      </c>
      <c r="F158" s="45">
        <f t="shared" ref="F158:F176" si="32">D158+E158</f>
        <v>115</v>
      </c>
      <c r="G158" s="48">
        <f t="shared" ref="G158:G176" si="33">H158*J158</f>
        <v>246100</v>
      </c>
      <c r="H158" s="45">
        <f t="shared" ref="H158:H176" si="34">F158-I158</f>
        <v>115</v>
      </c>
      <c r="I158" s="20">
        <v>0</v>
      </c>
      <c r="J158" s="48">
        <v>2140</v>
      </c>
      <c r="K158" s="48">
        <f t="shared" ref="K158:K176" si="35">I158*J158</f>
        <v>0</v>
      </c>
      <c r="L158" s="78" t="s">
        <v>716</v>
      </c>
    </row>
    <row r="159" spans="1:12" ht="24" customHeight="1" x14ac:dyDescent="0.5">
      <c r="A159" s="57">
        <v>143</v>
      </c>
      <c r="B159" s="58" t="s">
        <v>393</v>
      </c>
      <c r="C159" s="59" t="s">
        <v>606</v>
      </c>
      <c r="D159" s="20">
        <v>0</v>
      </c>
      <c r="E159" s="36">
        <v>20</v>
      </c>
      <c r="F159" s="45">
        <f t="shared" si="32"/>
        <v>20</v>
      </c>
      <c r="G159" s="48">
        <f t="shared" si="33"/>
        <v>3370.5</v>
      </c>
      <c r="H159" s="45">
        <f t="shared" si="34"/>
        <v>15</v>
      </c>
      <c r="I159" s="20">
        <v>5</v>
      </c>
      <c r="J159" s="48">
        <v>224.7</v>
      </c>
      <c r="K159" s="48">
        <f t="shared" si="35"/>
        <v>1123.5</v>
      </c>
      <c r="L159" s="78"/>
    </row>
    <row r="160" spans="1:12" ht="24" customHeight="1" x14ac:dyDescent="0.5">
      <c r="A160" s="57">
        <v>144</v>
      </c>
      <c r="B160" s="58" t="s">
        <v>163</v>
      </c>
      <c r="C160" s="59" t="s">
        <v>606</v>
      </c>
      <c r="D160" s="20">
        <v>5</v>
      </c>
      <c r="E160" s="36">
        <v>6400</v>
      </c>
      <c r="F160" s="45">
        <f t="shared" si="32"/>
        <v>6405</v>
      </c>
      <c r="G160" s="48">
        <f t="shared" si="33"/>
        <v>1067260.7999999998</v>
      </c>
      <c r="H160" s="45">
        <f t="shared" si="34"/>
        <v>6234</v>
      </c>
      <c r="I160" s="20">
        <v>171</v>
      </c>
      <c r="J160" s="48">
        <v>171.2</v>
      </c>
      <c r="K160" s="48">
        <f t="shared" si="35"/>
        <v>29275.199999999997</v>
      </c>
      <c r="L160" s="89" t="s">
        <v>627</v>
      </c>
    </row>
    <row r="161" spans="1:12" ht="24" customHeight="1" x14ac:dyDescent="0.5">
      <c r="A161" s="57">
        <v>145</v>
      </c>
      <c r="B161" s="58" t="s">
        <v>164</v>
      </c>
      <c r="C161" s="59" t="s">
        <v>606</v>
      </c>
      <c r="D161" s="20">
        <v>10</v>
      </c>
      <c r="E161" s="36">
        <v>108</v>
      </c>
      <c r="F161" s="45">
        <f t="shared" si="32"/>
        <v>118</v>
      </c>
      <c r="G161" s="48">
        <f t="shared" si="33"/>
        <v>17719.2</v>
      </c>
      <c r="H161" s="45">
        <f t="shared" si="34"/>
        <v>92</v>
      </c>
      <c r="I161" s="20">
        <v>26</v>
      </c>
      <c r="J161" s="48">
        <v>192.6</v>
      </c>
      <c r="K161" s="48">
        <f t="shared" si="35"/>
        <v>5007.5999999999995</v>
      </c>
      <c r="L161" s="90" t="s">
        <v>460</v>
      </c>
    </row>
    <row r="162" spans="1:12" ht="24" customHeight="1" x14ac:dyDescent="0.5">
      <c r="A162" s="57">
        <v>146</v>
      </c>
      <c r="B162" s="58" t="s">
        <v>724</v>
      </c>
      <c r="C162" s="59" t="s">
        <v>606</v>
      </c>
      <c r="D162" s="20">
        <v>0</v>
      </c>
      <c r="E162" s="36">
        <v>450</v>
      </c>
      <c r="F162" s="45">
        <f t="shared" si="32"/>
        <v>450</v>
      </c>
      <c r="G162" s="48">
        <f t="shared" si="33"/>
        <v>103811.40000000001</v>
      </c>
      <c r="H162" s="45">
        <f t="shared" si="34"/>
        <v>441</v>
      </c>
      <c r="I162" s="20">
        <v>9</v>
      </c>
      <c r="J162" s="48">
        <v>235.4</v>
      </c>
      <c r="K162" s="48">
        <f t="shared" si="35"/>
        <v>2118.6</v>
      </c>
      <c r="L162" s="90" t="s">
        <v>16</v>
      </c>
    </row>
    <row r="163" spans="1:12" ht="24" customHeight="1" x14ac:dyDescent="0.5">
      <c r="A163" s="57">
        <v>147</v>
      </c>
      <c r="B163" s="58" t="s">
        <v>165</v>
      </c>
      <c r="C163" s="59" t="s">
        <v>606</v>
      </c>
      <c r="D163" s="20">
        <v>0</v>
      </c>
      <c r="E163" s="36">
        <v>300</v>
      </c>
      <c r="F163" s="45">
        <f t="shared" si="32"/>
        <v>300</v>
      </c>
      <c r="G163" s="48">
        <f t="shared" si="33"/>
        <v>59545.5</v>
      </c>
      <c r="H163" s="45">
        <f t="shared" si="34"/>
        <v>265</v>
      </c>
      <c r="I163" s="20">
        <v>35</v>
      </c>
      <c r="J163" s="48">
        <v>224.7</v>
      </c>
      <c r="K163" s="48">
        <f t="shared" si="35"/>
        <v>7864.5</v>
      </c>
      <c r="L163" s="90"/>
    </row>
    <row r="164" spans="1:12" ht="24" customHeight="1" x14ac:dyDescent="0.5">
      <c r="A164" s="57">
        <v>148</v>
      </c>
      <c r="B164" s="58" t="s">
        <v>584</v>
      </c>
      <c r="C164" s="59" t="s">
        <v>606</v>
      </c>
      <c r="D164" s="20">
        <v>23</v>
      </c>
      <c r="E164" s="36">
        <v>1700</v>
      </c>
      <c r="F164" s="45">
        <f t="shared" si="32"/>
        <v>1723</v>
      </c>
      <c r="G164" s="48">
        <f t="shared" si="33"/>
        <v>582184.86</v>
      </c>
      <c r="H164" s="45">
        <f t="shared" si="34"/>
        <v>1711</v>
      </c>
      <c r="I164" s="20">
        <v>12</v>
      </c>
      <c r="J164" s="48">
        <v>340.26</v>
      </c>
      <c r="K164" s="48">
        <f t="shared" si="35"/>
        <v>4083.12</v>
      </c>
      <c r="L164" s="89" t="s">
        <v>627</v>
      </c>
    </row>
    <row r="165" spans="1:12" ht="24" customHeight="1" x14ac:dyDescent="0.5">
      <c r="A165" s="57">
        <v>149</v>
      </c>
      <c r="B165" s="58" t="s">
        <v>166</v>
      </c>
      <c r="C165" s="59" t="s">
        <v>606</v>
      </c>
      <c r="D165" s="20">
        <v>0</v>
      </c>
      <c r="E165" s="36">
        <v>4300</v>
      </c>
      <c r="F165" s="45">
        <f t="shared" si="32"/>
        <v>4300</v>
      </c>
      <c r="G165" s="48">
        <f t="shared" si="33"/>
        <v>413148.4</v>
      </c>
      <c r="H165" s="45">
        <f t="shared" si="34"/>
        <v>3940</v>
      </c>
      <c r="I165" s="20">
        <v>360</v>
      </c>
      <c r="J165" s="48">
        <v>104.86</v>
      </c>
      <c r="K165" s="48">
        <f t="shared" si="35"/>
        <v>37749.599999999999</v>
      </c>
      <c r="L165" s="83" t="s">
        <v>461</v>
      </c>
    </row>
    <row r="166" spans="1:12" ht="24" customHeight="1" x14ac:dyDescent="0.5">
      <c r="A166" s="57">
        <v>150</v>
      </c>
      <c r="B166" s="58" t="s">
        <v>167</v>
      </c>
      <c r="C166" s="59" t="s">
        <v>606</v>
      </c>
      <c r="D166" s="20">
        <v>24</v>
      </c>
      <c r="E166" s="36">
        <v>56</v>
      </c>
      <c r="F166" s="45">
        <f t="shared" si="32"/>
        <v>80</v>
      </c>
      <c r="G166" s="48">
        <f t="shared" si="33"/>
        <v>8811.4499999999989</v>
      </c>
      <c r="H166" s="45">
        <f t="shared" si="34"/>
        <v>61</v>
      </c>
      <c r="I166" s="20">
        <v>19</v>
      </c>
      <c r="J166" s="48">
        <v>144.44999999999999</v>
      </c>
      <c r="K166" s="48">
        <f t="shared" si="35"/>
        <v>2744.5499999999997</v>
      </c>
      <c r="L166" s="90" t="s">
        <v>17</v>
      </c>
    </row>
    <row r="167" spans="1:12" ht="24" customHeight="1" x14ac:dyDescent="0.5">
      <c r="A167" s="57">
        <v>151</v>
      </c>
      <c r="B167" s="58" t="s">
        <v>168</v>
      </c>
      <c r="C167" s="59" t="s">
        <v>606</v>
      </c>
      <c r="D167" s="20">
        <v>33</v>
      </c>
      <c r="E167" s="36">
        <v>6100</v>
      </c>
      <c r="F167" s="45">
        <f t="shared" si="32"/>
        <v>6133</v>
      </c>
      <c r="G167" s="48">
        <f t="shared" si="33"/>
        <v>696666.3</v>
      </c>
      <c r="H167" s="45">
        <f t="shared" si="34"/>
        <v>5919</v>
      </c>
      <c r="I167" s="20">
        <v>214</v>
      </c>
      <c r="J167" s="48">
        <v>117.7</v>
      </c>
      <c r="K167" s="48">
        <f t="shared" si="35"/>
        <v>25187.8</v>
      </c>
      <c r="L167" s="90"/>
    </row>
    <row r="168" spans="1:12" ht="24" customHeight="1" x14ac:dyDescent="0.5">
      <c r="A168" s="57">
        <v>152</v>
      </c>
      <c r="B168" s="58" t="s">
        <v>169</v>
      </c>
      <c r="C168" s="59" t="s">
        <v>606</v>
      </c>
      <c r="D168" s="20">
        <v>16</v>
      </c>
      <c r="E168" s="36">
        <v>24</v>
      </c>
      <c r="F168" s="45">
        <f t="shared" si="32"/>
        <v>40</v>
      </c>
      <c r="G168" s="48">
        <f t="shared" si="33"/>
        <v>1926</v>
      </c>
      <c r="H168" s="45">
        <f t="shared" si="34"/>
        <v>12</v>
      </c>
      <c r="I168" s="20">
        <v>28</v>
      </c>
      <c r="J168" s="48">
        <v>160.5</v>
      </c>
      <c r="K168" s="48">
        <f t="shared" si="35"/>
        <v>4494</v>
      </c>
      <c r="L168" s="89" t="s">
        <v>627</v>
      </c>
    </row>
    <row r="169" spans="1:12" ht="24" customHeight="1" x14ac:dyDescent="0.5">
      <c r="A169" s="57">
        <v>153</v>
      </c>
      <c r="B169" s="58" t="s">
        <v>170</v>
      </c>
      <c r="C169" s="59" t="s">
        <v>606</v>
      </c>
      <c r="D169" s="20">
        <v>18</v>
      </c>
      <c r="E169" s="36">
        <v>3200</v>
      </c>
      <c r="F169" s="45">
        <f t="shared" si="32"/>
        <v>3218</v>
      </c>
      <c r="G169" s="48">
        <f t="shared" si="33"/>
        <v>769629.6</v>
      </c>
      <c r="H169" s="45">
        <f t="shared" si="34"/>
        <v>2997</v>
      </c>
      <c r="I169" s="20">
        <v>221</v>
      </c>
      <c r="J169" s="48">
        <v>256.8</v>
      </c>
      <c r="K169" s="48">
        <f t="shared" si="35"/>
        <v>56752.800000000003</v>
      </c>
      <c r="L169" s="90" t="s">
        <v>730</v>
      </c>
    </row>
    <row r="170" spans="1:12" ht="24" customHeight="1" x14ac:dyDescent="0.5">
      <c r="A170" s="57">
        <v>154</v>
      </c>
      <c r="B170" s="58" t="s">
        <v>171</v>
      </c>
      <c r="C170" s="59" t="s">
        <v>606</v>
      </c>
      <c r="D170" s="20">
        <v>10</v>
      </c>
      <c r="E170" s="36">
        <v>36</v>
      </c>
      <c r="F170" s="45">
        <f t="shared" si="32"/>
        <v>46</v>
      </c>
      <c r="G170" s="48">
        <f t="shared" si="33"/>
        <v>10700</v>
      </c>
      <c r="H170" s="45">
        <f t="shared" si="34"/>
        <v>25</v>
      </c>
      <c r="I170" s="20">
        <v>21</v>
      </c>
      <c r="J170" s="48">
        <v>428</v>
      </c>
      <c r="K170" s="48">
        <f t="shared" si="35"/>
        <v>8988</v>
      </c>
      <c r="L170" s="83" t="s">
        <v>18</v>
      </c>
    </row>
    <row r="171" spans="1:12" ht="24" customHeight="1" x14ac:dyDescent="0.5">
      <c r="A171" s="57">
        <v>155</v>
      </c>
      <c r="B171" s="58" t="s">
        <v>172</v>
      </c>
      <c r="C171" s="59" t="s">
        <v>606</v>
      </c>
      <c r="D171" s="20">
        <v>0</v>
      </c>
      <c r="E171" s="36">
        <v>160</v>
      </c>
      <c r="F171" s="45">
        <f t="shared" si="32"/>
        <v>160</v>
      </c>
      <c r="G171" s="48">
        <f t="shared" si="33"/>
        <v>392000</v>
      </c>
      <c r="H171" s="45">
        <f t="shared" si="34"/>
        <v>160</v>
      </c>
      <c r="I171" s="20">
        <v>0</v>
      </c>
      <c r="J171" s="48">
        <v>2450</v>
      </c>
      <c r="K171" s="48">
        <f t="shared" si="35"/>
        <v>0</v>
      </c>
      <c r="L171" s="83"/>
    </row>
    <row r="172" spans="1:12" ht="24" customHeight="1" x14ac:dyDescent="0.5">
      <c r="A172" s="57">
        <v>156</v>
      </c>
      <c r="B172" s="58" t="s">
        <v>725</v>
      </c>
      <c r="C172" s="59" t="s">
        <v>606</v>
      </c>
      <c r="D172" s="20">
        <v>0</v>
      </c>
      <c r="E172" s="36">
        <v>770</v>
      </c>
      <c r="F172" s="45">
        <f t="shared" si="32"/>
        <v>770</v>
      </c>
      <c r="G172" s="48">
        <f t="shared" si="33"/>
        <v>504831.35000000003</v>
      </c>
      <c r="H172" s="45">
        <f t="shared" si="34"/>
        <v>743</v>
      </c>
      <c r="I172" s="20">
        <v>27</v>
      </c>
      <c r="J172" s="48">
        <v>679.45</v>
      </c>
      <c r="K172" s="48">
        <f t="shared" si="35"/>
        <v>18345.150000000001</v>
      </c>
      <c r="L172" s="89" t="s">
        <v>627</v>
      </c>
    </row>
    <row r="173" spans="1:12" ht="24" customHeight="1" x14ac:dyDescent="0.5">
      <c r="A173" s="57">
        <v>157</v>
      </c>
      <c r="B173" s="58" t="s">
        <v>249</v>
      </c>
      <c r="C173" s="59" t="s">
        <v>606</v>
      </c>
      <c r="D173" s="20">
        <v>0</v>
      </c>
      <c r="E173" s="36">
        <v>160</v>
      </c>
      <c r="F173" s="45">
        <f t="shared" si="32"/>
        <v>160</v>
      </c>
      <c r="G173" s="48">
        <f t="shared" si="33"/>
        <v>98226</v>
      </c>
      <c r="H173" s="45">
        <f t="shared" si="34"/>
        <v>153</v>
      </c>
      <c r="I173" s="20">
        <v>7</v>
      </c>
      <c r="J173" s="48">
        <v>642</v>
      </c>
      <c r="K173" s="48">
        <f t="shared" si="35"/>
        <v>4494</v>
      </c>
      <c r="L173" s="78" t="s">
        <v>434</v>
      </c>
    </row>
    <row r="174" spans="1:12" ht="24" customHeight="1" x14ac:dyDescent="0.5">
      <c r="A174" s="57">
        <v>158</v>
      </c>
      <c r="B174" s="58" t="s">
        <v>173</v>
      </c>
      <c r="C174" s="59" t="s">
        <v>38</v>
      </c>
      <c r="D174" s="20">
        <v>0</v>
      </c>
      <c r="E174" s="36">
        <v>18800</v>
      </c>
      <c r="F174" s="45">
        <f t="shared" si="32"/>
        <v>18800</v>
      </c>
      <c r="G174" s="48">
        <f t="shared" si="33"/>
        <v>1408120</v>
      </c>
      <c r="H174" s="45">
        <f t="shared" si="34"/>
        <v>18800</v>
      </c>
      <c r="I174" s="20">
        <v>0</v>
      </c>
      <c r="J174" s="48">
        <v>74.900000000000006</v>
      </c>
      <c r="K174" s="48">
        <f t="shared" si="35"/>
        <v>0</v>
      </c>
      <c r="L174" s="83" t="s">
        <v>433</v>
      </c>
    </row>
    <row r="175" spans="1:12" ht="24" customHeight="1" x14ac:dyDescent="0.5">
      <c r="A175" s="57">
        <v>159</v>
      </c>
      <c r="B175" s="58" t="s">
        <v>174</v>
      </c>
      <c r="C175" s="59" t="s">
        <v>606</v>
      </c>
      <c r="D175" s="20">
        <v>16</v>
      </c>
      <c r="E175" s="36">
        <v>150</v>
      </c>
      <c r="F175" s="45">
        <f t="shared" si="32"/>
        <v>166</v>
      </c>
      <c r="G175" s="48">
        <f t="shared" si="33"/>
        <v>78507</v>
      </c>
      <c r="H175" s="45">
        <f t="shared" si="34"/>
        <v>143</v>
      </c>
      <c r="I175" s="20">
        <v>23</v>
      </c>
      <c r="J175" s="48">
        <v>549</v>
      </c>
      <c r="K175" s="48">
        <f t="shared" si="35"/>
        <v>12627</v>
      </c>
      <c r="L175" s="78"/>
    </row>
    <row r="176" spans="1:12" ht="24" customHeight="1" x14ac:dyDescent="0.5">
      <c r="A176" s="57">
        <v>160</v>
      </c>
      <c r="B176" s="58" t="s">
        <v>482</v>
      </c>
      <c r="C176" s="59" t="s">
        <v>606</v>
      </c>
      <c r="D176" s="20">
        <v>7</v>
      </c>
      <c r="E176" s="36">
        <v>25</v>
      </c>
      <c r="F176" s="45">
        <f t="shared" si="32"/>
        <v>32</v>
      </c>
      <c r="G176" s="48">
        <f t="shared" si="33"/>
        <v>13152</v>
      </c>
      <c r="H176" s="45">
        <f t="shared" si="34"/>
        <v>24</v>
      </c>
      <c r="I176" s="20">
        <v>8</v>
      </c>
      <c r="J176" s="48">
        <v>548</v>
      </c>
      <c r="K176" s="48">
        <f t="shared" si="35"/>
        <v>4384</v>
      </c>
      <c r="L176" s="89" t="s">
        <v>627</v>
      </c>
    </row>
    <row r="177" spans="1:12" ht="24" customHeight="1" x14ac:dyDescent="0.5">
      <c r="A177" s="57"/>
      <c r="B177" s="65" t="s">
        <v>432</v>
      </c>
      <c r="C177" s="65"/>
      <c r="D177" s="22"/>
      <c r="E177" s="23"/>
      <c r="F177" s="22"/>
      <c r="G177" s="24">
        <f>SUM(G157:G176)</f>
        <v>6891013.5599999987</v>
      </c>
      <c r="H177" s="22"/>
      <c r="I177" s="22"/>
      <c r="J177" s="24"/>
      <c r="K177" s="24">
        <f>SUM(K157:K176)</f>
        <v>225239.42</v>
      </c>
      <c r="L177" s="78" t="s">
        <v>503</v>
      </c>
    </row>
    <row r="178" spans="1:12" ht="24" customHeight="1" x14ac:dyDescent="0.5">
      <c r="B178" s="79"/>
      <c r="C178" s="79"/>
      <c r="D178" s="27"/>
      <c r="E178" s="28"/>
      <c r="F178" s="27"/>
      <c r="G178" s="49"/>
      <c r="H178" s="27"/>
      <c r="I178" s="27"/>
      <c r="J178" s="49"/>
      <c r="K178" s="49"/>
      <c r="L178" s="83" t="s">
        <v>435</v>
      </c>
    </row>
    <row r="179" spans="1:12" ht="24" customHeight="1" x14ac:dyDescent="0.5">
      <c r="A179" s="57">
        <v>161</v>
      </c>
      <c r="B179" s="58" t="s">
        <v>481</v>
      </c>
      <c r="C179" s="59" t="s">
        <v>604</v>
      </c>
      <c r="D179" s="20">
        <v>0</v>
      </c>
      <c r="E179" s="36">
        <v>2000</v>
      </c>
      <c r="F179" s="45">
        <f>D179+E179</f>
        <v>2000</v>
      </c>
      <c r="G179" s="48">
        <f>H179*J179</f>
        <v>160000</v>
      </c>
      <c r="H179" s="45">
        <f>F179-I179</f>
        <v>2000</v>
      </c>
      <c r="I179" s="20">
        <v>0</v>
      </c>
      <c r="J179" s="48">
        <v>80</v>
      </c>
      <c r="K179" s="48">
        <f>I179*J179</f>
        <v>0</v>
      </c>
      <c r="L179" s="78" t="s">
        <v>15</v>
      </c>
    </row>
    <row r="180" spans="1:12" ht="24" customHeight="1" x14ac:dyDescent="0.5">
      <c r="A180" s="57">
        <v>162</v>
      </c>
      <c r="B180" s="58" t="s">
        <v>175</v>
      </c>
      <c r="C180" s="59" t="s">
        <v>606</v>
      </c>
      <c r="D180" s="20">
        <v>0</v>
      </c>
      <c r="E180" s="36">
        <v>12</v>
      </c>
      <c r="F180" s="45">
        <f>D180+E180</f>
        <v>12</v>
      </c>
      <c r="G180" s="48">
        <f>H180*J180</f>
        <v>9086</v>
      </c>
      <c r="H180" s="45">
        <f>F180-I180</f>
        <v>7</v>
      </c>
      <c r="I180" s="20">
        <v>5</v>
      </c>
      <c r="J180" s="48">
        <v>1298</v>
      </c>
      <c r="K180" s="48">
        <f>I180*J180</f>
        <v>6490</v>
      </c>
      <c r="L180" s="78" t="s">
        <v>716</v>
      </c>
    </row>
    <row r="181" spans="1:12" ht="24" customHeight="1" x14ac:dyDescent="0.5">
      <c r="A181" s="57">
        <v>163</v>
      </c>
      <c r="B181" s="58" t="s">
        <v>176</v>
      </c>
      <c r="C181" s="59" t="s">
        <v>50</v>
      </c>
      <c r="D181" s="20">
        <v>60</v>
      </c>
      <c r="E181" s="36">
        <v>410</v>
      </c>
      <c r="F181" s="45">
        <f t="shared" ref="F181:F198" si="36">D181+E181</f>
        <v>470</v>
      </c>
      <c r="G181" s="48">
        <f t="shared" ref="G181:G198" si="37">H181*J181</f>
        <v>226305</v>
      </c>
      <c r="H181" s="45">
        <f t="shared" ref="H181:H198" si="38">F181-I181</f>
        <v>470</v>
      </c>
      <c r="I181" s="20">
        <v>0</v>
      </c>
      <c r="J181" s="48">
        <v>481.5</v>
      </c>
      <c r="K181" s="48">
        <f t="shared" ref="K181" si="39">I181*J181</f>
        <v>0</v>
      </c>
      <c r="L181" s="78"/>
    </row>
    <row r="182" spans="1:12" ht="24" customHeight="1" x14ac:dyDescent="0.5">
      <c r="A182" s="57">
        <v>164</v>
      </c>
      <c r="B182" s="58" t="s">
        <v>177</v>
      </c>
      <c r="C182" s="59" t="s">
        <v>610</v>
      </c>
      <c r="D182" s="20">
        <v>0</v>
      </c>
      <c r="E182" s="36">
        <v>16500</v>
      </c>
      <c r="F182" s="45">
        <f>D182+E182</f>
        <v>16500</v>
      </c>
      <c r="G182" s="48">
        <f>H182*J182</f>
        <v>239250</v>
      </c>
      <c r="H182" s="45">
        <f>F182-I182</f>
        <v>16500</v>
      </c>
      <c r="I182" s="20">
        <v>0</v>
      </c>
      <c r="J182" s="48">
        <v>14.5</v>
      </c>
      <c r="K182" s="48">
        <f>I182*J182</f>
        <v>0</v>
      </c>
      <c r="L182" s="89" t="s">
        <v>627</v>
      </c>
    </row>
    <row r="183" spans="1:12" ht="24" customHeight="1" x14ac:dyDescent="0.5">
      <c r="A183" s="57">
        <v>165</v>
      </c>
      <c r="B183" s="58" t="s">
        <v>178</v>
      </c>
      <c r="C183" s="59" t="s">
        <v>606</v>
      </c>
      <c r="D183" s="20">
        <v>0</v>
      </c>
      <c r="E183" s="36">
        <v>40</v>
      </c>
      <c r="F183" s="45">
        <f t="shared" si="36"/>
        <v>40</v>
      </c>
      <c r="G183" s="48">
        <f t="shared" si="37"/>
        <v>9600</v>
      </c>
      <c r="H183" s="45">
        <f t="shared" si="38"/>
        <v>24</v>
      </c>
      <c r="I183" s="20">
        <v>16</v>
      </c>
      <c r="J183" s="48">
        <v>400</v>
      </c>
      <c r="K183" s="48">
        <f>I183*J183</f>
        <v>6400</v>
      </c>
      <c r="L183" s="90" t="s">
        <v>460</v>
      </c>
    </row>
    <row r="184" spans="1:12" ht="24" customHeight="1" x14ac:dyDescent="0.5">
      <c r="A184" s="57">
        <v>166</v>
      </c>
      <c r="B184" s="58" t="s">
        <v>179</v>
      </c>
      <c r="C184" s="59" t="s">
        <v>605</v>
      </c>
      <c r="D184" s="20">
        <v>20</v>
      </c>
      <c r="E184" s="36">
        <v>0</v>
      </c>
      <c r="F184" s="45">
        <f t="shared" si="36"/>
        <v>20</v>
      </c>
      <c r="G184" s="48">
        <f t="shared" si="37"/>
        <v>0</v>
      </c>
      <c r="H184" s="45">
        <f t="shared" si="38"/>
        <v>0</v>
      </c>
      <c r="I184" s="20">
        <v>20</v>
      </c>
      <c r="J184" s="48">
        <v>42</v>
      </c>
      <c r="K184" s="48">
        <f t="shared" ref="K184:K198" si="40">I184*J184</f>
        <v>840</v>
      </c>
      <c r="L184" s="90" t="s">
        <v>16</v>
      </c>
    </row>
    <row r="185" spans="1:12" ht="24" customHeight="1" x14ac:dyDescent="0.5">
      <c r="A185" s="57">
        <v>167</v>
      </c>
      <c r="B185" s="58" t="s">
        <v>180</v>
      </c>
      <c r="C185" s="59" t="s">
        <v>605</v>
      </c>
      <c r="D185" s="20">
        <v>20</v>
      </c>
      <c r="E185" s="36">
        <v>0</v>
      </c>
      <c r="F185" s="45">
        <f t="shared" si="36"/>
        <v>20</v>
      </c>
      <c r="G185" s="48">
        <f t="shared" si="37"/>
        <v>0</v>
      </c>
      <c r="H185" s="45">
        <f t="shared" si="38"/>
        <v>0</v>
      </c>
      <c r="I185" s="20">
        <v>20</v>
      </c>
      <c r="J185" s="48">
        <v>42</v>
      </c>
      <c r="K185" s="48">
        <f t="shared" si="40"/>
        <v>840</v>
      </c>
      <c r="L185" s="90"/>
    </row>
    <row r="186" spans="1:12" ht="24" customHeight="1" x14ac:dyDescent="0.5">
      <c r="A186" s="57">
        <v>168</v>
      </c>
      <c r="B186" s="58" t="s">
        <v>181</v>
      </c>
      <c r="C186" s="59" t="s">
        <v>605</v>
      </c>
      <c r="D186" s="20">
        <v>0</v>
      </c>
      <c r="E186" s="36">
        <v>2150</v>
      </c>
      <c r="F186" s="45">
        <f t="shared" si="36"/>
        <v>2150</v>
      </c>
      <c r="G186" s="48">
        <f t="shared" si="37"/>
        <v>80220</v>
      </c>
      <c r="H186" s="45">
        <f t="shared" si="38"/>
        <v>1910</v>
      </c>
      <c r="I186" s="20">
        <v>240</v>
      </c>
      <c r="J186" s="48">
        <v>42</v>
      </c>
      <c r="K186" s="48">
        <f t="shared" si="40"/>
        <v>10080</v>
      </c>
      <c r="L186" s="89" t="s">
        <v>627</v>
      </c>
    </row>
    <row r="187" spans="1:12" ht="24" customHeight="1" x14ac:dyDescent="0.5">
      <c r="A187" s="57">
        <v>169</v>
      </c>
      <c r="B187" s="58" t="s">
        <v>182</v>
      </c>
      <c r="C187" s="59" t="s">
        <v>605</v>
      </c>
      <c r="D187" s="20">
        <v>20</v>
      </c>
      <c r="E187" s="36">
        <v>0</v>
      </c>
      <c r="F187" s="45">
        <f t="shared" si="36"/>
        <v>20</v>
      </c>
      <c r="G187" s="48">
        <f t="shared" si="37"/>
        <v>0</v>
      </c>
      <c r="H187" s="45">
        <f t="shared" si="38"/>
        <v>0</v>
      </c>
      <c r="I187" s="20">
        <v>20</v>
      </c>
      <c r="J187" s="48">
        <v>42</v>
      </c>
      <c r="K187" s="48">
        <f t="shared" si="40"/>
        <v>840</v>
      </c>
      <c r="L187" s="83" t="s">
        <v>461</v>
      </c>
    </row>
    <row r="188" spans="1:12" ht="24" customHeight="1" x14ac:dyDescent="0.5">
      <c r="A188" s="57">
        <v>170</v>
      </c>
      <c r="B188" s="58" t="s">
        <v>183</v>
      </c>
      <c r="C188" s="59" t="s">
        <v>604</v>
      </c>
      <c r="D188" s="20">
        <v>0</v>
      </c>
      <c r="E188" s="36">
        <v>2300</v>
      </c>
      <c r="F188" s="45">
        <f t="shared" si="36"/>
        <v>2300</v>
      </c>
      <c r="G188" s="48">
        <f t="shared" si="37"/>
        <v>397900</v>
      </c>
      <c r="H188" s="45">
        <f t="shared" si="38"/>
        <v>2300</v>
      </c>
      <c r="I188" s="20">
        <v>0</v>
      </c>
      <c r="J188" s="48">
        <v>173</v>
      </c>
      <c r="K188" s="48">
        <f t="shared" si="40"/>
        <v>0</v>
      </c>
      <c r="L188" s="90" t="s">
        <v>17</v>
      </c>
    </row>
    <row r="189" spans="1:12" ht="24" customHeight="1" x14ac:dyDescent="0.5">
      <c r="A189" s="57">
        <v>171</v>
      </c>
      <c r="B189" s="58" t="s">
        <v>726</v>
      </c>
      <c r="C189" s="59" t="s">
        <v>615</v>
      </c>
      <c r="D189" s="20">
        <v>20</v>
      </c>
      <c r="E189" s="36">
        <v>0</v>
      </c>
      <c r="F189" s="45">
        <f t="shared" si="36"/>
        <v>20</v>
      </c>
      <c r="G189" s="48">
        <f t="shared" si="37"/>
        <v>2100</v>
      </c>
      <c r="H189" s="45">
        <f t="shared" si="38"/>
        <v>15</v>
      </c>
      <c r="I189" s="20">
        <v>5</v>
      </c>
      <c r="J189" s="48">
        <v>140</v>
      </c>
      <c r="K189" s="48">
        <f t="shared" si="40"/>
        <v>700</v>
      </c>
      <c r="L189" s="90"/>
    </row>
    <row r="190" spans="1:12" ht="24" customHeight="1" x14ac:dyDescent="0.5">
      <c r="A190" s="57">
        <v>172</v>
      </c>
      <c r="B190" s="58" t="s">
        <v>727</v>
      </c>
      <c r="C190" s="59" t="s">
        <v>615</v>
      </c>
      <c r="D190" s="20">
        <v>26</v>
      </c>
      <c r="E190" s="36">
        <v>0</v>
      </c>
      <c r="F190" s="45">
        <f t="shared" si="36"/>
        <v>26</v>
      </c>
      <c r="G190" s="48">
        <f t="shared" si="37"/>
        <v>2250</v>
      </c>
      <c r="H190" s="45">
        <f t="shared" si="38"/>
        <v>15</v>
      </c>
      <c r="I190" s="20">
        <v>11</v>
      </c>
      <c r="J190" s="48">
        <v>150</v>
      </c>
      <c r="K190" s="48">
        <f t="shared" si="40"/>
        <v>1650</v>
      </c>
      <c r="L190" s="89" t="s">
        <v>627</v>
      </c>
    </row>
    <row r="191" spans="1:12" ht="24" customHeight="1" x14ac:dyDescent="0.5">
      <c r="A191" s="57">
        <v>173</v>
      </c>
      <c r="B191" s="58" t="s">
        <v>728</v>
      </c>
      <c r="C191" s="59" t="s">
        <v>615</v>
      </c>
      <c r="D191" s="20">
        <v>26</v>
      </c>
      <c r="E191" s="36">
        <v>0</v>
      </c>
      <c r="F191" s="45">
        <f t="shared" si="36"/>
        <v>26</v>
      </c>
      <c r="G191" s="48">
        <f t="shared" si="37"/>
        <v>1500</v>
      </c>
      <c r="H191" s="45">
        <f t="shared" si="38"/>
        <v>10</v>
      </c>
      <c r="I191" s="20">
        <v>16</v>
      </c>
      <c r="J191" s="48">
        <v>150</v>
      </c>
      <c r="K191" s="48">
        <f t="shared" si="40"/>
        <v>2400</v>
      </c>
      <c r="L191" s="90" t="s">
        <v>730</v>
      </c>
    </row>
    <row r="192" spans="1:12" ht="24" customHeight="1" x14ac:dyDescent="0.5">
      <c r="A192" s="57">
        <v>174</v>
      </c>
      <c r="B192" s="58" t="s">
        <v>585</v>
      </c>
      <c r="C192" s="59" t="s">
        <v>606</v>
      </c>
      <c r="D192" s="20">
        <v>31</v>
      </c>
      <c r="E192" s="36">
        <v>170</v>
      </c>
      <c r="F192" s="45">
        <f t="shared" si="36"/>
        <v>201</v>
      </c>
      <c r="G192" s="48">
        <f t="shared" si="37"/>
        <v>26245</v>
      </c>
      <c r="H192" s="45">
        <f t="shared" si="38"/>
        <v>181</v>
      </c>
      <c r="I192" s="20">
        <v>20</v>
      </c>
      <c r="J192" s="48">
        <v>145</v>
      </c>
      <c r="K192" s="48">
        <f t="shared" si="40"/>
        <v>2900</v>
      </c>
      <c r="L192" s="83" t="s">
        <v>18</v>
      </c>
    </row>
    <row r="193" spans="1:12" ht="24" customHeight="1" x14ac:dyDescent="0.5">
      <c r="A193" s="57">
        <v>175</v>
      </c>
      <c r="B193" s="58" t="s">
        <v>184</v>
      </c>
      <c r="C193" s="59" t="s">
        <v>606</v>
      </c>
      <c r="D193" s="20">
        <v>0</v>
      </c>
      <c r="E193" s="36">
        <v>450</v>
      </c>
      <c r="F193" s="45">
        <f t="shared" si="36"/>
        <v>450</v>
      </c>
      <c r="G193" s="48">
        <f t="shared" si="37"/>
        <v>44515</v>
      </c>
      <c r="H193" s="45">
        <f t="shared" si="38"/>
        <v>307</v>
      </c>
      <c r="I193" s="20">
        <v>143</v>
      </c>
      <c r="J193" s="48">
        <v>145</v>
      </c>
      <c r="K193" s="48">
        <f t="shared" si="40"/>
        <v>20735</v>
      </c>
      <c r="L193" s="83"/>
    </row>
    <row r="194" spans="1:12" ht="24" customHeight="1" x14ac:dyDescent="0.5">
      <c r="A194" s="57">
        <v>176</v>
      </c>
      <c r="B194" s="58" t="s">
        <v>185</v>
      </c>
      <c r="C194" s="59" t="s">
        <v>606</v>
      </c>
      <c r="D194" s="20">
        <v>30</v>
      </c>
      <c r="E194" s="36">
        <v>740</v>
      </c>
      <c r="F194" s="45">
        <f t="shared" si="36"/>
        <v>770</v>
      </c>
      <c r="G194" s="48">
        <f t="shared" si="37"/>
        <v>107880</v>
      </c>
      <c r="H194" s="45">
        <f t="shared" si="38"/>
        <v>744</v>
      </c>
      <c r="I194" s="20">
        <v>26</v>
      </c>
      <c r="J194" s="48">
        <v>145</v>
      </c>
      <c r="K194" s="48">
        <f t="shared" si="40"/>
        <v>3770</v>
      </c>
      <c r="L194" s="89" t="s">
        <v>627</v>
      </c>
    </row>
    <row r="195" spans="1:12" ht="24" customHeight="1" x14ac:dyDescent="0.5">
      <c r="A195" s="57">
        <v>177</v>
      </c>
      <c r="B195" s="58" t="s">
        <v>586</v>
      </c>
      <c r="C195" s="59" t="s">
        <v>604</v>
      </c>
      <c r="D195" s="20">
        <v>0</v>
      </c>
      <c r="E195" s="36">
        <v>35000</v>
      </c>
      <c r="F195" s="45">
        <f t="shared" si="36"/>
        <v>35000</v>
      </c>
      <c r="G195" s="48">
        <f t="shared" si="37"/>
        <v>87500</v>
      </c>
      <c r="H195" s="45">
        <f t="shared" si="38"/>
        <v>35000</v>
      </c>
      <c r="I195" s="20">
        <v>0</v>
      </c>
      <c r="J195" s="48">
        <v>2.5</v>
      </c>
      <c r="K195" s="48">
        <f t="shared" si="40"/>
        <v>0</v>
      </c>
      <c r="L195" s="78" t="s">
        <v>434</v>
      </c>
    </row>
    <row r="196" spans="1:12" ht="24" customHeight="1" x14ac:dyDescent="0.5">
      <c r="A196" s="57">
        <v>178</v>
      </c>
      <c r="B196" s="58" t="s">
        <v>483</v>
      </c>
      <c r="C196" s="59" t="s">
        <v>604</v>
      </c>
      <c r="D196" s="20">
        <v>0</v>
      </c>
      <c r="E196" s="36">
        <v>60000</v>
      </c>
      <c r="F196" s="45">
        <f t="shared" si="36"/>
        <v>60000</v>
      </c>
      <c r="G196" s="48">
        <f t="shared" si="37"/>
        <v>180000</v>
      </c>
      <c r="H196" s="45">
        <f t="shared" si="38"/>
        <v>60000</v>
      </c>
      <c r="I196" s="20">
        <v>0</v>
      </c>
      <c r="J196" s="48">
        <v>3</v>
      </c>
      <c r="K196" s="48">
        <f t="shared" si="40"/>
        <v>0</v>
      </c>
      <c r="L196" s="83" t="s">
        <v>433</v>
      </c>
    </row>
    <row r="197" spans="1:12" ht="24" customHeight="1" x14ac:dyDescent="0.5">
      <c r="A197" s="57">
        <v>179</v>
      </c>
      <c r="B197" s="58" t="s">
        <v>189</v>
      </c>
      <c r="C197" s="59" t="s">
        <v>606</v>
      </c>
      <c r="D197" s="20">
        <v>0</v>
      </c>
      <c r="E197" s="36">
        <v>1100</v>
      </c>
      <c r="F197" s="45">
        <f t="shared" si="36"/>
        <v>1100</v>
      </c>
      <c r="G197" s="48">
        <f t="shared" si="37"/>
        <v>165000</v>
      </c>
      <c r="H197" s="45">
        <f t="shared" si="38"/>
        <v>1100</v>
      </c>
      <c r="I197" s="20">
        <v>0</v>
      </c>
      <c r="J197" s="48">
        <v>150</v>
      </c>
      <c r="K197" s="48">
        <f t="shared" si="40"/>
        <v>0</v>
      </c>
      <c r="L197" s="78"/>
    </row>
    <row r="198" spans="1:12" ht="24" customHeight="1" x14ac:dyDescent="0.5">
      <c r="A198" s="57">
        <v>180</v>
      </c>
      <c r="B198" s="58" t="s">
        <v>190</v>
      </c>
      <c r="C198" s="59" t="s">
        <v>604</v>
      </c>
      <c r="D198" s="20">
        <v>687</v>
      </c>
      <c r="E198" s="36">
        <v>0</v>
      </c>
      <c r="F198" s="45">
        <f t="shared" si="36"/>
        <v>687</v>
      </c>
      <c r="G198" s="48">
        <f t="shared" si="37"/>
        <v>11016</v>
      </c>
      <c r="H198" s="45">
        <f t="shared" si="38"/>
        <v>612</v>
      </c>
      <c r="I198" s="20">
        <v>75</v>
      </c>
      <c r="J198" s="48">
        <v>18</v>
      </c>
      <c r="K198" s="48">
        <f t="shared" si="40"/>
        <v>1350</v>
      </c>
      <c r="L198" s="89" t="s">
        <v>627</v>
      </c>
    </row>
    <row r="199" spans="1:12" ht="24" customHeight="1" x14ac:dyDescent="0.5">
      <c r="A199" s="57"/>
      <c r="B199" s="65" t="s">
        <v>432</v>
      </c>
      <c r="C199" s="65"/>
      <c r="D199" s="22"/>
      <c r="E199" s="23"/>
      <c r="F199" s="22"/>
      <c r="G199" s="24">
        <f>SUM(G179:G198)</f>
        <v>1750367</v>
      </c>
      <c r="H199" s="22"/>
      <c r="I199" s="22"/>
      <c r="J199" s="24"/>
      <c r="K199" s="24">
        <f>SUM(K179:K198)</f>
        <v>58995</v>
      </c>
      <c r="L199" s="78" t="s">
        <v>503</v>
      </c>
    </row>
    <row r="200" spans="1:12" ht="24" customHeight="1" x14ac:dyDescent="0.5">
      <c r="B200" s="79"/>
      <c r="C200" s="79"/>
      <c r="D200" s="27"/>
      <c r="E200" s="28"/>
      <c r="F200" s="27"/>
      <c r="G200" s="49"/>
      <c r="H200" s="27"/>
      <c r="I200" s="27"/>
      <c r="J200" s="49"/>
      <c r="K200" s="49"/>
      <c r="L200" s="83" t="s">
        <v>435</v>
      </c>
    </row>
    <row r="201" spans="1:12" ht="24" customHeight="1" x14ac:dyDescent="0.5">
      <c r="A201" s="57">
        <v>181</v>
      </c>
      <c r="B201" s="58" t="s">
        <v>729</v>
      </c>
      <c r="C201" s="59" t="s">
        <v>604</v>
      </c>
      <c r="D201" s="20">
        <v>0</v>
      </c>
      <c r="E201" s="36">
        <v>1200</v>
      </c>
      <c r="F201" s="45">
        <f>D201+E201</f>
        <v>1200</v>
      </c>
      <c r="G201" s="48">
        <f>H201*J201</f>
        <v>12000</v>
      </c>
      <c r="H201" s="45">
        <f>F201-I201</f>
        <v>1200</v>
      </c>
      <c r="I201" s="20">
        <v>0</v>
      </c>
      <c r="J201" s="48">
        <v>10</v>
      </c>
      <c r="K201" s="48">
        <f>I201*J201</f>
        <v>0</v>
      </c>
      <c r="L201" s="78" t="s">
        <v>15</v>
      </c>
    </row>
    <row r="202" spans="1:12" ht="24" customHeight="1" x14ac:dyDescent="0.5">
      <c r="A202" s="57">
        <v>182</v>
      </c>
      <c r="B202" s="58" t="s">
        <v>186</v>
      </c>
      <c r="C202" s="59" t="s">
        <v>604</v>
      </c>
      <c r="D202" s="20">
        <v>0</v>
      </c>
      <c r="E202" s="36">
        <v>65000</v>
      </c>
      <c r="F202" s="45">
        <f>D202+E202</f>
        <v>65000</v>
      </c>
      <c r="G202" s="48">
        <f>H202*J202</f>
        <v>390000</v>
      </c>
      <c r="H202" s="45">
        <f>F202-I202</f>
        <v>65000</v>
      </c>
      <c r="I202" s="20">
        <v>0</v>
      </c>
      <c r="J202" s="48">
        <v>6</v>
      </c>
      <c r="K202" s="48">
        <f>I202*J202</f>
        <v>0</v>
      </c>
      <c r="L202" s="78" t="s">
        <v>716</v>
      </c>
    </row>
    <row r="203" spans="1:12" ht="24" customHeight="1" x14ac:dyDescent="0.5">
      <c r="A203" s="57">
        <v>183</v>
      </c>
      <c r="B203" s="58" t="s">
        <v>187</v>
      </c>
      <c r="C203" s="59" t="s">
        <v>604</v>
      </c>
      <c r="D203" s="20">
        <v>0</v>
      </c>
      <c r="E203" s="36">
        <v>261000</v>
      </c>
      <c r="F203" s="45">
        <f>D203+E203</f>
        <v>261000</v>
      </c>
      <c r="G203" s="48">
        <f>H203*J203</f>
        <v>261000</v>
      </c>
      <c r="H203" s="45">
        <f>F203-I203</f>
        <v>261000</v>
      </c>
      <c r="I203" s="20">
        <v>0</v>
      </c>
      <c r="J203" s="48">
        <v>1</v>
      </c>
      <c r="K203" s="48">
        <f>I203*J203</f>
        <v>0</v>
      </c>
      <c r="L203" s="78"/>
    </row>
    <row r="204" spans="1:12" ht="24" customHeight="1" x14ac:dyDescent="0.5">
      <c r="A204" s="57">
        <v>184</v>
      </c>
      <c r="B204" s="58" t="s">
        <v>188</v>
      </c>
      <c r="C204" s="59" t="s">
        <v>604</v>
      </c>
      <c r="D204" s="20">
        <v>0</v>
      </c>
      <c r="E204" s="36">
        <v>375000</v>
      </c>
      <c r="F204" s="45">
        <f>D204+E204</f>
        <v>375000</v>
      </c>
      <c r="G204" s="48">
        <f>H204*J204</f>
        <v>675000</v>
      </c>
      <c r="H204" s="45">
        <f>F204-I204</f>
        <v>375000</v>
      </c>
      <c r="I204" s="20">
        <v>0</v>
      </c>
      <c r="J204" s="48">
        <v>1.8</v>
      </c>
      <c r="K204" s="48">
        <f>I204*J204</f>
        <v>0</v>
      </c>
      <c r="L204" s="89" t="s">
        <v>627</v>
      </c>
    </row>
    <row r="205" spans="1:12" ht="24" customHeight="1" x14ac:dyDescent="0.5">
      <c r="A205" s="57"/>
      <c r="B205" s="65" t="s">
        <v>432</v>
      </c>
      <c r="C205" s="65"/>
      <c r="D205" s="22"/>
      <c r="E205" s="23"/>
      <c r="F205" s="22"/>
      <c r="G205" s="24">
        <f>SUM(G201:G204)</f>
        <v>1338000</v>
      </c>
      <c r="H205" s="22"/>
      <c r="I205" s="22"/>
      <c r="J205" s="24"/>
      <c r="K205" s="24">
        <f>SUM(K202:K204)</f>
        <v>0</v>
      </c>
      <c r="L205" s="90" t="s">
        <v>460</v>
      </c>
    </row>
    <row r="206" spans="1:12" ht="24" customHeight="1" x14ac:dyDescent="0.5">
      <c r="A206" s="57"/>
      <c r="B206" s="65" t="s">
        <v>628</v>
      </c>
      <c r="C206" s="86"/>
      <c r="D206" s="29"/>
      <c r="E206" s="30"/>
      <c r="F206" s="31"/>
      <c r="G206" s="32">
        <f>SUM(G205+G199+G177+G155+G133+G111+G89+G67+G45+G23)</f>
        <v>45183747.609999999</v>
      </c>
      <c r="H206" s="29"/>
      <c r="I206" s="29"/>
      <c r="J206" s="32"/>
      <c r="K206" s="32">
        <f>SUM(K205+K199+K177+K155+K133+K111+K89+K67+K45+K23)</f>
        <v>1478404.2200000002</v>
      </c>
      <c r="L206" s="90" t="s">
        <v>16</v>
      </c>
    </row>
    <row r="207" spans="1:12" ht="24" customHeight="1" x14ac:dyDescent="0.5">
      <c r="L207" s="90"/>
    </row>
    <row r="208" spans="1:12" ht="24" customHeight="1" x14ac:dyDescent="0.5">
      <c r="L208" s="89" t="s">
        <v>627</v>
      </c>
    </row>
    <row r="209" spans="12:12" ht="24" customHeight="1" x14ac:dyDescent="0.5">
      <c r="L209" s="83" t="s">
        <v>461</v>
      </c>
    </row>
    <row r="210" spans="12:12" ht="24" customHeight="1" x14ac:dyDescent="0.5">
      <c r="L210" s="90" t="s">
        <v>17</v>
      </c>
    </row>
    <row r="211" spans="12:12" ht="24" customHeight="1" x14ac:dyDescent="0.5">
      <c r="L211" s="90"/>
    </row>
    <row r="212" spans="12:12" ht="24" customHeight="1" x14ac:dyDescent="0.5">
      <c r="L212" s="89" t="s">
        <v>627</v>
      </c>
    </row>
    <row r="213" spans="12:12" ht="24" customHeight="1" x14ac:dyDescent="0.5">
      <c r="L213" s="90" t="s">
        <v>730</v>
      </c>
    </row>
    <row r="214" spans="12:12" ht="24" customHeight="1" x14ac:dyDescent="0.5">
      <c r="L214" s="83" t="s">
        <v>18</v>
      </c>
    </row>
    <row r="215" spans="12:12" ht="24" customHeight="1" x14ac:dyDescent="0.5">
      <c r="L215" s="83"/>
    </row>
    <row r="216" spans="12:12" ht="24" customHeight="1" x14ac:dyDescent="0.5">
      <c r="L216" s="89" t="s">
        <v>627</v>
      </c>
    </row>
    <row r="217" spans="12:12" ht="24" customHeight="1" x14ac:dyDescent="0.5">
      <c r="L217" s="78" t="s">
        <v>434</v>
      </c>
    </row>
    <row r="218" spans="12:12" ht="24" customHeight="1" x14ac:dyDescent="0.5">
      <c r="L218" s="83" t="s">
        <v>433</v>
      </c>
    </row>
    <row r="219" spans="12:12" ht="24" customHeight="1" x14ac:dyDescent="0.5">
      <c r="L219" s="78"/>
    </row>
    <row r="220" spans="12:12" ht="24" customHeight="1" x14ac:dyDescent="0.5">
      <c r="L220" s="89" t="s">
        <v>627</v>
      </c>
    </row>
    <row r="221" spans="12:12" ht="24" customHeight="1" x14ac:dyDescent="0.5">
      <c r="L221" s="78" t="s">
        <v>503</v>
      </c>
    </row>
    <row r="222" spans="12:12" ht="24" customHeight="1" x14ac:dyDescent="0.5">
      <c r="L222" s="83" t="s">
        <v>435</v>
      </c>
    </row>
  </sheetData>
  <autoFilter ref="A2:L206" xr:uid="{F32D8E86-079A-4C87-85B8-46D6F5510C66}"/>
  <mergeCells count="5">
    <mergeCell ref="A1:A2"/>
    <mergeCell ref="B1:B2"/>
    <mergeCell ref="C1:C2"/>
    <mergeCell ref="D1:F1"/>
    <mergeCell ref="I1:K1"/>
  </mergeCells>
  <pageMargins left="0.70866141732283472" right="0.15748031496062992" top="0.98425196850393704" bottom="0.15748031496062992" header="0.19685039370078741" footer="0.19685039370078741"/>
  <pageSetup paperSize="9" scale="95" orientation="landscape" useFirstPageNumber="1" r:id="rId1"/>
  <headerFooter scaleWithDoc="0" alignWithMargins="0">
    <oddHeader>&amp;C&amp;"TH SarabunIT๙,ตัวหนา"&amp;20รายงานรับ -จ่ายพัสดุ
&amp;"TH SarabunPSK,ตัวหนา"ประจำปีงบประมาณ 2568&amp;R&amp;"Angsana New,ธรรมดา"หน้า &amp;P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0B785-72A3-4999-9A56-C7B2694FF0FB}">
  <sheetPr>
    <tabColor rgb="FF00B050"/>
  </sheetPr>
  <dimension ref="A1:L398"/>
  <sheetViews>
    <sheetView tabSelected="1" zoomScaleNormal="100" zoomScaleSheetLayoutView="95" zoomScalePageLayoutView="98" workbookViewId="0">
      <selection activeCell="T8" sqref="T8"/>
    </sheetView>
  </sheetViews>
  <sheetFormatPr defaultColWidth="9.140625" defaultRowHeight="23.85" customHeight="1" x14ac:dyDescent="0.5"/>
  <cols>
    <col min="1" max="1" width="4.28515625" style="81" customWidth="1"/>
    <col min="2" max="2" width="41.85546875" style="94" customWidth="1"/>
    <col min="3" max="3" width="7.28515625" style="87" customWidth="1"/>
    <col min="4" max="4" width="7.7109375" style="35" customWidth="1"/>
    <col min="5" max="5" width="9.85546875" style="35" customWidth="1"/>
    <col min="6" max="6" width="10" style="35" customWidth="1"/>
    <col min="7" max="7" width="13.140625" style="34" hidden="1" customWidth="1"/>
    <col min="8" max="8" width="10.5703125" style="35" customWidth="1"/>
    <col min="9" max="9" width="8.28515625" style="35" customWidth="1"/>
    <col min="10" max="10" width="10" style="34" customWidth="1"/>
    <col min="11" max="11" width="12" style="34" customWidth="1"/>
    <col min="12" max="12" width="23" style="87" customWidth="1"/>
    <col min="13" max="16384" width="9.140625" style="81"/>
  </cols>
  <sheetData>
    <row r="1" spans="1:12" s="80" customFormat="1" ht="23.85" customHeight="1" x14ac:dyDescent="0.5">
      <c r="A1" s="100" t="s">
        <v>0</v>
      </c>
      <c r="B1" s="100" t="s">
        <v>1</v>
      </c>
      <c r="C1" s="96" t="s">
        <v>430</v>
      </c>
      <c r="D1" s="101" t="s">
        <v>2</v>
      </c>
      <c r="E1" s="101"/>
      <c r="F1" s="101"/>
      <c r="G1" s="32" t="s">
        <v>3</v>
      </c>
      <c r="H1" s="29" t="s">
        <v>4</v>
      </c>
      <c r="I1" s="102" t="s">
        <v>5</v>
      </c>
      <c r="J1" s="102"/>
      <c r="K1" s="102"/>
      <c r="L1" s="83" t="s">
        <v>13</v>
      </c>
    </row>
    <row r="2" spans="1:12" s="80" customFormat="1" ht="23.85" customHeight="1" x14ac:dyDescent="0.5">
      <c r="A2" s="100"/>
      <c r="B2" s="100"/>
      <c r="C2" s="97"/>
      <c r="D2" s="29" t="s">
        <v>6</v>
      </c>
      <c r="E2" s="29" t="s">
        <v>7</v>
      </c>
      <c r="F2" s="29" t="s">
        <v>8</v>
      </c>
      <c r="G2" s="32" t="s">
        <v>9</v>
      </c>
      <c r="H2" s="29" t="s">
        <v>10</v>
      </c>
      <c r="I2" s="29" t="s">
        <v>11</v>
      </c>
      <c r="J2" s="32" t="s">
        <v>12</v>
      </c>
      <c r="K2" s="32" t="s">
        <v>431</v>
      </c>
      <c r="L2" s="83" t="s">
        <v>14</v>
      </c>
    </row>
    <row r="3" spans="1:12" ht="24" customHeight="1" x14ac:dyDescent="0.5">
      <c r="A3" s="57">
        <v>1</v>
      </c>
      <c r="B3" s="91" t="s">
        <v>250</v>
      </c>
      <c r="C3" s="59" t="s">
        <v>606</v>
      </c>
      <c r="D3" s="36">
        <v>0</v>
      </c>
      <c r="E3" s="36">
        <v>50</v>
      </c>
      <c r="F3" s="36">
        <f>D3+E3</f>
        <v>50</v>
      </c>
      <c r="G3" s="37">
        <f>H3*J3</f>
        <v>381455</v>
      </c>
      <c r="H3" s="36">
        <f>F3-I3</f>
        <v>50</v>
      </c>
      <c r="I3" s="36">
        <v>0</v>
      </c>
      <c r="J3" s="37">
        <v>7629.1</v>
      </c>
      <c r="K3" s="37">
        <f>I3*J3</f>
        <v>0</v>
      </c>
      <c r="L3" s="83" t="s">
        <v>15</v>
      </c>
    </row>
    <row r="4" spans="1:12" ht="24" customHeight="1" x14ac:dyDescent="0.5">
      <c r="A4" s="57">
        <v>2</v>
      </c>
      <c r="B4" s="91" t="s">
        <v>518</v>
      </c>
      <c r="C4" s="59" t="s">
        <v>604</v>
      </c>
      <c r="D4" s="36">
        <v>0</v>
      </c>
      <c r="E4" s="36">
        <v>420</v>
      </c>
      <c r="F4" s="36">
        <f t="shared" ref="F4:F22" si="0">D4+E4</f>
        <v>420</v>
      </c>
      <c r="G4" s="37">
        <f t="shared" ref="G4:G22" si="1">H4*J4</f>
        <v>944638.79999999993</v>
      </c>
      <c r="H4" s="36">
        <f t="shared" ref="H4:H22" si="2">F4-I4</f>
        <v>420</v>
      </c>
      <c r="I4" s="36">
        <v>0</v>
      </c>
      <c r="J4" s="37">
        <v>2249.14</v>
      </c>
      <c r="K4" s="37">
        <f t="shared" ref="K4:K22" si="3">I4*J4</f>
        <v>0</v>
      </c>
      <c r="L4" s="78" t="s">
        <v>716</v>
      </c>
    </row>
    <row r="5" spans="1:12" ht="24" customHeight="1" x14ac:dyDescent="0.5">
      <c r="A5" s="57">
        <v>3</v>
      </c>
      <c r="B5" s="91" t="s">
        <v>629</v>
      </c>
      <c r="C5" s="59" t="s">
        <v>606</v>
      </c>
      <c r="D5" s="36">
        <v>0</v>
      </c>
      <c r="E5" s="36">
        <v>20</v>
      </c>
      <c r="F5" s="36">
        <f t="shared" si="0"/>
        <v>20</v>
      </c>
      <c r="G5" s="37">
        <f t="shared" si="1"/>
        <v>17120</v>
      </c>
      <c r="H5" s="36">
        <f t="shared" si="2"/>
        <v>20</v>
      </c>
      <c r="I5" s="36">
        <v>0</v>
      </c>
      <c r="J5" s="37">
        <v>856</v>
      </c>
      <c r="K5" s="37">
        <f t="shared" si="3"/>
        <v>0</v>
      </c>
      <c r="L5" s="83"/>
    </row>
    <row r="6" spans="1:12" ht="24" customHeight="1" x14ac:dyDescent="0.5">
      <c r="A6" s="57">
        <v>4</v>
      </c>
      <c r="B6" s="91" t="s">
        <v>637</v>
      </c>
      <c r="C6" s="59" t="s">
        <v>38</v>
      </c>
      <c r="D6" s="36">
        <v>50</v>
      </c>
      <c r="E6" s="36">
        <v>0</v>
      </c>
      <c r="F6" s="36">
        <f t="shared" si="0"/>
        <v>50</v>
      </c>
      <c r="G6" s="37">
        <f t="shared" si="1"/>
        <v>84500</v>
      </c>
      <c r="H6" s="36">
        <f t="shared" si="2"/>
        <v>50</v>
      </c>
      <c r="I6" s="36">
        <v>0</v>
      </c>
      <c r="J6" s="37">
        <v>1690</v>
      </c>
      <c r="K6" s="37">
        <f t="shared" si="3"/>
        <v>0</v>
      </c>
      <c r="L6" s="62" t="s">
        <v>627</v>
      </c>
    </row>
    <row r="7" spans="1:12" ht="24" customHeight="1" x14ac:dyDescent="0.5">
      <c r="A7" s="57">
        <v>5</v>
      </c>
      <c r="B7" s="91" t="s">
        <v>630</v>
      </c>
      <c r="C7" s="59" t="s">
        <v>606</v>
      </c>
      <c r="D7" s="36">
        <v>0</v>
      </c>
      <c r="E7" s="36">
        <v>1</v>
      </c>
      <c r="F7" s="36">
        <f t="shared" si="0"/>
        <v>1</v>
      </c>
      <c r="G7" s="37">
        <f t="shared" si="1"/>
        <v>19260</v>
      </c>
      <c r="H7" s="36">
        <f t="shared" si="2"/>
        <v>1</v>
      </c>
      <c r="I7" s="36">
        <v>0</v>
      </c>
      <c r="J7" s="37">
        <v>19260</v>
      </c>
      <c r="K7" s="37">
        <f t="shared" si="3"/>
        <v>0</v>
      </c>
      <c r="L7" s="90" t="s">
        <v>731</v>
      </c>
    </row>
    <row r="8" spans="1:12" ht="24" customHeight="1" x14ac:dyDescent="0.5">
      <c r="A8" s="57">
        <v>6</v>
      </c>
      <c r="B8" s="91" t="s">
        <v>631</v>
      </c>
      <c r="C8" s="59" t="s">
        <v>606</v>
      </c>
      <c r="D8" s="36">
        <v>0</v>
      </c>
      <c r="E8" s="36">
        <v>1</v>
      </c>
      <c r="F8" s="36">
        <f t="shared" si="0"/>
        <v>1</v>
      </c>
      <c r="G8" s="37">
        <f t="shared" si="1"/>
        <v>14980</v>
      </c>
      <c r="H8" s="36">
        <f t="shared" si="2"/>
        <v>1</v>
      </c>
      <c r="I8" s="36">
        <v>0</v>
      </c>
      <c r="J8" s="37">
        <v>14980</v>
      </c>
      <c r="K8" s="37">
        <f t="shared" si="3"/>
        <v>0</v>
      </c>
      <c r="L8" s="90" t="s">
        <v>16</v>
      </c>
    </row>
    <row r="9" spans="1:12" ht="24" customHeight="1" x14ac:dyDescent="0.5">
      <c r="A9" s="57">
        <v>7</v>
      </c>
      <c r="B9" s="91" t="s">
        <v>632</v>
      </c>
      <c r="C9" s="59" t="s">
        <v>606</v>
      </c>
      <c r="D9" s="36">
        <v>0</v>
      </c>
      <c r="E9" s="36">
        <v>25</v>
      </c>
      <c r="F9" s="36">
        <f t="shared" si="0"/>
        <v>25</v>
      </c>
      <c r="G9" s="37">
        <f t="shared" si="1"/>
        <v>85065</v>
      </c>
      <c r="H9" s="36">
        <f t="shared" si="2"/>
        <v>25</v>
      </c>
      <c r="I9" s="36">
        <v>0</v>
      </c>
      <c r="J9" s="37">
        <v>3402.6</v>
      </c>
      <c r="K9" s="37">
        <f t="shared" si="3"/>
        <v>0</v>
      </c>
      <c r="L9" s="90"/>
    </row>
    <row r="10" spans="1:12" ht="24" customHeight="1" x14ac:dyDescent="0.5">
      <c r="A10" s="57">
        <v>8</v>
      </c>
      <c r="B10" s="91" t="s">
        <v>251</v>
      </c>
      <c r="C10" s="59" t="s">
        <v>606</v>
      </c>
      <c r="D10" s="36">
        <v>0</v>
      </c>
      <c r="E10" s="36">
        <v>400</v>
      </c>
      <c r="F10" s="36">
        <f t="shared" si="0"/>
        <v>400</v>
      </c>
      <c r="G10" s="37">
        <f t="shared" si="1"/>
        <v>256800</v>
      </c>
      <c r="H10" s="36">
        <f t="shared" si="2"/>
        <v>400</v>
      </c>
      <c r="I10" s="36">
        <v>0</v>
      </c>
      <c r="J10" s="37">
        <v>642</v>
      </c>
      <c r="K10" s="37">
        <f t="shared" si="3"/>
        <v>0</v>
      </c>
      <c r="L10" s="62" t="s">
        <v>627</v>
      </c>
    </row>
    <row r="11" spans="1:12" ht="24" customHeight="1" x14ac:dyDescent="0.5">
      <c r="A11" s="57">
        <v>9</v>
      </c>
      <c r="B11" s="91" t="s">
        <v>633</v>
      </c>
      <c r="C11" s="59" t="s">
        <v>50</v>
      </c>
      <c r="D11" s="36">
        <v>0</v>
      </c>
      <c r="E11" s="36">
        <v>30</v>
      </c>
      <c r="F11" s="36">
        <f t="shared" si="0"/>
        <v>30</v>
      </c>
      <c r="G11" s="37">
        <f t="shared" si="1"/>
        <v>22500</v>
      </c>
      <c r="H11" s="36">
        <f t="shared" si="2"/>
        <v>30</v>
      </c>
      <c r="I11" s="36">
        <v>0</v>
      </c>
      <c r="J11" s="37">
        <v>750</v>
      </c>
      <c r="K11" s="37">
        <f t="shared" si="3"/>
        <v>0</v>
      </c>
      <c r="L11" s="83" t="s">
        <v>463</v>
      </c>
    </row>
    <row r="12" spans="1:12" ht="24" customHeight="1" x14ac:dyDescent="0.5">
      <c r="A12" s="57">
        <v>10</v>
      </c>
      <c r="B12" s="91" t="s">
        <v>634</v>
      </c>
      <c r="C12" s="59" t="s">
        <v>50</v>
      </c>
      <c r="D12" s="36">
        <v>0</v>
      </c>
      <c r="E12" s="36">
        <v>10</v>
      </c>
      <c r="F12" s="36">
        <f t="shared" si="0"/>
        <v>10</v>
      </c>
      <c r="G12" s="37">
        <f t="shared" si="1"/>
        <v>7500</v>
      </c>
      <c r="H12" s="36">
        <f t="shared" si="2"/>
        <v>10</v>
      </c>
      <c r="I12" s="36">
        <v>0</v>
      </c>
      <c r="J12" s="37">
        <v>750</v>
      </c>
      <c r="K12" s="37">
        <f t="shared" si="3"/>
        <v>0</v>
      </c>
      <c r="L12" s="90" t="s">
        <v>17</v>
      </c>
    </row>
    <row r="13" spans="1:12" ht="24" customHeight="1" x14ac:dyDescent="0.5">
      <c r="A13" s="57">
        <v>11</v>
      </c>
      <c r="B13" s="91" t="s">
        <v>635</v>
      </c>
      <c r="C13" s="59" t="s">
        <v>611</v>
      </c>
      <c r="D13" s="36">
        <v>0</v>
      </c>
      <c r="E13" s="36">
        <v>100</v>
      </c>
      <c r="F13" s="36">
        <f t="shared" si="0"/>
        <v>100</v>
      </c>
      <c r="G13" s="37">
        <f t="shared" si="1"/>
        <v>2039.9999999999998</v>
      </c>
      <c r="H13" s="36">
        <f t="shared" si="2"/>
        <v>100</v>
      </c>
      <c r="I13" s="36">
        <v>0</v>
      </c>
      <c r="J13" s="37">
        <v>20.399999999999999</v>
      </c>
      <c r="K13" s="37">
        <f t="shared" si="3"/>
        <v>0</v>
      </c>
      <c r="L13" s="90"/>
    </row>
    <row r="14" spans="1:12" ht="24" customHeight="1" x14ac:dyDescent="0.5">
      <c r="A14" s="57">
        <v>12</v>
      </c>
      <c r="B14" s="91" t="s">
        <v>638</v>
      </c>
      <c r="C14" s="59" t="s">
        <v>611</v>
      </c>
      <c r="D14" s="36">
        <v>100</v>
      </c>
      <c r="E14" s="36">
        <v>0</v>
      </c>
      <c r="F14" s="36">
        <f t="shared" si="0"/>
        <v>100</v>
      </c>
      <c r="G14" s="37">
        <f t="shared" si="1"/>
        <v>2050</v>
      </c>
      <c r="H14" s="36">
        <f t="shared" si="2"/>
        <v>100</v>
      </c>
      <c r="I14" s="36">
        <v>0</v>
      </c>
      <c r="J14" s="37">
        <v>20.5</v>
      </c>
      <c r="K14" s="37">
        <f t="shared" si="3"/>
        <v>0</v>
      </c>
      <c r="L14" s="62" t="s">
        <v>627</v>
      </c>
    </row>
    <row r="15" spans="1:12" ht="24" customHeight="1" x14ac:dyDescent="0.5">
      <c r="A15" s="57">
        <v>13</v>
      </c>
      <c r="B15" s="91" t="s">
        <v>639</v>
      </c>
      <c r="C15" s="59" t="s">
        <v>611</v>
      </c>
      <c r="D15" s="36">
        <v>100</v>
      </c>
      <c r="E15" s="36">
        <v>0</v>
      </c>
      <c r="F15" s="36">
        <f t="shared" si="0"/>
        <v>100</v>
      </c>
      <c r="G15" s="37">
        <f t="shared" si="1"/>
        <v>2050</v>
      </c>
      <c r="H15" s="36">
        <f t="shared" si="2"/>
        <v>100</v>
      </c>
      <c r="I15" s="36">
        <v>0</v>
      </c>
      <c r="J15" s="37">
        <v>20.5</v>
      </c>
      <c r="K15" s="37">
        <f t="shared" si="3"/>
        <v>0</v>
      </c>
      <c r="L15" s="83" t="s">
        <v>462</v>
      </c>
    </row>
    <row r="16" spans="1:12" ht="24" customHeight="1" x14ac:dyDescent="0.5">
      <c r="A16" s="57">
        <v>14</v>
      </c>
      <c r="B16" s="91" t="s">
        <v>252</v>
      </c>
      <c r="C16" s="59" t="s">
        <v>611</v>
      </c>
      <c r="D16" s="36">
        <v>0</v>
      </c>
      <c r="E16" s="36">
        <v>600</v>
      </c>
      <c r="F16" s="36">
        <f t="shared" si="0"/>
        <v>600</v>
      </c>
      <c r="G16" s="37">
        <f t="shared" si="1"/>
        <v>12240</v>
      </c>
      <c r="H16" s="36">
        <f t="shared" si="2"/>
        <v>600</v>
      </c>
      <c r="I16" s="36">
        <v>0</v>
      </c>
      <c r="J16" s="37">
        <v>20.399999999999999</v>
      </c>
      <c r="K16" s="37">
        <f t="shared" si="3"/>
        <v>0</v>
      </c>
      <c r="L16" s="83" t="s">
        <v>18</v>
      </c>
    </row>
    <row r="17" spans="1:12" ht="24" customHeight="1" x14ac:dyDescent="0.5">
      <c r="A17" s="57">
        <v>15</v>
      </c>
      <c r="B17" s="91" t="s">
        <v>253</v>
      </c>
      <c r="C17" s="59" t="s">
        <v>611</v>
      </c>
      <c r="D17" s="36">
        <v>0</v>
      </c>
      <c r="E17" s="36">
        <v>6000</v>
      </c>
      <c r="F17" s="36">
        <f t="shared" si="0"/>
        <v>6000</v>
      </c>
      <c r="G17" s="37">
        <f t="shared" si="1"/>
        <v>122399.99999999999</v>
      </c>
      <c r="H17" s="36">
        <f t="shared" si="2"/>
        <v>6000</v>
      </c>
      <c r="I17" s="36">
        <v>0</v>
      </c>
      <c r="J17" s="37">
        <v>20.399999999999999</v>
      </c>
      <c r="K17" s="37">
        <f t="shared" si="3"/>
        <v>0</v>
      </c>
      <c r="L17" s="78"/>
    </row>
    <row r="18" spans="1:12" ht="24" customHeight="1" x14ac:dyDescent="0.5">
      <c r="A18" s="57">
        <v>16</v>
      </c>
      <c r="B18" s="91" t="s">
        <v>254</v>
      </c>
      <c r="C18" s="59" t="s">
        <v>611</v>
      </c>
      <c r="D18" s="36">
        <v>0</v>
      </c>
      <c r="E18" s="36">
        <v>2800</v>
      </c>
      <c r="F18" s="36">
        <f t="shared" si="0"/>
        <v>2800</v>
      </c>
      <c r="G18" s="37">
        <f t="shared" si="1"/>
        <v>57119.999999999993</v>
      </c>
      <c r="H18" s="36">
        <f t="shared" si="2"/>
        <v>2800</v>
      </c>
      <c r="I18" s="36">
        <v>0</v>
      </c>
      <c r="J18" s="37">
        <v>20.399999999999999</v>
      </c>
      <c r="K18" s="37">
        <f t="shared" si="3"/>
        <v>0</v>
      </c>
      <c r="L18" s="62" t="s">
        <v>627</v>
      </c>
    </row>
    <row r="19" spans="1:12" ht="24" customHeight="1" x14ac:dyDescent="0.5">
      <c r="A19" s="57">
        <v>17</v>
      </c>
      <c r="B19" s="91" t="s">
        <v>410</v>
      </c>
      <c r="C19" s="59" t="s">
        <v>617</v>
      </c>
      <c r="D19" s="36">
        <v>0</v>
      </c>
      <c r="E19" s="36">
        <v>143000</v>
      </c>
      <c r="F19" s="36">
        <f t="shared" si="0"/>
        <v>143000</v>
      </c>
      <c r="G19" s="37">
        <f t="shared" si="1"/>
        <v>786500</v>
      </c>
      <c r="H19" s="36">
        <f t="shared" si="2"/>
        <v>143000</v>
      </c>
      <c r="I19" s="36">
        <v>0</v>
      </c>
      <c r="J19" s="37">
        <v>5.5</v>
      </c>
      <c r="K19" s="37">
        <f t="shared" si="3"/>
        <v>0</v>
      </c>
      <c r="L19" s="78" t="s">
        <v>434</v>
      </c>
    </row>
    <row r="20" spans="1:12" ht="24" customHeight="1" x14ac:dyDescent="0.5">
      <c r="A20" s="57">
        <v>18</v>
      </c>
      <c r="B20" s="91" t="s">
        <v>426</v>
      </c>
      <c r="C20" s="59" t="s">
        <v>606</v>
      </c>
      <c r="D20" s="36">
        <v>0</v>
      </c>
      <c r="E20" s="36">
        <v>8800</v>
      </c>
      <c r="F20" s="36">
        <f t="shared" si="0"/>
        <v>8800</v>
      </c>
      <c r="G20" s="37">
        <f t="shared" si="1"/>
        <v>880000</v>
      </c>
      <c r="H20" s="36">
        <f t="shared" si="2"/>
        <v>8800</v>
      </c>
      <c r="I20" s="36">
        <v>0</v>
      </c>
      <c r="J20" s="37">
        <v>100</v>
      </c>
      <c r="K20" s="37">
        <f t="shared" si="3"/>
        <v>0</v>
      </c>
      <c r="L20" s="83" t="s">
        <v>433</v>
      </c>
    </row>
    <row r="21" spans="1:12" ht="24" customHeight="1" x14ac:dyDescent="0.5">
      <c r="A21" s="57">
        <v>19</v>
      </c>
      <c r="B21" s="91" t="s">
        <v>636</v>
      </c>
      <c r="C21" s="59" t="s">
        <v>50</v>
      </c>
      <c r="D21" s="36">
        <v>0</v>
      </c>
      <c r="E21" s="36">
        <v>400</v>
      </c>
      <c r="F21" s="36">
        <f t="shared" si="0"/>
        <v>400</v>
      </c>
      <c r="G21" s="37">
        <f t="shared" si="1"/>
        <v>79608</v>
      </c>
      <c r="H21" s="36">
        <f t="shared" si="2"/>
        <v>400</v>
      </c>
      <c r="I21" s="36">
        <v>0</v>
      </c>
      <c r="J21" s="37">
        <v>199.02</v>
      </c>
      <c r="K21" s="37">
        <f t="shared" si="3"/>
        <v>0</v>
      </c>
      <c r="L21" s="78"/>
    </row>
    <row r="22" spans="1:12" ht="24" customHeight="1" x14ac:dyDescent="0.5">
      <c r="A22" s="57">
        <v>20</v>
      </c>
      <c r="B22" s="91" t="s">
        <v>255</v>
      </c>
      <c r="C22" s="59" t="s">
        <v>38</v>
      </c>
      <c r="D22" s="36">
        <v>0</v>
      </c>
      <c r="E22" s="36">
        <v>115</v>
      </c>
      <c r="F22" s="36">
        <f t="shared" si="0"/>
        <v>115</v>
      </c>
      <c r="G22" s="37">
        <f t="shared" si="1"/>
        <v>322000</v>
      </c>
      <c r="H22" s="36">
        <f t="shared" si="2"/>
        <v>115</v>
      </c>
      <c r="I22" s="36">
        <v>0</v>
      </c>
      <c r="J22" s="37">
        <v>2800</v>
      </c>
      <c r="K22" s="37">
        <f t="shared" si="3"/>
        <v>0</v>
      </c>
      <c r="L22" s="62" t="s">
        <v>627</v>
      </c>
    </row>
    <row r="23" spans="1:12" ht="24" customHeight="1" x14ac:dyDescent="0.5">
      <c r="A23" s="92"/>
      <c r="B23" s="53" t="s">
        <v>432</v>
      </c>
      <c r="C23" s="65"/>
      <c r="D23" s="38"/>
      <c r="E23" s="38"/>
      <c r="F23" s="38"/>
      <c r="G23" s="39">
        <f>SUM(G3:G22)</f>
        <v>4099826.8</v>
      </c>
      <c r="H23" s="38"/>
      <c r="I23" s="38"/>
      <c r="J23" s="39"/>
      <c r="K23" s="39">
        <f>SUM(K3:K22)</f>
        <v>0</v>
      </c>
      <c r="L23" s="78" t="s">
        <v>503</v>
      </c>
    </row>
    <row r="24" spans="1:12" ht="24" customHeight="1" x14ac:dyDescent="0.5">
      <c r="B24" s="93"/>
      <c r="C24" s="79"/>
      <c r="D24" s="40"/>
      <c r="E24" s="40"/>
      <c r="F24" s="40"/>
      <c r="G24" s="41"/>
      <c r="H24" s="40"/>
      <c r="I24" s="40"/>
      <c r="J24" s="41"/>
      <c r="K24" s="41"/>
      <c r="L24" s="83" t="s">
        <v>435</v>
      </c>
    </row>
    <row r="25" spans="1:12" ht="24" customHeight="1" x14ac:dyDescent="0.5">
      <c r="A25" s="57">
        <v>21</v>
      </c>
      <c r="B25" s="91" t="s">
        <v>256</v>
      </c>
      <c r="C25" s="59" t="s">
        <v>606</v>
      </c>
      <c r="D25" s="36">
        <v>0</v>
      </c>
      <c r="E25" s="36">
        <v>20</v>
      </c>
      <c r="F25" s="36">
        <f>D25+E25</f>
        <v>20</v>
      </c>
      <c r="G25" s="37">
        <f>H25*J25</f>
        <v>50290</v>
      </c>
      <c r="H25" s="36">
        <f>F25-I25</f>
        <v>20</v>
      </c>
      <c r="I25" s="36">
        <v>0</v>
      </c>
      <c r="J25" s="37">
        <v>2514.5</v>
      </c>
      <c r="K25" s="37">
        <f>I25*J25</f>
        <v>0</v>
      </c>
      <c r="L25" s="83" t="s">
        <v>15</v>
      </c>
    </row>
    <row r="26" spans="1:12" ht="24" customHeight="1" x14ac:dyDescent="0.5">
      <c r="A26" s="57">
        <v>22</v>
      </c>
      <c r="B26" s="91" t="s">
        <v>394</v>
      </c>
      <c r="C26" s="59" t="s">
        <v>606</v>
      </c>
      <c r="D26" s="36">
        <v>0</v>
      </c>
      <c r="E26" s="36">
        <v>20</v>
      </c>
      <c r="F26" s="36">
        <f t="shared" ref="F26:F44" si="4">D26+E26</f>
        <v>20</v>
      </c>
      <c r="G26" s="37">
        <f t="shared" ref="G26:G44" si="5">H26*J26</f>
        <v>113227.4</v>
      </c>
      <c r="H26" s="36">
        <f t="shared" ref="H26:H44" si="6">F26-I26</f>
        <v>20</v>
      </c>
      <c r="I26" s="36">
        <v>0</v>
      </c>
      <c r="J26" s="37">
        <v>5661.37</v>
      </c>
      <c r="K26" s="37">
        <f t="shared" ref="K26:K44" si="7">I26*J26</f>
        <v>0</v>
      </c>
      <c r="L26" s="78" t="s">
        <v>716</v>
      </c>
    </row>
    <row r="27" spans="1:12" ht="24" customHeight="1" x14ac:dyDescent="0.5">
      <c r="A27" s="57">
        <v>23</v>
      </c>
      <c r="B27" s="91" t="s">
        <v>257</v>
      </c>
      <c r="C27" s="59" t="s">
        <v>606</v>
      </c>
      <c r="D27" s="36">
        <v>0</v>
      </c>
      <c r="E27" s="42">
        <v>80</v>
      </c>
      <c r="F27" s="36">
        <f t="shared" si="4"/>
        <v>80</v>
      </c>
      <c r="G27" s="37">
        <f t="shared" si="5"/>
        <v>115560</v>
      </c>
      <c r="H27" s="36">
        <f t="shared" si="6"/>
        <v>80</v>
      </c>
      <c r="I27" s="36">
        <v>0</v>
      </c>
      <c r="J27" s="50">
        <v>1444.5</v>
      </c>
      <c r="K27" s="37">
        <f t="shared" si="7"/>
        <v>0</v>
      </c>
      <c r="L27" s="83"/>
    </row>
    <row r="28" spans="1:12" ht="24" customHeight="1" x14ac:dyDescent="0.5">
      <c r="A28" s="57">
        <v>24</v>
      </c>
      <c r="B28" s="91" t="s">
        <v>640</v>
      </c>
      <c r="C28" s="59" t="s">
        <v>606</v>
      </c>
      <c r="D28" s="36">
        <v>0</v>
      </c>
      <c r="E28" s="36">
        <v>120</v>
      </c>
      <c r="F28" s="36">
        <f t="shared" si="4"/>
        <v>120</v>
      </c>
      <c r="G28" s="37">
        <f t="shared" si="5"/>
        <v>231120</v>
      </c>
      <c r="H28" s="36">
        <f t="shared" si="6"/>
        <v>120</v>
      </c>
      <c r="I28" s="36">
        <v>0</v>
      </c>
      <c r="J28" s="37">
        <v>1926</v>
      </c>
      <c r="K28" s="37">
        <f t="shared" si="7"/>
        <v>0</v>
      </c>
      <c r="L28" s="62" t="s">
        <v>627</v>
      </c>
    </row>
    <row r="29" spans="1:12" ht="24" customHeight="1" x14ac:dyDescent="0.5">
      <c r="A29" s="57">
        <v>25</v>
      </c>
      <c r="B29" s="91" t="s">
        <v>641</v>
      </c>
      <c r="C29" s="59" t="s">
        <v>38</v>
      </c>
      <c r="D29" s="36">
        <v>0</v>
      </c>
      <c r="E29" s="36">
        <v>4300</v>
      </c>
      <c r="F29" s="36">
        <f t="shared" si="4"/>
        <v>4300</v>
      </c>
      <c r="G29" s="37">
        <f t="shared" si="5"/>
        <v>1045250</v>
      </c>
      <c r="H29" s="36">
        <f t="shared" si="6"/>
        <v>4181</v>
      </c>
      <c r="I29" s="36">
        <v>119</v>
      </c>
      <c r="J29" s="37">
        <v>250</v>
      </c>
      <c r="K29" s="37">
        <f t="shared" si="7"/>
        <v>29750</v>
      </c>
      <c r="L29" s="90" t="s">
        <v>731</v>
      </c>
    </row>
    <row r="30" spans="1:12" ht="24" customHeight="1" x14ac:dyDescent="0.5">
      <c r="A30" s="57">
        <v>26</v>
      </c>
      <c r="B30" s="91" t="s">
        <v>642</v>
      </c>
      <c r="C30" s="59" t="s">
        <v>611</v>
      </c>
      <c r="D30" s="36">
        <v>0</v>
      </c>
      <c r="E30" s="36">
        <v>10</v>
      </c>
      <c r="F30" s="36">
        <f t="shared" si="4"/>
        <v>10</v>
      </c>
      <c r="G30" s="37">
        <f t="shared" si="5"/>
        <v>12150</v>
      </c>
      <c r="H30" s="36">
        <f t="shared" si="6"/>
        <v>10</v>
      </c>
      <c r="I30" s="36">
        <v>0</v>
      </c>
      <c r="J30" s="37">
        <v>1215</v>
      </c>
      <c r="K30" s="37">
        <f t="shared" si="7"/>
        <v>0</v>
      </c>
      <c r="L30" s="90" t="s">
        <v>16</v>
      </c>
    </row>
    <row r="31" spans="1:12" ht="24" customHeight="1" x14ac:dyDescent="0.5">
      <c r="A31" s="57">
        <v>27</v>
      </c>
      <c r="B31" s="91" t="s">
        <v>643</v>
      </c>
      <c r="C31" s="59" t="s">
        <v>611</v>
      </c>
      <c r="D31" s="36">
        <v>0</v>
      </c>
      <c r="E31" s="36">
        <v>10</v>
      </c>
      <c r="F31" s="36">
        <f t="shared" si="4"/>
        <v>10</v>
      </c>
      <c r="G31" s="37">
        <f t="shared" si="5"/>
        <v>12000</v>
      </c>
      <c r="H31" s="36">
        <f t="shared" si="6"/>
        <v>10</v>
      </c>
      <c r="I31" s="36">
        <v>0</v>
      </c>
      <c r="J31" s="37">
        <v>1200</v>
      </c>
      <c r="K31" s="37">
        <f t="shared" si="7"/>
        <v>0</v>
      </c>
      <c r="L31" s="90"/>
    </row>
    <row r="32" spans="1:12" ht="24" customHeight="1" x14ac:dyDescent="0.5">
      <c r="A32" s="57">
        <v>28</v>
      </c>
      <c r="B32" s="91" t="s">
        <v>644</v>
      </c>
      <c r="C32" s="59" t="s">
        <v>606</v>
      </c>
      <c r="D32" s="36">
        <v>0</v>
      </c>
      <c r="E32" s="36">
        <v>40</v>
      </c>
      <c r="F32" s="36">
        <f t="shared" si="4"/>
        <v>40</v>
      </c>
      <c r="G32" s="37">
        <f t="shared" si="5"/>
        <v>55640</v>
      </c>
      <c r="H32" s="36">
        <f t="shared" si="6"/>
        <v>40</v>
      </c>
      <c r="I32" s="36">
        <v>0</v>
      </c>
      <c r="J32" s="37">
        <v>1391</v>
      </c>
      <c r="K32" s="37">
        <f t="shared" si="7"/>
        <v>0</v>
      </c>
      <c r="L32" s="62" t="s">
        <v>627</v>
      </c>
    </row>
    <row r="33" spans="1:12" ht="24" customHeight="1" x14ac:dyDescent="0.5">
      <c r="A33" s="57">
        <v>29</v>
      </c>
      <c r="B33" s="91" t="s">
        <v>645</v>
      </c>
      <c r="C33" s="59" t="s">
        <v>606</v>
      </c>
      <c r="D33" s="36">
        <v>0</v>
      </c>
      <c r="E33" s="36">
        <v>104</v>
      </c>
      <c r="F33" s="36">
        <f t="shared" si="4"/>
        <v>104</v>
      </c>
      <c r="G33" s="37">
        <f t="shared" si="5"/>
        <v>600912</v>
      </c>
      <c r="H33" s="36">
        <f t="shared" si="6"/>
        <v>104</v>
      </c>
      <c r="I33" s="36">
        <v>0</v>
      </c>
      <c r="J33" s="37">
        <v>5778</v>
      </c>
      <c r="K33" s="37">
        <f t="shared" si="7"/>
        <v>0</v>
      </c>
      <c r="L33" s="83" t="s">
        <v>463</v>
      </c>
    </row>
    <row r="34" spans="1:12" ht="24" customHeight="1" x14ac:dyDescent="0.5">
      <c r="A34" s="57">
        <v>30</v>
      </c>
      <c r="B34" s="91" t="s">
        <v>646</v>
      </c>
      <c r="C34" s="59" t="s">
        <v>191</v>
      </c>
      <c r="D34" s="36">
        <v>0</v>
      </c>
      <c r="E34" s="36">
        <v>2316</v>
      </c>
      <c r="F34" s="36">
        <f t="shared" si="4"/>
        <v>2316</v>
      </c>
      <c r="G34" s="37">
        <f t="shared" si="5"/>
        <v>483233.4</v>
      </c>
      <c r="H34" s="36">
        <f t="shared" si="6"/>
        <v>2316</v>
      </c>
      <c r="I34" s="36">
        <v>0</v>
      </c>
      <c r="J34" s="51">
        <v>208.65</v>
      </c>
      <c r="K34" s="37">
        <f t="shared" si="7"/>
        <v>0</v>
      </c>
      <c r="L34" s="90" t="s">
        <v>17</v>
      </c>
    </row>
    <row r="35" spans="1:12" ht="24" customHeight="1" x14ac:dyDescent="0.5">
      <c r="A35" s="57">
        <v>31</v>
      </c>
      <c r="B35" s="91" t="s">
        <v>440</v>
      </c>
      <c r="C35" s="59" t="s">
        <v>606</v>
      </c>
      <c r="D35" s="36">
        <v>3</v>
      </c>
      <c r="E35" s="36">
        <v>32</v>
      </c>
      <c r="F35" s="36">
        <f>D35+E35</f>
        <v>35</v>
      </c>
      <c r="G35" s="37">
        <f>H35*J35</f>
        <v>198000</v>
      </c>
      <c r="H35" s="36">
        <f>F35-I35</f>
        <v>33</v>
      </c>
      <c r="I35" s="36">
        <v>2</v>
      </c>
      <c r="J35" s="37">
        <v>6000</v>
      </c>
      <c r="K35" s="37">
        <f>I35*J35</f>
        <v>12000</v>
      </c>
      <c r="L35" s="90"/>
    </row>
    <row r="36" spans="1:12" ht="24" customHeight="1" x14ac:dyDescent="0.5">
      <c r="A36" s="57">
        <v>32</v>
      </c>
      <c r="B36" s="91" t="s">
        <v>427</v>
      </c>
      <c r="C36" s="59" t="s">
        <v>606</v>
      </c>
      <c r="D36" s="36">
        <v>0</v>
      </c>
      <c r="E36" s="36">
        <v>27</v>
      </c>
      <c r="F36" s="36">
        <f>D36+E36</f>
        <v>27</v>
      </c>
      <c r="G36" s="37">
        <f>H36*J36</f>
        <v>324000</v>
      </c>
      <c r="H36" s="36">
        <f>F36-I36</f>
        <v>27</v>
      </c>
      <c r="I36" s="36">
        <v>0</v>
      </c>
      <c r="J36" s="37">
        <v>12000</v>
      </c>
      <c r="K36" s="37">
        <f>I36*J36</f>
        <v>0</v>
      </c>
      <c r="L36" s="62" t="s">
        <v>627</v>
      </c>
    </row>
    <row r="37" spans="1:12" ht="24" customHeight="1" x14ac:dyDescent="0.5">
      <c r="A37" s="57">
        <v>33</v>
      </c>
      <c r="B37" s="91" t="s">
        <v>258</v>
      </c>
      <c r="C37" s="59" t="s">
        <v>611</v>
      </c>
      <c r="D37" s="36">
        <v>0</v>
      </c>
      <c r="E37" s="36">
        <v>5400</v>
      </c>
      <c r="F37" s="36">
        <f t="shared" si="4"/>
        <v>5400</v>
      </c>
      <c r="G37" s="37">
        <f t="shared" si="5"/>
        <v>270000</v>
      </c>
      <c r="H37" s="36">
        <f t="shared" si="6"/>
        <v>5400</v>
      </c>
      <c r="I37" s="36">
        <v>0</v>
      </c>
      <c r="J37" s="37">
        <v>50</v>
      </c>
      <c r="K37" s="37">
        <f t="shared" si="7"/>
        <v>0</v>
      </c>
      <c r="L37" s="83" t="s">
        <v>462</v>
      </c>
    </row>
    <row r="38" spans="1:12" ht="24" customHeight="1" x14ac:dyDescent="0.5">
      <c r="A38" s="57">
        <v>34</v>
      </c>
      <c r="B38" s="91" t="s">
        <v>519</v>
      </c>
      <c r="C38" s="59" t="s">
        <v>606</v>
      </c>
      <c r="D38" s="36">
        <v>0</v>
      </c>
      <c r="E38" s="36">
        <v>2600</v>
      </c>
      <c r="F38" s="36">
        <f t="shared" si="4"/>
        <v>2600</v>
      </c>
      <c r="G38" s="37">
        <f t="shared" si="5"/>
        <v>347750</v>
      </c>
      <c r="H38" s="36">
        <f t="shared" si="6"/>
        <v>2600</v>
      </c>
      <c r="I38" s="36">
        <v>0</v>
      </c>
      <c r="J38" s="37">
        <v>133.75</v>
      </c>
      <c r="K38" s="37">
        <f t="shared" si="7"/>
        <v>0</v>
      </c>
      <c r="L38" s="83" t="s">
        <v>18</v>
      </c>
    </row>
    <row r="39" spans="1:12" ht="24" customHeight="1" x14ac:dyDescent="0.5">
      <c r="A39" s="57">
        <v>35</v>
      </c>
      <c r="B39" s="91" t="s">
        <v>259</v>
      </c>
      <c r="C39" s="59" t="s">
        <v>611</v>
      </c>
      <c r="D39" s="36">
        <v>1</v>
      </c>
      <c r="E39" s="36">
        <v>0</v>
      </c>
      <c r="F39" s="36">
        <f t="shared" si="4"/>
        <v>1</v>
      </c>
      <c r="G39" s="37">
        <f t="shared" si="5"/>
        <v>0</v>
      </c>
      <c r="H39" s="36">
        <f t="shared" si="6"/>
        <v>0</v>
      </c>
      <c r="I39" s="36">
        <v>1</v>
      </c>
      <c r="J39" s="37">
        <v>100</v>
      </c>
      <c r="K39" s="37">
        <f t="shared" si="7"/>
        <v>100</v>
      </c>
      <c r="L39" s="78"/>
    </row>
    <row r="40" spans="1:12" ht="24" customHeight="1" x14ac:dyDescent="0.5">
      <c r="A40" s="57">
        <v>36</v>
      </c>
      <c r="B40" s="91" t="s">
        <v>520</v>
      </c>
      <c r="C40" s="59" t="s">
        <v>606</v>
      </c>
      <c r="D40" s="36">
        <v>0</v>
      </c>
      <c r="E40" s="36">
        <v>80</v>
      </c>
      <c r="F40" s="36">
        <f t="shared" si="4"/>
        <v>80</v>
      </c>
      <c r="G40" s="37">
        <f t="shared" si="5"/>
        <v>214000</v>
      </c>
      <c r="H40" s="36">
        <f t="shared" si="6"/>
        <v>80</v>
      </c>
      <c r="I40" s="36">
        <v>0</v>
      </c>
      <c r="J40" s="37">
        <v>2675</v>
      </c>
      <c r="K40" s="37">
        <f t="shared" si="7"/>
        <v>0</v>
      </c>
      <c r="L40" s="62" t="s">
        <v>627</v>
      </c>
    </row>
    <row r="41" spans="1:12" ht="24" customHeight="1" x14ac:dyDescent="0.5">
      <c r="A41" s="57">
        <v>37</v>
      </c>
      <c r="B41" s="91" t="s">
        <v>647</v>
      </c>
      <c r="C41" s="59" t="s">
        <v>606</v>
      </c>
      <c r="D41" s="36">
        <v>0</v>
      </c>
      <c r="E41" s="36">
        <v>50</v>
      </c>
      <c r="F41" s="36">
        <f t="shared" si="4"/>
        <v>50</v>
      </c>
      <c r="G41" s="37">
        <f t="shared" si="5"/>
        <v>42800</v>
      </c>
      <c r="H41" s="36">
        <f t="shared" si="6"/>
        <v>50</v>
      </c>
      <c r="I41" s="36">
        <v>0</v>
      </c>
      <c r="J41" s="37">
        <v>856</v>
      </c>
      <c r="K41" s="37">
        <f t="shared" si="7"/>
        <v>0</v>
      </c>
      <c r="L41" s="78" t="s">
        <v>434</v>
      </c>
    </row>
    <row r="42" spans="1:12" ht="24" customHeight="1" x14ac:dyDescent="0.5">
      <c r="A42" s="57">
        <v>38</v>
      </c>
      <c r="B42" s="91" t="s">
        <v>484</v>
      </c>
      <c r="C42" s="59" t="s">
        <v>50</v>
      </c>
      <c r="D42" s="36">
        <v>0</v>
      </c>
      <c r="E42" s="36">
        <v>120</v>
      </c>
      <c r="F42" s="36">
        <f t="shared" si="4"/>
        <v>120</v>
      </c>
      <c r="G42" s="37">
        <f t="shared" si="5"/>
        <v>233456.4</v>
      </c>
      <c r="H42" s="36">
        <f t="shared" si="6"/>
        <v>120</v>
      </c>
      <c r="I42" s="36">
        <v>0</v>
      </c>
      <c r="J42" s="37">
        <v>1945.47</v>
      </c>
      <c r="K42" s="37">
        <f t="shared" si="7"/>
        <v>0</v>
      </c>
      <c r="L42" s="83" t="s">
        <v>433</v>
      </c>
    </row>
    <row r="43" spans="1:12" ht="24" customHeight="1" x14ac:dyDescent="0.5">
      <c r="A43" s="57">
        <v>39</v>
      </c>
      <c r="B43" s="91" t="s">
        <v>648</v>
      </c>
      <c r="C43" s="59" t="s">
        <v>38</v>
      </c>
      <c r="D43" s="36">
        <v>0</v>
      </c>
      <c r="E43" s="36">
        <v>100</v>
      </c>
      <c r="F43" s="36">
        <f t="shared" si="4"/>
        <v>100</v>
      </c>
      <c r="G43" s="37">
        <f t="shared" si="5"/>
        <v>135200</v>
      </c>
      <c r="H43" s="36">
        <f t="shared" si="6"/>
        <v>80</v>
      </c>
      <c r="I43" s="36">
        <v>20</v>
      </c>
      <c r="J43" s="37">
        <v>1690</v>
      </c>
      <c r="K43" s="37">
        <f t="shared" si="7"/>
        <v>33800</v>
      </c>
      <c r="L43" s="78"/>
    </row>
    <row r="44" spans="1:12" ht="24" customHeight="1" x14ac:dyDescent="0.5">
      <c r="A44" s="57">
        <v>40</v>
      </c>
      <c r="B44" s="91" t="s">
        <v>649</v>
      </c>
      <c r="C44" s="59" t="s">
        <v>38</v>
      </c>
      <c r="D44" s="36">
        <v>20</v>
      </c>
      <c r="E44" s="36">
        <v>0</v>
      </c>
      <c r="F44" s="36">
        <f t="shared" si="4"/>
        <v>20</v>
      </c>
      <c r="G44" s="37">
        <f t="shared" si="5"/>
        <v>30900</v>
      </c>
      <c r="H44" s="36">
        <f t="shared" si="6"/>
        <v>20</v>
      </c>
      <c r="I44" s="36">
        <v>0</v>
      </c>
      <c r="J44" s="37">
        <v>1545</v>
      </c>
      <c r="K44" s="37">
        <f t="shared" si="7"/>
        <v>0</v>
      </c>
      <c r="L44" s="62" t="s">
        <v>627</v>
      </c>
    </row>
    <row r="45" spans="1:12" ht="24" customHeight="1" x14ac:dyDescent="0.5">
      <c r="A45" s="92"/>
      <c r="B45" s="53" t="s">
        <v>432</v>
      </c>
      <c r="C45" s="65"/>
      <c r="D45" s="38"/>
      <c r="E45" s="38"/>
      <c r="F45" s="38"/>
      <c r="G45" s="39">
        <f>SUM(G25:G44)</f>
        <v>4515489.2</v>
      </c>
      <c r="H45" s="38"/>
      <c r="I45" s="38"/>
      <c r="J45" s="39"/>
      <c r="K45" s="39">
        <f>SUM(K25:K44)</f>
        <v>75650</v>
      </c>
      <c r="L45" s="78" t="s">
        <v>503</v>
      </c>
    </row>
    <row r="46" spans="1:12" ht="24" customHeight="1" x14ac:dyDescent="0.5">
      <c r="B46" s="93"/>
      <c r="C46" s="79"/>
      <c r="D46" s="40"/>
      <c r="E46" s="40"/>
      <c r="F46" s="40"/>
      <c r="G46" s="41"/>
      <c r="H46" s="40"/>
      <c r="I46" s="40"/>
      <c r="J46" s="41"/>
      <c r="K46" s="41"/>
      <c r="L46" s="83" t="s">
        <v>435</v>
      </c>
    </row>
    <row r="47" spans="1:12" ht="24" customHeight="1" x14ac:dyDescent="0.5">
      <c r="A47" s="57">
        <v>41</v>
      </c>
      <c r="B47" s="91" t="s">
        <v>650</v>
      </c>
      <c r="C47" s="59" t="s">
        <v>606</v>
      </c>
      <c r="D47" s="36">
        <v>0</v>
      </c>
      <c r="E47" s="36">
        <v>1</v>
      </c>
      <c r="F47" s="36">
        <f>D47+E47</f>
        <v>1</v>
      </c>
      <c r="G47" s="37">
        <f>H47*J47</f>
        <v>3210</v>
      </c>
      <c r="H47" s="36">
        <f>F47-I47</f>
        <v>1</v>
      </c>
      <c r="I47" s="36">
        <v>0</v>
      </c>
      <c r="J47" s="37">
        <v>3210</v>
      </c>
      <c r="K47" s="37">
        <f t="shared" ref="K47:K66" si="8">I47*J47</f>
        <v>0</v>
      </c>
      <c r="L47" s="83" t="s">
        <v>15</v>
      </c>
    </row>
    <row r="48" spans="1:12" ht="24" customHeight="1" x14ac:dyDescent="0.5">
      <c r="A48" s="57">
        <v>42</v>
      </c>
      <c r="B48" s="91" t="s">
        <v>441</v>
      </c>
      <c r="C48" s="59" t="s">
        <v>50</v>
      </c>
      <c r="D48" s="36">
        <v>0</v>
      </c>
      <c r="E48" s="36">
        <v>300</v>
      </c>
      <c r="F48" s="36">
        <f t="shared" ref="F48:F66" si="9">D48+E48</f>
        <v>300</v>
      </c>
      <c r="G48" s="37">
        <f t="shared" ref="G48:G66" si="10">H48*J48</f>
        <v>69336</v>
      </c>
      <c r="H48" s="36">
        <f t="shared" ref="H48:H66" si="11">F48-I48</f>
        <v>300</v>
      </c>
      <c r="I48" s="36">
        <v>0</v>
      </c>
      <c r="J48" s="37">
        <v>231.12</v>
      </c>
      <c r="K48" s="37">
        <f t="shared" si="8"/>
        <v>0</v>
      </c>
      <c r="L48" s="78" t="s">
        <v>716</v>
      </c>
    </row>
    <row r="49" spans="1:12" ht="24" customHeight="1" x14ac:dyDescent="0.5">
      <c r="A49" s="57">
        <v>43</v>
      </c>
      <c r="B49" s="91" t="s">
        <v>651</v>
      </c>
      <c r="C49" s="59" t="s">
        <v>606</v>
      </c>
      <c r="D49" s="36">
        <v>0</v>
      </c>
      <c r="E49" s="36">
        <v>150</v>
      </c>
      <c r="F49" s="36">
        <f t="shared" si="9"/>
        <v>150</v>
      </c>
      <c r="G49" s="37">
        <f t="shared" si="10"/>
        <v>29692.5</v>
      </c>
      <c r="H49" s="36">
        <f t="shared" si="11"/>
        <v>150</v>
      </c>
      <c r="I49" s="36">
        <v>0</v>
      </c>
      <c r="J49" s="37">
        <v>197.95</v>
      </c>
      <c r="K49" s="37">
        <f t="shared" si="8"/>
        <v>0</v>
      </c>
      <c r="L49" s="83"/>
    </row>
    <row r="50" spans="1:12" ht="24" customHeight="1" x14ac:dyDescent="0.5">
      <c r="A50" s="57">
        <v>44</v>
      </c>
      <c r="B50" s="91" t="s">
        <v>428</v>
      </c>
      <c r="C50" s="59" t="s">
        <v>204</v>
      </c>
      <c r="D50" s="36">
        <v>0</v>
      </c>
      <c r="E50" s="36">
        <v>840</v>
      </c>
      <c r="F50" s="36">
        <f t="shared" si="9"/>
        <v>840</v>
      </c>
      <c r="G50" s="37">
        <f t="shared" si="10"/>
        <v>178420</v>
      </c>
      <c r="H50" s="36">
        <f t="shared" si="11"/>
        <v>811</v>
      </c>
      <c r="I50" s="36">
        <v>29</v>
      </c>
      <c r="J50" s="37">
        <v>220</v>
      </c>
      <c r="K50" s="37">
        <f t="shared" si="8"/>
        <v>6380</v>
      </c>
      <c r="L50" s="62" t="s">
        <v>627</v>
      </c>
    </row>
    <row r="51" spans="1:12" ht="24" customHeight="1" x14ac:dyDescent="0.5">
      <c r="A51" s="57">
        <v>45</v>
      </c>
      <c r="B51" s="91" t="s">
        <v>652</v>
      </c>
      <c r="C51" s="59" t="s">
        <v>606</v>
      </c>
      <c r="D51" s="36">
        <v>0</v>
      </c>
      <c r="E51" s="36">
        <v>330</v>
      </c>
      <c r="F51" s="36">
        <f t="shared" si="9"/>
        <v>330</v>
      </c>
      <c r="G51" s="37">
        <f t="shared" si="10"/>
        <v>165000</v>
      </c>
      <c r="H51" s="36">
        <f t="shared" si="11"/>
        <v>330</v>
      </c>
      <c r="I51" s="36">
        <v>0</v>
      </c>
      <c r="J51" s="37">
        <v>500</v>
      </c>
      <c r="K51" s="37">
        <f t="shared" si="8"/>
        <v>0</v>
      </c>
      <c r="L51" s="90" t="s">
        <v>731</v>
      </c>
    </row>
    <row r="52" spans="1:12" ht="24" customHeight="1" x14ac:dyDescent="0.5">
      <c r="A52" s="57">
        <v>46</v>
      </c>
      <c r="B52" s="91" t="s">
        <v>411</v>
      </c>
      <c r="C52" s="59" t="s">
        <v>606</v>
      </c>
      <c r="D52" s="36">
        <v>0</v>
      </c>
      <c r="E52" s="36">
        <v>42</v>
      </c>
      <c r="F52" s="36">
        <f t="shared" si="9"/>
        <v>42</v>
      </c>
      <c r="G52" s="37">
        <f t="shared" si="10"/>
        <v>75600</v>
      </c>
      <c r="H52" s="36">
        <f t="shared" si="11"/>
        <v>42</v>
      </c>
      <c r="I52" s="36">
        <v>0</v>
      </c>
      <c r="J52" s="37">
        <v>1800</v>
      </c>
      <c r="K52" s="37">
        <f t="shared" si="8"/>
        <v>0</v>
      </c>
      <c r="L52" s="90" t="s">
        <v>16</v>
      </c>
    </row>
    <row r="53" spans="1:12" ht="24" customHeight="1" x14ac:dyDescent="0.5">
      <c r="A53" s="57">
        <v>47</v>
      </c>
      <c r="B53" s="91" t="s">
        <v>412</v>
      </c>
      <c r="C53" s="59" t="s">
        <v>606</v>
      </c>
      <c r="D53" s="36">
        <v>0</v>
      </c>
      <c r="E53" s="36">
        <v>1</v>
      </c>
      <c r="F53" s="36">
        <f t="shared" si="9"/>
        <v>1</v>
      </c>
      <c r="G53" s="37">
        <f t="shared" si="10"/>
        <v>3540</v>
      </c>
      <c r="H53" s="36">
        <f t="shared" si="11"/>
        <v>1</v>
      </c>
      <c r="I53" s="36">
        <v>0</v>
      </c>
      <c r="J53" s="37">
        <v>3540</v>
      </c>
      <c r="K53" s="37">
        <f t="shared" si="8"/>
        <v>0</v>
      </c>
      <c r="L53" s="90"/>
    </row>
    <row r="54" spans="1:12" ht="24" customHeight="1" x14ac:dyDescent="0.5">
      <c r="A54" s="57">
        <v>48</v>
      </c>
      <c r="B54" s="91" t="s">
        <v>260</v>
      </c>
      <c r="C54" s="59" t="s">
        <v>611</v>
      </c>
      <c r="D54" s="36">
        <v>0</v>
      </c>
      <c r="E54" s="36">
        <v>3000</v>
      </c>
      <c r="F54" s="36">
        <f t="shared" si="9"/>
        <v>3000</v>
      </c>
      <c r="G54" s="37">
        <f t="shared" si="10"/>
        <v>808320</v>
      </c>
      <c r="H54" s="36">
        <f t="shared" si="11"/>
        <v>3000</v>
      </c>
      <c r="I54" s="36">
        <v>0</v>
      </c>
      <c r="J54" s="37">
        <v>269.44</v>
      </c>
      <c r="K54" s="37">
        <f t="shared" si="8"/>
        <v>0</v>
      </c>
      <c r="L54" s="62" t="s">
        <v>627</v>
      </c>
    </row>
    <row r="55" spans="1:12" ht="24" customHeight="1" x14ac:dyDescent="0.5">
      <c r="A55" s="57">
        <v>49</v>
      </c>
      <c r="B55" s="91" t="s">
        <v>261</v>
      </c>
      <c r="C55" s="59" t="s">
        <v>611</v>
      </c>
      <c r="D55" s="36">
        <v>20</v>
      </c>
      <c r="E55" s="36">
        <v>0</v>
      </c>
      <c r="F55" s="36">
        <f t="shared" si="9"/>
        <v>20</v>
      </c>
      <c r="G55" s="37">
        <f t="shared" si="10"/>
        <v>0</v>
      </c>
      <c r="H55" s="36">
        <f t="shared" si="11"/>
        <v>0</v>
      </c>
      <c r="I55" s="36">
        <v>20</v>
      </c>
      <c r="J55" s="37">
        <v>250</v>
      </c>
      <c r="K55" s="37">
        <f t="shared" si="8"/>
        <v>5000</v>
      </c>
      <c r="L55" s="83" t="s">
        <v>463</v>
      </c>
    </row>
    <row r="56" spans="1:12" ht="24" customHeight="1" x14ac:dyDescent="0.5">
      <c r="A56" s="57">
        <v>50</v>
      </c>
      <c r="B56" s="91" t="s">
        <v>653</v>
      </c>
      <c r="C56" s="59" t="s">
        <v>611</v>
      </c>
      <c r="D56" s="36">
        <v>0</v>
      </c>
      <c r="E56" s="36">
        <v>300</v>
      </c>
      <c r="F56" s="36">
        <f t="shared" si="9"/>
        <v>300</v>
      </c>
      <c r="G56" s="37">
        <f t="shared" si="10"/>
        <v>24000</v>
      </c>
      <c r="H56" s="36">
        <f t="shared" si="11"/>
        <v>300</v>
      </c>
      <c r="I56" s="36">
        <v>0</v>
      </c>
      <c r="J56" s="37">
        <v>80</v>
      </c>
      <c r="K56" s="37">
        <f t="shared" si="8"/>
        <v>0</v>
      </c>
      <c r="L56" s="90" t="s">
        <v>17</v>
      </c>
    </row>
    <row r="57" spans="1:12" ht="24" customHeight="1" x14ac:dyDescent="0.5">
      <c r="A57" s="57">
        <v>51</v>
      </c>
      <c r="B57" s="91" t="s">
        <v>654</v>
      </c>
      <c r="C57" s="59" t="s">
        <v>606</v>
      </c>
      <c r="D57" s="36">
        <v>0</v>
      </c>
      <c r="E57" s="36">
        <v>30</v>
      </c>
      <c r="F57" s="36">
        <f t="shared" si="9"/>
        <v>30</v>
      </c>
      <c r="G57" s="37">
        <f t="shared" si="10"/>
        <v>33705</v>
      </c>
      <c r="H57" s="36">
        <f t="shared" si="11"/>
        <v>30</v>
      </c>
      <c r="I57" s="36">
        <v>0</v>
      </c>
      <c r="J57" s="37">
        <v>1123.5</v>
      </c>
      <c r="K57" s="37">
        <f t="shared" si="8"/>
        <v>0</v>
      </c>
      <c r="L57" s="90"/>
    </row>
    <row r="58" spans="1:12" ht="24" customHeight="1" x14ac:dyDescent="0.5">
      <c r="A58" s="57">
        <v>52</v>
      </c>
      <c r="B58" s="91" t="s">
        <v>655</v>
      </c>
      <c r="C58" s="59" t="s">
        <v>604</v>
      </c>
      <c r="D58" s="36">
        <v>0</v>
      </c>
      <c r="E58" s="36">
        <v>80</v>
      </c>
      <c r="F58" s="36">
        <f t="shared" si="9"/>
        <v>80</v>
      </c>
      <c r="G58" s="37">
        <f t="shared" si="10"/>
        <v>64200</v>
      </c>
      <c r="H58" s="36">
        <f t="shared" si="11"/>
        <v>60</v>
      </c>
      <c r="I58" s="36">
        <v>20</v>
      </c>
      <c r="J58" s="37">
        <v>1070</v>
      </c>
      <c r="K58" s="37">
        <f t="shared" si="8"/>
        <v>21400</v>
      </c>
      <c r="L58" s="62" t="s">
        <v>627</v>
      </c>
    </row>
    <row r="59" spans="1:12" ht="24" customHeight="1" x14ac:dyDescent="0.5">
      <c r="A59" s="57">
        <v>53</v>
      </c>
      <c r="B59" s="91" t="s">
        <v>262</v>
      </c>
      <c r="C59" s="59" t="s">
        <v>604</v>
      </c>
      <c r="D59" s="36">
        <v>0</v>
      </c>
      <c r="E59" s="36">
        <v>1220</v>
      </c>
      <c r="F59" s="36">
        <f t="shared" si="9"/>
        <v>1220</v>
      </c>
      <c r="G59" s="37">
        <f t="shared" si="10"/>
        <v>2284450</v>
      </c>
      <c r="H59" s="36">
        <f t="shared" si="11"/>
        <v>1220</v>
      </c>
      <c r="I59" s="36">
        <v>0</v>
      </c>
      <c r="J59" s="37">
        <v>1872.5</v>
      </c>
      <c r="K59" s="37">
        <f t="shared" si="8"/>
        <v>0</v>
      </c>
      <c r="L59" s="83" t="s">
        <v>462</v>
      </c>
    </row>
    <row r="60" spans="1:12" ht="24" customHeight="1" x14ac:dyDescent="0.5">
      <c r="A60" s="57">
        <v>54</v>
      </c>
      <c r="B60" s="91" t="s">
        <v>656</v>
      </c>
      <c r="C60" s="59" t="s">
        <v>605</v>
      </c>
      <c r="D60" s="36">
        <v>0</v>
      </c>
      <c r="E60" s="36">
        <v>16000</v>
      </c>
      <c r="F60" s="36">
        <f t="shared" si="9"/>
        <v>16000</v>
      </c>
      <c r="G60" s="37">
        <f t="shared" si="10"/>
        <v>464000</v>
      </c>
      <c r="H60" s="36">
        <f t="shared" si="11"/>
        <v>16000</v>
      </c>
      <c r="I60" s="36">
        <v>0</v>
      </c>
      <c r="J60" s="37">
        <v>29</v>
      </c>
      <c r="K60" s="37">
        <f t="shared" si="8"/>
        <v>0</v>
      </c>
      <c r="L60" s="83" t="s">
        <v>18</v>
      </c>
    </row>
    <row r="61" spans="1:12" ht="24" customHeight="1" x14ac:dyDescent="0.5">
      <c r="A61" s="57">
        <v>55</v>
      </c>
      <c r="B61" s="91" t="s">
        <v>657</v>
      </c>
      <c r="C61" s="59" t="s">
        <v>605</v>
      </c>
      <c r="D61" s="36">
        <v>0</v>
      </c>
      <c r="E61" s="36">
        <v>1700</v>
      </c>
      <c r="F61" s="36">
        <f t="shared" si="9"/>
        <v>1700</v>
      </c>
      <c r="G61" s="37">
        <f t="shared" si="10"/>
        <v>68000</v>
      </c>
      <c r="H61" s="36">
        <f t="shared" si="11"/>
        <v>1700</v>
      </c>
      <c r="I61" s="36">
        <v>0</v>
      </c>
      <c r="J61" s="37">
        <v>40</v>
      </c>
      <c r="K61" s="37">
        <f t="shared" si="8"/>
        <v>0</v>
      </c>
      <c r="L61" s="78"/>
    </row>
    <row r="62" spans="1:12" ht="24" customHeight="1" x14ac:dyDescent="0.5">
      <c r="A62" s="57">
        <v>56</v>
      </c>
      <c r="B62" s="91" t="s">
        <v>263</v>
      </c>
      <c r="C62" s="59" t="s">
        <v>50</v>
      </c>
      <c r="D62" s="36">
        <v>0</v>
      </c>
      <c r="E62" s="36">
        <v>800</v>
      </c>
      <c r="F62" s="36">
        <f t="shared" si="9"/>
        <v>800</v>
      </c>
      <c r="G62" s="37">
        <f t="shared" si="10"/>
        <v>35200</v>
      </c>
      <c r="H62" s="36">
        <f t="shared" si="11"/>
        <v>800</v>
      </c>
      <c r="I62" s="36">
        <v>0</v>
      </c>
      <c r="J62" s="37">
        <v>44</v>
      </c>
      <c r="K62" s="37">
        <f t="shared" si="8"/>
        <v>0</v>
      </c>
      <c r="L62" s="62" t="s">
        <v>627</v>
      </c>
    </row>
    <row r="63" spans="1:12" ht="24" customHeight="1" x14ac:dyDescent="0.5">
      <c r="A63" s="57">
        <v>57</v>
      </c>
      <c r="B63" s="91" t="s">
        <v>264</v>
      </c>
      <c r="C63" s="59" t="s">
        <v>608</v>
      </c>
      <c r="D63" s="36">
        <v>22</v>
      </c>
      <c r="E63" s="36">
        <v>20</v>
      </c>
      <c r="F63" s="36">
        <f t="shared" si="9"/>
        <v>42</v>
      </c>
      <c r="G63" s="37">
        <f t="shared" si="10"/>
        <v>16200</v>
      </c>
      <c r="H63" s="36">
        <f t="shared" si="11"/>
        <v>36</v>
      </c>
      <c r="I63" s="36">
        <v>6</v>
      </c>
      <c r="J63" s="37">
        <v>450</v>
      </c>
      <c r="K63" s="37">
        <f t="shared" si="8"/>
        <v>2700</v>
      </c>
      <c r="L63" s="78" t="s">
        <v>434</v>
      </c>
    </row>
    <row r="64" spans="1:12" ht="24" customHeight="1" x14ac:dyDescent="0.5">
      <c r="A64" s="57">
        <v>58</v>
      </c>
      <c r="B64" s="91" t="s">
        <v>265</v>
      </c>
      <c r="C64" s="59" t="s">
        <v>605</v>
      </c>
      <c r="D64" s="36">
        <v>0</v>
      </c>
      <c r="E64" s="36">
        <v>100</v>
      </c>
      <c r="F64" s="36">
        <f t="shared" si="9"/>
        <v>100</v>
      </c>
      <c r="G64" s="37">
        <f t="shared" si="10"/>
        <v>1200</v>
      </c>
      <c r="H64" s="36">
        <f t="shared" si="11"/>
        <v>100</v>
      </c>
      <c r="I64" s="36">
        <v>0</v>
      </c>
      <c r="J64" s="37">
        <v>12</v>
      </c>
      <c r="K64" s="37">
        <f t="shared" si="8"/>
        <v>0</v>
      </c>
      <c r="L64" s="83" t="s">
        <v>433</v>
      </c>
    </row>
    <row r="65" spans="1:12" ht="24" customHeight="1" x14ac:dyDescent="0.5">
      <c r="A65" s="57">
        <v>59</v>
      </c>
      <c r="B65" s="91" t="s">
        <v>266</v>
      </c>
      <c r="C65" s="59" t="s">
        <v>605</v>
      </c>
      <c r="D65" s="36">
        <v>100</v>
      </c>
      <c r="E65" s="36">
        <v>0</v>
      </c>
      <c r="F65" s="36">
        <f t="shared" si="9"/>
        <v>100</v>
      </c>
      <c r="G65" s="37">
        <f t="shared" si="10"/>
        <v>12000</v>
      </c>
      <c r="H65" s="36">
        <f t="shared" si="11"/>
        <v>100</v>
      </c>
      <c r="I65" s="36">
        <v>0</v>
      </c>
      <c r="J65" s="37">
        <v>120</v>
      </c>
      <c r="K65" s="37">
        <f t="shared" si="8"/>
        <v>0</v>
      </c>
      <c r="L65" s="78"/>
    </row>
    <row r="66" spans="1:12" ht="24" customHeight="1" x14ac:dyDescent="0.5">
      <c r="A66" s="57">
        <v>60</v>
      </c>
      <c r="B66" s="91" t="s">
        <v>619</v>
      </c>
      <c r="C66" s="59" t="s">
        <v>606</v>
      </c>
      <c r="D66" s="36">
        <v>0</v>
      </c>
      <c r="E66" s="36">
        <v>5</v>
      </c>
      <c r="F66" s="36">
        <f t="shared" si="9"/>
        <v>5</v>
      </c>
      <c r="G66" s="37">
        <f t="shared" si="10"/>
        <v>7222.5</v>
      </c>
      <c r="H66" s="36">
        <f t="shared" si="11"/>
        <v>5</v>
      </c>
      <c r="I66" s="36">
        <v>0</v>
      </c>
      <c r="J66" s="37">
        <v>1444.5</v>
      </c>
      <c r="K66" s="37">
        <f t="shared" si="8"/>
        <v>0</v>
      </c>
      <c r="L66" s="62" t="s">
        <v>627</v>
      </c>
    </row>
    <row r="67" spans="1:12" ht="24" customHeight="1" x14ac:dyDescent="0.5">
      <c r="A67" s="92"/>
      <c r="B67" s="53" t="s">
        <v>432</v>
      </c>
      <c r="C67" s="65"/>
      <c r="D67" s="38"/>
      <c r="E67" s="38"/>
      <c r="F67" s="38"/>
      <c r="G67" s="39">
        <f>SUM(G47:G66)</f>
        <v>4343296</v>
      </c>
      <c r="H67" s="38"/>
      <c r="I67" s="38"/>
      <c r="J67" s="39"/>
      <c r="K67" s="39">
        <f>SUM(K47:K66)</f>
        <v>35480</v>
      </c>
      <c r="L67" s="78" t="s">
        <v>503</v>
      </c>
    </row>
    <row r="68" spans="1:12" ht="24" customHeight="1" x14ac:dyDescent="0.5">
      <c r="B68" s="93"/>
      <c r="C68" s="79"/>
      <c r="D68" s="40"/>
      <c r="E68" s="40"/>
      <c r="F68" s="40"/>
      <c r="G68" s="41"/>
      <c r="H68" s="40"/>
      <c r="I68" s="40"/>
      <c r="J68" s="41"/>
      <c r="K68" s="41"/>
      <c r="L68" s="83" t="s">
        <v>435</v>
      </c>
    </row>
    <row r="69" spans="1:12" ht="24" customHeight="1" x14ac:dyDescent="0.5">
      <c r="A69" s="57">
        <v>61</v>
      </c>
      <c r="B69" s="91" t="s">
        <v>521</v>
      </c>
      <c r="C69" s="59" t="s">
        <v>606</v>
      </c>
      <c r="D69" s="36">
        <v>0</v>
      </c>
      <c r="E69" s="36">
        <v>5</v>
      </c>
      <c r="F69" s="36">
        <f>D69+E69</f>
        <v>5</v>
      </c>
      <c r="G69" s="37">
        <f>H69*J69</f>
        <v>9630</v>
      </c>
      <c r="H69" s="36">
        <f>F69-I69</f>
        <v>5</v>
      </c>
      <c r="I69" s="36">
        <v>0</v>
      </c>
      <c r="J69" s="37">
        <v>1926</v>
      </c>
      <c r="K69" s="37">
        <f>I69*J69</f>
        <v>0</v>
      </c>
      <c r="L69" s="83" t="s">
        <v>15</v>
      </c>
    </row>
    <row r="70" spans="1:12" ht="24" customHeight="1" x14ac:dyDescent="0.5">
      <c r="A70" s="57">
        <v>62</v>
      </c>
      <c r="B70" s="91" t="s">
        <v>658</v>
      </c>
      <c r="C70" s="59" t="s">
        <v>618</v>
      </c>
      <c r="D70" s="36">
        <v>0</v>
      </c>
      <c r="E70" s="36">
        <v>210</v>
      </c>
      <c r="F70" s="36">
        <f t="shared" ref="F70:F83" si="12">D70+E70</f>
        <v>210</v>
      </c>
      <c r="G70" s="37">
        <f t="shared" ref="G70:G83" si="13">H70*J70</f>
        <v>214700</v>
      </c>
      <c r="H70" s="36">
        <f t="shared" ref="H70:H83" si="14">F70-I70</f>
        <v>113</v>
      </c>
      <c r="I70" s="36">
        <v>97</v>
      </c>
      <c r="J70" s="37">
        <v>1900</v>
      </c>
      <c r="K70" s="37">
        <f t="shared" ref="K70:K83" si="15">I70*J70</f>
        <v>184300</v>
      </c>
      <c r="L70" s="78" t="s">
        <v>716</v>
      </c>
    </row>
    <row r="71" spans="1:12" ht="24" customHeight="1" x14ac:dyDescent="0.5">
      <c r="A71" s="57">
        <v>63</v>
      </c>
      <c r="B71" s="91" t="s">
        <v>485</v>
      </c>
      <c r="C71" s="59" t="s">
        <v>607</v>
      </c>
      <c r="D71" s="36">
        <v>0</v>
      </c>
      <c r="E71" s="36">
        <v>30</v>
      </c>
      <c r="F71" s="36">
        <f t="shared" si="12"/>
        <v>30</v>
      </c>
      <c r="G71" s="37">
        <f t="shared" si="13"/>
        <v>19500</v>
      </c>
      <c r="H71" s="36">
        <f t="shared" si="14"/>
        <v>30</v>
      </c>
      <c r="I71" s="36">
        <v>0</v>
      </c>
      <c r="J71" s="37">
        <v>650</v>
      </c>
      <c r="K71" s="37">
        <f t="shared" si="15"/>
        <v>0</v>
      </c>
      <c r="L71" s="83"/>
    </row>
    <row r="72" spans="1:12" ht="24" customHeight="1" x14ac:dyDescent="0.5">
      <c r="A72" s="57">
        <v>64</v>
      </c>
      <c r="B72" s="91" t="s">
        <v>486</v>
      </c>
      <c r="C72" s="59" t="s">
        <v>607</v>
      </c>
      <c r="D72" s="36">
        <v>0</v>
      </c>
      <c r="E72" s="36">
        <v>20</v>
      </c>
      <c r="F72" s="36">
        <f t="shared" si="12"/>
        <v>20</v>
      </c>
      <c r="G72" s="37">
        <f t="shared" si="13"/>
        <v>7000</v>
      </c>
      <c r="H72" s="36">
        <f t="shared" si="14"/>
        <v>20</v>
      </c>
      <c r="I72" s="36">
        <v>0</v>
      </c>
      <c r="J72" s="37">
        <v>350</v>
      </c>
      <c r="K72" s="37">
        <f t="shared" si="15"/>
        <v>0</v>
      </c>
      <c r="L72" s="62" t="s">
        <v>627</v>
      </c>
    </row>
    <row r="73" spans="1:12" ht="24" customHeight="1" x14ac:dyDescent="0.5">
      <c r="A73" s="57">
        <v>65</v>
      </c>
      <c r="B73" s="91" t="s">
        <v>487</v>
      </c>
      <c r="C73" s="59" t="s">
        <v>607</v>
      </c>
      <c r="D73" s="36">
        <v>0</v>
      </c>
      <c r="E73" s="36">
        <v>50</v>
      </c>
      <c r="F73" s="36">
        <f t="shared" si="12"/>
        <v>50</v>
      </c>
      <c r="G73" s="37">
        <f t="shared" si="13"/>
        <v>90000</v>
      </c>
      <c r="H73" s="36">
        <f t="shared" si="14"/>
        <v>50</v>
      </c>
      <c r="I73" s="36">
        <v>0</v>
      </c>
      <c r="J73" s="37">
        <v>1800</v>
      </c>
      <c r="K73" s="37">
        <f t="shared" si="15"/>
        <v>0</v>
      </c>
      <c r="L73" s="90" t="s">
        <v>731</v>
      </c>
    </row>
    <row r="74" spans="1:12" ht="24" customHeight="1" x14ac:dyDescent="0.5">
      <c r="A74" s="57">
        <v>66</v>
      </c>
      <c r="B74" s="91" t="s">
        <v>488</v>
      </c>
      <c r="C74" s="59" t="s">
        <v>607</v>
      </c>
      <c r="D74" s="36">
        <v>0</v>
      </c>
      <c r="E74" s="36">
        <v>100</v>
      </c>
      <c r="F74" s="36">
        <f t="shared" si="12"/>
        <v>100</v>
      </c>
      <c r="G74" s="37">
        <f t="shared" si="13"/>
        <v>45000</v>
      </c>
      <c r="H74" s="36">
        <f t="shared" si="14"/>
        <v>100</v>
      </c>
      <c r="I74" s="36">
        <v>0</v>
      </c>
      <c r="J74" s="37">
        <v>450</v>
      </c>
      <c r="K74" s="37">
        <f t="shared" si="15"/>
        <v>0</v>
      </c>
      <c r="L74" s="90" t="s">
        <v>16</v>
      </c>
    </row>
    <row r="75" spans="1:12" ht="24" customHeight="1" x14ac:dyDescent="0.5">
      <c r="A75" s="57">
        <v>67</v>
      </c>
      <c r="B75" s="91" t="s">
        <v>413</v>
      </c>
      <c r="C75" s="59" t="s">
        <v>606</v>
      </c>
      <c r="D75" s="36">
        <v>218</v>
      </c>
      <c r="E75" s="36">
        <v>0</v>
      </c>
      <c r="F75" s="36">
        <f t="shared" si="12"/>
        <v>218</v>
      </c>
      <c r="G75" s="37">
        <f t="shared" si="13"/>
        <v>16994.699999999997</v>
      </c>
      <c r="H75" s="36">
        <f t="shared" si="14"/>
        <v>207</v>
      </c>
      <c r="I75" s="36">
        <v>11</v>
      </c>
      <c r="J75" s="37">
        <v>82.1</v>
      </c>
      <c r="K75" s="37">
        <f t="shared" si="15"/>
        <v>903.09999999999991</v>
      </c>
      <c r="L75" s="90"/>
    </row>
    <row r="76" spans="1:12" ht="24" customHeight="1" x14ac:dyDescent="0.5">
      <c r="A76" s="57">
        <v>68</v>
      </c>
      <c r="B76" s="91" t="s">
        <v>522</v>
      </c>
      <c r="C76" s="59" t="s">
        <v>606</v>
      </c>
      <c r="D76" s="36">
        <v>460</v>
      </c>
      <c r="E76" s="36">
        <v>16100</v>
      </c>
      <c r="F76" s="36">
        <f t="shared" si="12"/>
        <v>16560</v>
      </c>
      <c r="G76" s="37">
        <f t="shared" si="13"/>
        <v>523215</v>
      </c>
      <c r="H76" s="36">
        <f t="shared" si="14"/>
        <v>14949</v>
      </c>
      <c r="I76" s="36">
        <v>1611</v>
      </c>
      <c r="J76" s="37">
        <v>35</v>
      </c>
      <c r="K76" s="37">
        <f t="shared" si="15"/>
        <v>56385</v>
      </c>
      <c r="L76" s="62" t="s">
        <v>627</v>
      </c>
    </row>
    <row r="77" spans="1:12" ht="24" customHeight="1" x14ac:dyDescent="0.5">
      <c r="A77" s="57">
        <v>69</v>
      </c>
      <c r="B77" s="91" t="s">
        <v>659</v>
      </c>
      <c r="C77" s="59" t="s">
        <v>38</v>
      </c>
      <c r="D77" s="36">
        <v>0</v>
      </c>
      <c r="E77" s="36">
        <v>350</v>
      </c>
      <c r="F77" s="36">
        <f t="shared" si="12"/>
        <v>350</v>
      </c>
      <c r="G77" s="37">
        <f t="shared" si="13"/>
        <v>462000</v>
      </c>
      <c r="H77" s="36">
        <f t="shared" si="14"/>
        <v>350</v>
      </c>
      <c r="I77" s="36">
        <v>0</v>
      </c>
      <c r="J77" s="37">
        <v>1320</v>
      </c>
      <c r="K77" s="37">
        <f t="shared" si="15"/>
        <v>0</v>
      </c>
      <c r="L77" s="83" t="s">
        <v>463</v>
      </c>
    </row>
    <row r="78" spans="1:12" ht="24" customHeight="1" x14ac:dyDescent="0.5">
      <c r="A78" s="57">
        <v>70</v>
      </c>
      <c r="B78" s="91" t="s">
        <v>523</v>
      </c>
      <c r="C78" s="59" t="s">
        <v>611</v>
      </c>
      <c r="D78" s="36">
        <v>0</v>
      </c>
      <c r="E78" s="36">
        <v>400</v>
      </c>
      <c r="F78" s="36">
        <f t="shared" si="12"/>
        <v>400</v>
      </c>
      <c r="G78" s="37">
        <f t="shared" si="13"/>
        <v>124000</v>
      </c>
      <c r="H78" s="36">
        <f t="shared" si="14"/>
        <v>400</v>
      </c>
      <c r="I78" s="36">
        <v>0</v>
      </c>
      <c r="J78" s="37">
        <v>310</v>
      </c>
      <c r="K78" s="37">
        <f t="shared" si="15"/>
        <v>0</v>
      </c>
      <c r="L78" s="90" t="s">
        <v>17</v>
      </c>
    </row>
    <row r="79" spans="1:12" ht="24" customHeight="1" x14ac:dyDescent="0.5">
      <c r="A79" s="57">
        <v>71</v>
      </c>
      <c r="B79" s="91" t="s">
        <v>660</v>
      </c>
      <c r="C79" s="59" t="s">
        <v>611</v>
      </c>
      <c r="D79" s="36">
        <v>0</v>
      </c>
      <c r="E79" s="36">
        <v>20</v>
      </c>
      <c r="F79" s="36">
        <f t="shared" si="12"/>
        <v>20</v>
      </c>
      <c r="G79" s="37">
        <f t="shared" si="13"/>
        <v>7000</v>
      </c>
      <c r="H79" s="36">
        <f t="shared" si="14"/>
        <v>20</v>
      </c>
      <c r="I79" s="36">
        <v>0</v>
      </c>
      <c r="J79" s="37">
        <v>350</v>
      </c>
      <c r="K79" s="37">
        <f t="shared" si="15"/>
        <v>0</v>
      </c>
      <c r="L79" s="90"/>
    </row>
    <row r="80" spans="1:12" ht="24" customHeight="1" x14ac:dyDescent="0.5">
      <c r="A80" s="57">
        <v>72</v>
      </c>
      <c r="B80" s="91" t="s">
        <v>267</v>
      </c>
      <c r="C80" s="59" t="s">
        <v>606</v>
      </c>
      <c r="D80" s="36">
        <v>0</v>
      </c>
      <c r="E80" s="36">
        <v>700</v>
      </c>
      <c r="F80" s="36">
        <f t="shared" si="12"/>
        <v>700</v>
      </c>
      <c r="G80" s="37">
        <f t="shared" si="13"/>
        <v>374500</v>
      </c>
      <c r="H80" s="36">
        <f t="shared" si="14"/>
        <v>700</v>
      </c>
      <c r="I80" s="36">
        <v>0</v>
      </c>
      <c r="J80" s="37">
        <v>535</v>
      </c>
      <c r="K80" s="37">
        <f t="shared" si="15"/>
        <v>0</v>
      </c>
      <c r="L80" s="62" t="s">
        <v>627</v>
      </c>
    </row>
    <row r="81" spans="1:12" ht="24" customHeight="1" x14ac:dyDescent="0.5">
      <c r="A81" s="57">
        <v>73</v>
      </c>
      <c r="B81" s="91" t="s">
        <v>661</v>
      </c>
      <c r="C81" s="59" t="s">
        <v>606</v>
      </c>
      <c r="D81" s="36">
        <v>0</v>
      </c>
      <c r="E81" s="36">
        <v>80</v>
      </c>
      <c r="F81" s="36">
        <f t="shared" si="12"/>
        <v>80</v>
      </c>
      <c r="G81" s="37">
        <f t="shared" si="13"/>
        <v>57780</v>
      </c>
      <c r="H81" s="36">
        <f t="shared" si="14"/>
        <v>80</v>
      </c>
      <c r="I81" s="36">
        <v>0</v>
      </c>
      <c r="J81" s="37">
        <v>722.25</v>
      </c>
      <c r="K81" s="37">
        <f t="shared" si="15"/>
        <v>0</v>
      </c>
      <c r="L81" s="83" t="s">
        <v>462</v>
      </c>
    </row>
    <row r="82" spans="1:12" ht="24" customHeight="1" x14ac:dyDescent="0.5">
      <c r="A82" s="57">
        <v>74</v>
      </c>
      <c r="B82" s="91" t="s">
        <v>620</v>
      </c>
      <c r="C82" s="59" t="s">
        <v>606</v>
      </c>
      <c r="D82" s="36">
        <v>0</v>
      </c>
      <c r="E82" s="36">
        <v>150</v>
      </c>
      <c r="F82" s="36">
        <f t="shared" si="12"/>
        <v>150</v>
      </c>
      <c r="G82" s="37">
        <f t="shared" si="13"/>
        <v>202230</v>
      </c>
      <c r="H82" s="36">
        <f t="shared" si="14"/>
        <v>150</v>
      </c>
      <c r="I82" s="36">
        <v>0</v>
      </c>
      <c r="J82" s="37">
        <v>1348.2</v>
      </c>
      <c r="K82" s="37">
        <f t="shared" si="15"/>
        <v>0</v>
      </c>
      <c r="L82" s="83" t="s">
        <v>18</v>
      </c>
    </row>
    <row r="83" spans="1:12" ht="24" customHeight="1" x14ac:dyDescent="0.5">
      <c r="A83" s="57">
        <v>75</v>
      </c>
      <c r="B83" s="91" t="s">
        <v>662</v>
      </c>
      <c r="C83" s="59" t="s">
        <v>606</v>
      </c>
      <c r="D83" s="36">
        <v>0</v>
      </c>
      <c r="E83" s="36">
        <v>20</v>
      </c>
      <c r="F83" s="36">
        <f t="shared" si="12"/>
        <v>20</v>
      </c>
      <c r="G83" s="37">
        <f t="shared" si="13"/>
        <v>26964</v>
      </c>
      <c r="H83" s="36">
        <f t="shared" si="14"/>
        <v>20</v>
      </c>
      <c r="I83" s="36">
        <v>0</v>
      </c>
      <c r="J83" s="37">
        <v>1348.2</v>
      </c>
      <c r="K83" s="37">
        <f t="shared" si="15"/>
        <v>0</v>
      </c>
      <c r="L83" s="78"/>
    </row>
    <row r="84" spans="1:12" ht="24" customHeight="1" x14ac:dyDescent="0.5">
      <c r="A84" s="57">
        <v>76</v>
      </c>
      <c r="B84" s="91" t="s">
        <v>663</v>
      </c>
      <c r="C84" s="59" t="s">
        <v>606</v>
      </c>
      <c r="D84" s="36">
        <v>0</v>
      </c>
      <c r="E84" s="36">
        <v>40</v>
      </c>
      <c r="F84" s="36">
        <f t="shared" ref="F84:F88" si="16">D84+E84</f>
        <v>40</v>
      </c>
      <c r="G84" s="37">
        <f t="shared" ref="G84:G88" si="17">H84*J84</f>
        <v>59920</v>
      </c>
      <c r="H84" s="36">
        <f t="shared" ref="H84:H88" si="18">F84-I84</f>
        <v>40</v>
      </c>
      <c r="I84" s="36">
        <v>0</v>
      </c>
      <c r="J84" s="37">
        <v>1498</v>
      </c>
      <c r="K84" s="37">
        <f t="shared" ref="K84:K88" si="19">I84*J84</f>
        <v>0</v>
      </c>
      <c r="L84" s="62" t="s">
        <v>627</v>
      </c>
    </row>
    <row r="85" spans="1:12" ht="24" customHeight="1" x14ac:dyDescent="0.5">
      <c r="A85" s="57">
        <v>77</v>
      </c>
      <c r="B85" s="91" t="s">
        <v>621</v>
      </c>
      <c r="C85" s="59" t="s">
        <v>606</v>
      </c>
      <c r="D85" s="36">
        <v>0</v>
      </c>
      <c r="E85" s="36">
        <v>420</v>
      </c>
      <c r="F85" s="36">
        <f t="shared" si="16"/>
        <v>420</v>
      </c>
      <c r="G85" s="37">
        <f t="shared" si="17"/>
        <v>566244</v>
      </c>
      <c r="H85" s="36">
        <f t="shared" si="18"/>
        <v>420</v>
      </c>
      <c r="I85" s="36">
        <v>0</v>
      </c>
      <c r="J85" s="37">
        <v>1348.2</v>
      </c>
      <c r="K85" s="37">
        <f t="shared" si="19"/>
        <v>0</v>
      </c>
      <c r="L85" s="78" t="s">
        <v>434</v>
      </c>
    </row>
    <row r="86" spans="1:12" ht="24" customHeight="1" x14ac:dyDescent="0.5">
      <c r="A86" s="57">
        <v>78</v>
      </c>
      <c r="B86" s="91" t="s">
        <v>622</v>
      </c>
      <c r="C86" s="59" t="s">
        <v>606</v>
      </c>
      <c r="D86" s="36">
        <v>0</v>
      </c>
      <c r="E86" s="36">
        <v>230</v>
      </c>
      <c r="F86" s="36">
        <f t="shared" si="16"/>
        <v>230</v>
      </c>
      <c r="G86" s="37">
        <f t="shared" si="17"/>
        <v>310086</v>
      </c>
      <c r="H86" s="36">
        <f t="shared" si="18"/>
        <v>230</v>
      </c>
      <c r="I86" s="36">
        <v>0</v>
      </c>
      <c r="J86" s="37">
        <v>1348.2</v>
      </c>
      <c r="K86" s="37">
        <f t="shared" si="19"/>
        <v>0</v>
      </c>
      <c r="L86" s="83" t="s">
        <v>433</v>
      </c>
    </row>
    <row r="87" spans="1:12" ht="24" customHeight="1" x14ac:dyDescent="0.5">
      <c r="A87" s="57">
        <v>79</v>
      </c>
      <c r="B87" s="91" t="s">
        <v>269</v>
      </c>
      <c r="C87" s="59" t="s">
        <v>611</v>
      </c>
      <c r="D87" s="36">
        <v>64</v>
      </c>
      <c r="E87" s="36">
        <v>0</v>
      </c>
      <c r="F87" s="36">
        <f t="shared" si="16"/>
        <v>64</v>
      </c>
      <c r="G87" s="37">
        <f t="shared" si="17"/>
        <v>5692.4000000000005</v>
      </c>
      <c r="H87" s="36">
        <f t="shared" si="18"/>
        <v>19</v>
      </c>
      <c r="I87" s="36">
        <v>45</v>
      </c>
      <c r="J87" s="37">
        <v>299.60000000000002</v>
      </c>
      <c r="K87" s="37">
        <f t="shared" si="19"/>
        <v>13482.000000000002</v>
      </c>
      <c r="L87" s="78"/>
    </row>
    <row r="88" spans="1:12" ht="24" customHeight="1" x14ac:dyDescent="0.5">
      <c r="A88" s="57">
        <v>80</v>
      </c>
      <c r="B88" s="91" t="s">
        <v>268</v>
      </c>
      <c r="C88" s="59" t="s">
        <v>608</v>
      </c>
      <c r="D88" s="36">
        <v>35</v>
      </c>
      <c r="E88" s="36">
        <v>110</v>
      </c>
      <c r="F88" s="36">
        <f t="shared" si="16"/>
        <v>145</v>
      </c>
      <c r="G88" s="37">
        <f t="shared" si="17"/>
        <v>13400</v>
      </c>
      <c r="H88" s="36">
        <f t="shared" si="18"/>
        <v>134</v>
      </c>
      <c r="I88" s="36">
        <v>11</v>
      </c>
      <c r="J88" s="37">
        <v>100</v>
      </c>
      <c r="K88" s="37">
        <f t="shared" si="19"/>
        <v>1100</v>
      </c>
      <c r="L88" s="62" t="s">
        <v>627</v>
      </c>
    </row>
    <row r="89" spans="1:12" ht="24" customHeight="1" x14ac:dyDescent="0.5">
      <c r="A89" s="92"/>
      <c r="B89" s="53" t="s">
        <v>432</v>
      </c>
      <c r="C89" s="65"/>
      <c r="D89" s="38"/>
      <c r="E89" s="38"/>
      <c r="F89" s="38"/>
      <c r="G89" s="39">
        <f>SUM(G69:G88)</f>
        <v>3135856.1</v>
      </c>
      <c r="H89" s="38"/>
      <c r="I89" s="38"/>
      <c r="J89" s="39"/>
      <c r="K89" s="39">
        <f>SUM(K69:K88)</f>
        <v>256170.1</v>
      </c>
      <c r="L89" s="78" t="s">
        <v>503</v>
      </c>
    </row>
    <row r="90" spans="1:12" ht="24" customHeight="1" x14ac:dyDescent="0.5">
      <c r="B90" s="93"/>
      <c r="C90" s="79"/>
      <c r="D90" s="40"/>
      <c r="E90" s="40"/>
      <c r="F90" s="40"/>
      <c r="G90" s="41"/>
      <c r="H90" s="40"/>
      <c r="I90" s="40"/>
      <c r="J90" s="41"/>
      <c r="K90" s="41"/>
      <c r="L90" s="83" t="s">
        <v>435</v>
      </c>
    </row>
    <row r="91" spans="1:12" ht="24" customHeight="1" x14ac:dyDescent="0.5">
      <c r="A91" s="57">
        <v>81</v>
      </c>
      <c r="B91" s="91" t="s">
        <v>524</v>
      </c>
      <c r="C91" s="59" t="s">
        <v>50</v>
      </c>
      <c r="D91" s="36">
        <v>0</v>
      </c>
      <c r="E91" s="36">
        <v>8</v>
      </c>
      <c r="F91" s="36">
        <f t="shared" ref="F91" si="20">D91+E91</f>
        <v>8</v>
      </c>
      <c r="G91" s="37">
        <f t="shared" ref="G91" si="21">H91*J91</f>
        <v>44640</v>
      </c>
      <c r="H91" s="36">
        <f t="shared" ref="H91" si="22">F91-I91</f>
        <v>8</v>
      </c>
      <c r="I91" s="36">
        <v>0</v>
      </c>
      <c r="J91" s="37">
        <v>5580</v>
      </c>
      <c r="K91" s="37">
        <f t="shared" ref="K91" si="23">I91*J91</f>
        <v>0</v>
      </c>
      <c r="L91" s="83" t="s">
        <v>15</v>
      </c>
    </row>
    <row r="92" spans="1:12" ht="24" customHeight="1" x14ac:dyDescent="0.5">
      <c r="A92" s="57">
        <v>82</v>
      </c>
      <c r="B92" s="91" t="s">
        <v>414</v>
      </c>
      <c r="C92" s="59" t="s">
        <v>611</v>
      </c>
      <c r="D92" s="36">
        <v>351</v>
      </c>
      <c r="E92" s="36">
        <v>0</v>
      </c>
      <c r="F92" s="36">
        <f>D92+E92</f>
        <v>351</v>
      </c>
      <c r="G92" s="37">
        <f>H92*J92</f>
        <v>23112</v>
      </c>
      <c r="H92" s="36">
        <f>F92-I92</f>
        <v>216</v>
      </c>
      <c r="I92" s="36">
        <v>135</v>
      </c>
      <c r="J92" s="37">
        <v>107</v>
      </c>
      <c r="K92" s="37">
        <f>I92*J92</f>
        <v>14445</v>
      </c>
      <c r="L92" s="78" t="s">
        <v>716</v>
      </c>
    </row>
    <row r="93" spans="1:12" ht="24" customHeight="1" x14ac:dyDescent="0.5">
      <c r="A93" s="57">
        <v>83</v>
      </c>
      <c r="B93" s="91" t="s">
        <v>525</v>
      </c>
      <c r="C93" s="59" t="s">
        <v>50</v>
      </c>
      <c r="D93" s="36">
        <v>110</v>
      </c>
      <c r="E93" s="36">
        <v>0</v>
      </c>
      <c r="F93" s="36">
        <f t="shared" ref="F93:F110" si="24">D93+E93</f>
        <v>110</v>
      </c>
      <c r="G93" s="37">
        <f t="shared" ref="G93:G110" si="25">H93*J93</f>
        <v>0</v>
      </c>
      <c r="H93" s="36">
        <f t="shared" ref="H93:H110" si="26">F93-I93</f>
        <v>0</v>
      </c>
      <c r="I93" s="36">
        <v>110</v>
      </c>
      <c r="J93" s="37">
        <v>53.5</v>
      </c>
      <c r="K93" s="37">
        <f t="shared" ref="K93:K110" si="27">I93*J93</f>
        <v>5885</v>
      </c>
      <c r="L93" s="83"/>
    </row>
    <row r="94" spans="1:12" ht="24" customHeight="1" x14ac:dyDescent="0.5">
      <c r="A94" s="57">
        <v>84</v>
      </c>
      <c r="B94" s="91" t="s">
        <v>526</v>
      </c>
      <c r="C94" s="59" t="s">
        <v>50</v>
      </c>
      <c r="D94" s="36">
        <v>0</v>
      </c>
      <c r="E94" s="36">
        <v>300</v>
      </c>
      <c r="F94" s="36">
        <f t="shared" si="24"/>
        <v>300</v>
      </c>
      <c r="G94" s="37">
        <f t="shared" si="25"/>
        <v>11400</v>
      </c>
      <c r="H94" s="36">
        <f t="shared" si="26"/>
        <v>200</v>
      </c>
      <c r="I94" s="36">
        <v>100</v>
      </c>
      <c r="J94" s="37">
        <v>57</v>
      </c>
      <c r="K94" s="37">
        <f t="shared" si="27"/>
        <v>5700</v>
      </c>
      <c r="L94" s="62" t="s">
        <v>627</v>
      </c>
    </row>
    <row r="95" spans="1:12" ht="24" customHeight="1" x14ac:dyDescent="0.5">
      <c r="A95" s="57">
        <v>85</v>
      </c>
      <c r="B95" s="91" t="s">
        <v>527</v>
      </c>
      <c r="C95" s="59" t="s">
        <v>50</v>
      </c>
      <c r="D95" s="36">
        <v>50</v>
      </c>
      <c r="E95" s="36">
        <v>400</v>
      </c>
      <c r="F95" s="36">
        <f t="shared" si="24"/>
        <v>450</v>
      </c>
      <c r="G95" s="37">
        <f t="shared" si="25"/>
        <v>22230</v>
      </c>
      <c r="H95" s="36">
        <f t="shared" si="26"/>
        <v>390</v>
      </c>
      <c r="I95" s="36">
        <v>60</v>
      </c>
      <c r="J95" s="37">
        <v>57</v>
      </c>
      <c r="K95" s="37">
        <f t="shared" si="27"/>
        <v>3420</v>
      </c>
      <c r="L95" s="90" t="s">
        <v>731</v>
      </c>
    </row>
    <row r="96" spans="1:12" ht="24" customHeight="1" x14ac:dyDescent="0.5">
      <c r="A96" s="57">
        <v>86</v>
      </c>
      <c r="B96" s="91" t="s">
        <v>528</v>
      </c>
      <c r="C96" s="59" t="s">
        <v>50</v>
      </c>
      <c r="D96" s="36">
        <v>0</v>
      </c>
      <c r="E96" s="36">
        <v>400</v>
      </c>
      <c r="F96" s="36">
        <f t="shared" si="24"/>
        <v>400</v>
      </c>
      <c r="G96" s="37">
        <f t="shared" si="25"/>
        <v>22800</v>
      </c>
      <c r="H96" s="36">
        <f t="shared" si="26"/>
        <v>400</v>
      </c>
      <c r="I96" s="36">
        <v>0</v>
      </c>
      <c r="J96" s="37">
        <v>57</v>
      </c>
      <c r="K96" s="37">
        <f t="shared" si="27"/>
        <v>0</v>
      </c>
      <c r="L96" s="90" t="s">
        <v>16</v>
      </c>
    </row>
    <row r="97" spans="1:12" ht="24" customHeight="1" x14ac:dyDescent="0.5">
      <c r="A97" s="57">
        <v>87</v>
      </c>
      <c r="B97" s="91" t="s">
        <v>529</v>
      </c>
      <c r="C97" s="59" t="s">
        <v>50</v>
      </c>
      <c r="D97" s="36">
        <v>220</v>
      </c>
      <c r="E97" s="36">
        <v>0</v>
      </c>
      <c r="F97" s="36">
        <f t="shared" si="24"/>
        <v>220</v>
      </c>
      <c r="G97" s="37">
        <f t="shared" si="25"/>
        <v>2675</v>
      </c>
      <c r="H97" s="36">
        <f t="shared" si="26"/>
        <v>50</v>
      </c>
      <c r="I97" s="36">
        <v>170</v>
      </c>
      <c r="J97" s="37">
        <v>53.5</v>
      </c>
      <c r="K97" s="37">
        <f t="shared" si="27"/>
        <v>9095</v>
      </c>
      <c r="L97" s="90"/>
    </row>
    <row r="98" spans="1:12" ht="24" customHeight="1" x14ac:dyDescent="0.5">
      <c r="A98" s="57">
        <v>88</v>
      </c>
      <c r="B98" s="91" t="s">
        <v>530</v>
      </c>
      <c r="C98" s="59" t="s">
        <v>50</v>
      </c>
      <c r="D98" s="36">
        <v>180</v>
      </c>
      <c r="E98" s="36">
        <v>0</v>
      </c>
      <c r="F98" s="36">
        <f t="shared" si="24"/>
        <v>180</v>
      </c>
      <c r="G98" s="37">
        <f t="shared" si="25"/>
        <v>3745</v>
      </c>
      <c r="H98" s="36">
        <f t="shared" si="26"/>
        <v>70</v>
      </c>
      <c r="I98" s="36">
        <v>110</v>
      </c>
      <c r="J98" s="37">
        <v>53.5</v>
      </c>
      <c r="K98" s="37">
        <f t="shared" si="27"/>
        <v>5885</v>
      </c>
      <c r="L98" s="62" t="s">
        <v>627</v>
      </c>
    </row>
    <row r="99" spans="1:12" ht="24" customHeight="1" x14ac:dyDescent="0.5">
      <c r="A99" s="57">
        <v>89</v>
      </c>
      <c r="B99" s="91" t="s">
        <v>531</v>
      </c>
      <c r="C99" s="59" t="s">
        <v>50</v>
      </c>
      <c r="D99" s="36">
        <v>0</v>
      </c>
      <c r="E99" s="36">
        <v>50</v>
      </c>
      <c r="F99" s="36">
        <f t="shared" si="24"/>
        <v>50</v>
      </c>
      <c r="G99" s="37">
        <f t="shared" si="25"/>
        <v>1070</v>
      </c>
      <c r="H99" s="36">
        <f t="shared" si="26"/>
        <v>20</v>
      </c>
      <c r="I99" s="36">
        <v>30</v>
      </c>
      <c r="J99" s="37">
        <v>53.5</v>
      </c>
      <c r="K99" s="37">
        <f t="shared" si="27"/>
        <v>1605</v>
      </c>
      <c r="L99" s="83" t="s">
        <v>463</v>
      </c>
    </row>
    <row r="100" spans="1:12" ht="24" customHeight="1" x14ac:dyDescent="0.5">
      <c r="A100" s="57">
        <v>90</v>
      </c>
      <c r="B100" s="91" t="s">
        <v>664</v>
      </c>
      <c r="C100" s="59" t="s">
        <v>50</v>
      </c>
      <c r="D100" s="36">
        <v>0</v>
      </c>
      <c r="E100" s="36">
        <v>50</v>
      </c>
      <c r="F100" s="36">
        <f t="shared" si="24"/>
        <v>50</v>
      </c>
      <c r="G100" s="37">
        <f t="shared" si="25"/>
        <v>1140</v>
      </c>
      <c r="H100" s="36">
        <f t="shared" si="26"/>
        <v>20</v>
      </c>
      <c r="I100" s="36">
        <v>30</v>
      </c>
      <c r="J100" s="37">
        <v>57</v>
      </c>
      <c r="K100" s="37">
        <f t="shared" si="27"/>
        <v>1710</v>
      </c>
      <c r="L100" s="90" t="s">
        <v>17</v>
      </c>
    </row>
    <row r="101" spans="1:12" ht="24" customHeight="1" x14ac:dyDescent="0.5">
      <c r="A101" s="57">
        <v>91</v>
      </c>
      <c r="B101" s="91" t="s">
        <v>665</v>
      </c>
      <c r="C101" s="59" t="s">
        <v>50</v>
      </c>
      <c r="D101" s="36">
        <v>0</v>
      </c>
      <c r="E101" s="36">
        <v>100</v>
      </c>
      <c r="F101" s="36">
        <f t="shared" si="24"/>
        <v>100</v>
      </c>
      <c r="G101" s="37">
        <f t="shared" si="25"/>
        <v>1605</v>
      </c>
      <c r="H101" s="36">
        <f t="shared" si="26"/>
        <v>30</v>
      </c>
      <c r="I101" s="36">
        <v>70</v>
      </c>
      <c r="J101" s="37">
        <v>53.5</v>
      </c>
      <c r="K101" s="37">
        <f t="shared" si="27"/>
        <v>3745</v>
      </c>
      <c r="L101" s="90"/>
    </row>
    <row r="102" spans="1:12" ht="24" customHeight="1" x14ac:dyDescent="0.5">
      <c r="A102" s="57">
        <v>92</v>
      </c>
      <c r="B102" s="91" t="s">
        <v>532</v>
      </c>
      <c r="C102" s="59" t="s">
        <v>50</v>
      </c>
      <c r="D102" s="36">
        <v>250</v>
      </c>
      <c r="E102" s="36">
        <v>0</v>
      </c>
      <c r="F102" s="36">
        <f t="shared" si="24"/>
        <v>250</v>
      </c>
      <c r="G102" s="37">
        <f t="shared" si="25"/>
        <v>0</v>
      </c>
      <c r="H102" s="36">
        <f t="shared" si="26"/>
        <v>0</v>
      </c>
      <c r="I102" s="36">
        <v>250</v>
      </c>
      <c r="J102" s="37">
        <v>53.5</v>
      </c>
      <c r="K102" s="37">
        <f t="shared" si="27"/>
        <v>13375</v>
      </c>
      <c r="L102" s="62" t="s">
        <v>627</v>
      </c>
    </row>
    <row r="103" spans="1:12" ht="24" customHeight="1" x14ac:dyDescent="0.5">
      <c r="A103" s="57">
        <v>93</v>
      </c>
      <c r="B103" s="91" t="s">
        <v>533</v>
      </c>
      <c r="C103" s="59" t="s">
        <v>50</v>
      </c>
      <c r="D103" s="36">
        <v>10</v>
      </c>
      <c r="E103" s="36">
        <v>100</v>
      </c>
      <c r="F103" s="36">
        <f t="shared" si="24"/>
        <v>110</v>
      </c>
      <c r="G103" s="37">
        <f t="shared" si="25"/>
        <v>0</v>
      </c>
      <c r="H103" s="36">
        <f t="shared" si="26"/>
        <v>0</v>
      </c>
      <c r="I103" s="36">
        <v>110</v>
      </c>
      <c r="J103" s="37">
        <v>53.5</v>
      </c>
      <c r="K103" s="37">
        <f t="shared" si="27"/>
        <v>5885</v>
      </c>
      <c r="L103" s="83" t="s">
        <v>462</v>
      </c>
    </row>
    <row r="104" spans="1:12" ht="24" customHeight="1" x14ac:dyDescent="0.5">
      <c r="A104" s="57">
        <v>94</v>
      </c>
      <c r="B104" s="91" t="s">
        <v>534</v>
      </c>
      <c r="C104" s="59" t="s">
        <v>50</v>
      </c>
      <c r="D104" s="36">
        <v>350</v>
      </c>
      <c r="E104" s="36">
        <v>300</v>
      </c>
      <c r="F104" s="36">
        <f t="shared" si="24"/>
        <v>650</v>
      </c>
      <c r="G104" s="37">
        <f t="shared" si="25"/>
        <v>34775</v>
      </c>
      <c r="H104" s="36">
        <f t="shared" si="26"/>
        <v>650</v>
      </c>
      <c r="I104" s="36">
        <v>0</v>
      </c>
      <c r="J104" s="37">
        <v>53.5</v>
      </c>
      <c r="K104" s="37">
        <f t="shared" si="27"/>
        <v>0</v>
      </c>
      <c r="L104" s="83" t="s">
        <v>18</v>
      </c>
    </row>
    <row r="105" spans="1:12" ht="24" customHeight="1" x14ac:dyDescent="0.5">
      <c r="A105" s="57">
        <v>95</v>
      </c>
      <c r="B105" s="91" t="s">
        <v>535</v>
      </c>
      <c r="C105" s="59" t="s">
        <v>50</v>
      </c>
      <c r="D105" s="36">
        <v>0</v>
      </c>
      <c r="E105" s="36">
        <v>1500</v>
      </c>
      <c r="F105" s="36">
        <f t="shared" si="24"/>
        <v>1500</v>
      </c>
      <c r="G105" s="37">
        <f t="shared" si="25"/>
        <v>80250</v>
      </c>
      <c r="H105" s="36">
        <f t="shared" si="26"/>
        <v>1500</v>
      </c>
      <c r="I105" s="36">
        <v>0</v>
      </c>
      <c r="J105" s="37">
        <v>53.5</v>
      </c>
      <c r="K105" s="37">
        <f t="shared" si="27"/>
        <v>0</v>
      </c>
      <c r="L105" s="78"/>
    </row>
    <row r="106" spans="1:12" ht="24" customHeight="1" x14ac:dyDescent="0.5">
      <c r="A106" s="57">
        <v>96</v>
      </c>
      <c r="B106" s="91" t="s">
        <v>536</v>
      </c>
      <c r="C106" s="59" t="s">
        <v>50</v>
      </c>
      <c r="D106" s="36">
        <v>40</v>
      </c>
      <c r="E106" s="36">
        <v>200</v>
      </c>
      <c r="F106" s="36">
        <f t="shared" si="24"/>
        <v>240</v>
      </c>
      <c r="G106" s="37">
        <f t="shared" si="25"/>
        <v>7490</v>
      </c>
      <c r="H106" s="36">
        <f t="shared" si="26"/>
        <v>140</v>
      </c>
      <c r="I106" s="36">
        <v>100</v>
      </c>
      <c r="J106" s="37">
        <v>53.5</v>
      </c>
      <c r="K106" s="37">
        <f t="shared" si="27"/>
        <v>5350</v>
      </c>
      <c r="L106" s="62" t="s">
        <v>627</v>
      </c>
    </row>
    <row r="107" spans="1:12" ht="24" customHeight="1" x14ac:dyDescent="0.5">
      <c r="A107" s="57">
        <v>97</v>
      </c>
      <c r="B107" s="91" t="s">
        <v>537</v>
      </c>
      <c r="C107" s="59" t="s">
        <v>50</v>
      </c>
      <c r="D107" s="36">
        <v>0</v>
      </c>
      <c r="E107" s="36">
        <v>20</v>
      </c>
      <c r="F107" s="36">
        <f t="shared" si="24"/>
        <v>20</v>
      </c>
      <c r="G107" s="37">
        <f t="shared" si="25"/>
        <v>1300</v>
      </c>
      <c r="H107" s="36">
        <f t="shared" si="26"/>
        <v>20</v>
      </c>
      <c r="I107" s="36">
        <v>0</v>
      </c>
      <c r="J107" s="37">
        <v>65</v>
      </c>
      <c r="K107" s="37">
        <f t="shared" si="27"/>
        <v>0</v>
      </c>
      <c r="L107" s="78" t="s">
        <v>434</v>
      </c>
    </row>
    <row r="108" spans="1:12" ht="24" customHeight="1" x14ac:dyDescent="0.5">
      <c r="A108" s="57">
        <v>98</v>
      </c>
      <c r="B108" s="91" t="s">
        <v>538</v>
      </c>
      <c r="C108" s="59" t="s">
        <v>50</v>
      </c>
      <c r="D108" s="36">
        <v>58</v>
      </c>
      <c r="E108" s="36">
        <v>0</v>
      </c>
      <c r="F108" s="36">
        <f t="shared" si="24"/>
        <v>58</v>
      </c>
      <c r="G108" s="37">
        <f t="shared" si="25"/>
        <v>46400</v>
      </c>
      <c r="H108" s="36">
        <f t="shared" si="26"/>
        <v>58</v>
      </c>
      <c r="I108" s="36">
        <v>0</v>
      </c>
      <c r="J108" s="37">
        <v>800</v>
      </c>
      <c r="K108" s="37">
        <f t="shared" si="27"/>
        <v>0</v>
      </c>
      <c r="L108" s="83" t="s">
        <v>433</v>
      </c>
    </row>
    <row r="109" spans="1:12" ht="24" customHeight="1" x14ac:dyDescent="0.5">
      <c r="A109" s="57">
        <v>99</v>
      </c>
      <c r="B109" s="91" t="s">
        <v>270</v>
      </c>
      <c r="C109" s="59" t="s">
        <v>50</v>
      </c>
      <c r="D109" s="36">
        <v>1</v>
      </c>
      <c r="E109" s="36">
        <v>0</v>
      </c>
      <c r="F109" s="36">
        <f t="shared" si="24"/>
        <v>1</v>
      </c>
      <c r="G109" s="37">
        <f t="shared" si="25"/>
        <v>0</v>
      </c>
      <c r="H109" s="36">
        <f t="shared" si="26"/>
        <v>0</v>
      </c>
      <c r="I109" s="36">
        <v>1</v>
      </c>
      <c r="J109" s="37">
        <v>18000</v>
      </c>
      <c r="K109" s="37">
        <f t="shared" si="27"/>
        <v>18000</v>
      </c>
      <c r="L109" s="78"/>
    </row>
    <row r="110" spans="1:12" ht="24" customHeight="1" x14ac:dyDescent="0.5">
      <c r="A110" s="57">
        <v>100</v>
      </c>
      <c r="B110" s="91" t="s">
        <v>271</v>
      </c>
      <c r="C110" s="59" t="s">
        <v>38</v>
      </c>
      <c r="D110" s="36">
        <v>0</v>
      </c>
      <c r="E110" s="36">
        <v>2200</v>
      </c>
      <c r="F110" s="36">
        <f t="shared" si="24"/>
        <v>2200</v>
      </c>
      <c r="G110" s="37">
        <f t="shared" si="25"/>
        <v>187000</v>
      </c>
      <c r="H110" s="36">
        <f t="shared" si="26"/>
        <v>2200</v>
      </c>
      <c r="I110" s="36">
        <v>0</v>
      </c>
      <c r="J110" s="37">
        <v>85</v>
      </c>
      <c r="K110" s="37">
        <f t="shared" si="27"/>
        <v>0</v>
      </c>
      <c r="L110" s="62" t="s">
        <v>627</v>
      </c>
    </row>
    <row r="111" spans="1:12" ht="24" customHeight="1" x14ac:dyDescent="0.5">
      <c r="A111" s="92"/>
      <c r="B111" s="53" t="s">
        <v>432</v>
      </c>
      <c r="C111" s="65"/>
      <c r="D111" s="38"/>
      <c r="E111" s="38"/>
      <c r="F111" s="38"/>
      <c r="G111" s="39">
        <f>SUM(G91:G110)</f>
        <v>491632</v>
      </c>
      <c r="H111" s="38"/>
      <c r="I111" s="38"/>
      <c r="J111" s="39"/>
      <c r="K111" s="39">
        <f>SUM(K91:K110)</f>
        <v>94100</v>
      </c>
      <c r="L111" s="78" t="s">
        <v>503</v>
      </c>
    </row>
    <row r="112" spans="1:12" ht="24" customHeight="1" x14ac:dyDescent="0.5">
      <c r="B112" s="93"/>
      <c r="C112" s="79"/>
      <c r="D112" s="40"/>
      <c r="E112" s="40"/>
      <c r="F112" s="40"/>
      <c r="G112" s="41"/>
      <c r="H112" s="40"/>
      <c r="I112" s="40"/>
      <c r="J112" s="41"/>
      <c r="K112" s="41"/>
      <c r="L112" s="83" t="s">
        <v>435</v>
      </c>
    </row>
    <row r="113" spans="1:12" ht="24" customHeight="1" x14ac:dyDescent="0.5">
      <c r="A113" s="57">
        <v>101</v>
      </c>
      <c r="B113" s="91" t="s">
        <v>272</v>
      </c>
      <c r="C113" s="59" t="s">
        <v>50</v>
      </c>
      <c r="D113" s="36">
        <v>100</v>
      </c>
      <c r="E113" s="36">
        <v>0</v>
      </c>
      <c r="F113" s="36">
        <f t="shared" ref="F113" si="28">D113+E113</f>
        <v>100</v>
      </c>
      <c r="G113" s="37">
        <f t="shared" ref="G113" si="29">H113*J113</f>
        <v>15000</v>
      </c>
      <c r="H113" s="36">
        <f t="shared" ref="H113" si="30">F113-I113</f>
        <v>100</v>
      </c>
      <c r="I113" s="36">
        <v>0</v>
      </c>
      <c r="J113" s="37">
        <v>150</v>
      </c>
      <c r="K113" s="37">
        <f t="shared" ref="K113" si="31">I113*J113</f>
        <v>0</v>
      </c>
      <c r="L113" s="83" t="s">
        <v>15</v>
      </c>
    </row>
    <row r="114" spans="1:12" ht="24" customHeight="1" x14ac:dyDescent="0.5">
      <c r="A114" s="57">
        <v>102</v>
      </c>
      <c r="B114" s="91" t="s">
        <v>666</v>
      </c>
      <c r="C114" s="59" t="s">
        <v>606</v>
      </c>
      <c r="D114" s="36">
        <v>0</v>
      </c>
      <c r="E114" s="36">
        <v>5</v>
      </c>
      <c r="F114" s="36">
        <f t="shared" ref="F114:F130" si="32">D114+E114</f>
        <v>5</v>
      </c>
      <c r="G114" s="37">
        <f t="shared" ref="G114:G130" si="33">H114*J114</f>
        <v>20704.5</v>
      </c>
      <c r="H114" s="36">
        <f t="shared" ref="H114:H130" si="34">F114-I114</f>
        <v>5</v>
      </c>
      <c r="I114" s="36">
        <v>0</v>
      </c>
      <c r="J114" s="37">
        <v>4140.8999999999996</v>
      </c>
      <c r="K114" s="37">
        <f t="shared" ref="K114:K130" si="35">I114*J114</f>
        <v>0</v>
      </c>
      <c r="L114" s="78" t="s">
        <v>716</v>
      </c>
    </row>
    <row r="115" spans="1:12" ht="24" customHeight="1" x14ac:dyDescent="0.5">
      <c r="A115" s="57">
        <v>103</v>
      </c>
      <c r="B115" s="91" t="s">
        <v>539</v>
      </c>
      <c r="C115" s="59" t="s">
        <v>611</v>
      </c>
      <c r="D115" s="36">
        <v>0</v>
      </c>
      <c r="E115" s="36">
        <v>200</v>
      </c>
      <c r="F115" s="36">
        <f t="shared" si="32"/>
        <v>200</v>
      </c>
      <c r="G115" s="37">
        <f t="shared" si="33"/>
        <v>66000</v>
      </c>
      <c r="H115" s="36">
        <f t="shared" si="34"/>
        <v>200</v>
      </c>
      <c r="I115" s="36">
        <v>0</v>
      </c>
      <c r="J115" s="37">
        <v>330</v>
      </c>
      <c r="K115" s="37">
        <f t="shared" si="35"/>
        <v>0</v>
      </c>
      <c r="L115" s="83"/>
    </row>
    <row r="116" spans="1:12" ht="24" customHeight="1" x14ac:dyDescent="0.5">
      <c r="A116" s="57">
        <v>104</v>
      </c>
      <c r="B116" s="91" t="s">
        <v>540</v>
      </c>
      <c r="C116" s="59" t="s">
        <v>611</v>
      </c>
      <c r="D116" s="36">
        <v>0</v>
      </c>
      <c r="E116" s="36">
        <v>20</v>
      </c>
      <c r="F116" s="36">
        <f t="shared" si="32"/>
        <v>20</v>
      </c>
      <c r="G116" s="37">
        <f t="shared" si="33"/>
        <v>7600</v>
      </c>
      <c r="H116" s="36">
        <f t="shared" si="34"/>
        <v>20</v>
      </c>
      <c r="I116" s="36">
        <v>0</v>
      </c>
      <c r="J116" s="37">
        <v>380</v>
      </c>
      <c r="K116" s="37">
        <f t="shared" si="35"/>
        <v>0</v>
      </c>
      <c r="L116" s="62" t="s">
        <v>627</v>
      </c>
    </row>
    <row r="117" spans="1:12" ht="24" customHeight="1" x14ac:dyDescent="0.5">
      <c r="A117" s="57">
        <v>105</v>
      </c>
      <c r="B117" s="91" t="s">
        <v>667</v>
      </c>
      <c r="C117" s="59" t="s">
        <v>607</v>
      </c>
      <c r="D117" s="36">
        <v>0</v>
      </c>
      <c r="E117" s="36">
        <v>50</v>
      </c>
      <c r="F117" s="36">
        <f t="shared" si="32"/>
        <v>50</v>
      </c>
      <c r="G117" s="37">
        <f t="shared" si="33"/>
        <v>32100</v>
      </c>
      <c r="H117" s="36">
        <f t="shared" si="34"/>
        <v>50</v>
      </c>
      <c r="I117" s="36">
        <v>0</v>
      </c>
      <c r="J117" s="37">
        <v>642</v>
      </c>
      <c r="K117" s="37">
        <f t="shared" si="35"/>
        <v>0</v>
      </c>
      <c r="L117" s="90" t="s">
        <v>731</v>
      </c>
    </row>
    <row r="118" spans="1:12" ht="24" customHeight="1" x14ac:dyDescent="0.5">
      <c r="A118" s="57">
        <v>106</v>
      </c>
      <c r="B118" s="91" t="s">
        <v>273</v>
      </c>
      <c r="C118" s="59" t="s">
        <v>607</v>
      </c>
      <c r="D118" s="36">
        <v>0</v>
      </c>
      <c r="E118" s="36">
        <v>50</v>
      </c>
      <c r="F118" s="36">
        <f t="shared" si="32"/>
        <v>50</v>
      </c>
      <c r="G118" s="37">
        <f t="shared" si="33"/>
        <v>203300</v>
      </c>
      <c r="H118" s="36">
        <f t="shared" si="34"/>
        <v>50</v>
      </c>
      <c r="I118" s="36">
        <v>0</v>
      </c>
      <c r="J118" s="37">
        <v>4066</v>
      </c>
      <c r="K118" s="37">
        <f t="shared" si="35"/>
        <v>0</v>
      </c>
      <c r="L118" s="90" t="s">
        <v>16</v>
      </c>
    </row>
    <row r="119" spans="1:12" ht="24" customHeight="1" x14ac:dyDescent="0.5">
      <c r="A119" s="57">
        <v>107</v>
      </c>
      <c r="B119" s="91" t="s">
        <v>274</v>
      </c>
      <c r="C119" s="59" t="s">
        <v>607</v>
      </c>
      <c r="D119" s="36">
        <v>0</v>
      </c>
      <c r="E119" s="36">
        <v>8500</v>
      </c>
      <c r="F119" s="36">
        <f t="shared" si="32"/>
        <v>8500</v>
      </c>
      <c r="G119" s="37">
        <f t="shared" si="33"/>
        <v>795861</v>
      </c>
      <c r="H119" s="36">
        <f t="shared" si="34"/>
        <v>8039</v>
      </c>
      <c r="I119" s="36">
        <v>461</v>
      </c>
      <c r="J119" s="37">
        <v>99</v>
      </c>
      <c r="K119" s="37">
        <f t="shared" si="35"/>
        <v>45639</v>
      </c>
      <c r="L119" s="90"/>
    </row>
    <row r="120" spans="1:12" ht="24" customHeight="1" x14ac:dyDescent="0.5">
      <c r="A120" s="57">
        <v>108</v>
      </c>
      <c r="B120" s="91" t="s">
        <v>429</v>
      </c>
      <c r="C120" s="59" t="s">
        <v>608</v>
      </c>
      <c r="D120" s="36">
        <v>0</v>
      </c>
      <c r="E120" s="36">
        <v>200</v>
      </c>
      <c r="F120" s="36">
        <f t="shared" si="32"/>
        <v>200</v>
      </c>
      <c r="G120" s="37">
        <f t="shared" si="33"/>
        <v>44940</v>
      </c>
      <c r="H120" s="36">
        <f t="shared" si="34"/>
        <v>200</v>
      </c>
      <c r="I120" s="36">
        <v>0</v>
      </c>
      <c r="J120" s="37">
        <v>224.7</v>
      </c>
      <c r="K120" s="37">
        <f t="shared" si="35"/>
        <v>0</v>
      </c>
      <c r="L120" s="62" t="s">
        <v>627</v>
      </c>
    </row>
    <row r="121" spans="1:12" ht="24" customHeight="1" x14ac:dyDescent="0.5">
      <c r="A121" s="57">
        <v>109</v>
      </c>
      <c r="B121" s="91" t="s">
        <v>668</v>
      </c>
      <c r="C121" s="59" t="s">
        <v>612</v>
      </c>
      <c r="D121" s="36">
        <v>0</v>
      </c>
      <c r="E121" s="36">
        <v>5</v>
      </c>
      <c r="F121" s="36">
        <f t="shared" si="32"/>
        <v>5</v>
      </c>
      <c r="G121" s="37">
        <f t="shared" si="33"/>
        <v>75000</v>
      </c>
      <c r="H121" s="36">
        <f t="shared" si="34"/>
        <v>5</v>
      </c>
      <c r="I121" s="36">
        <v>0</v>
      </c>
      <c r="J121" s="37">
        <v>15000</v>
      </c>
      <c r="K121" s="37">
        <f t="shared" si="35"/>
        <v>0</v>
      </c>
      <c r="L121" s="83" t="s">
        <v>463</v>
      </c>
    </row>
    <row r="122" spans="1:12" ht="24" customHeight="1" x14ac:dyDescent="0.5">
      <c r="A122" s="57">
        <v>110</v>
      </c>
      <c r="B122" s="91" t="s">
        <v>669</v>
      </c>
      <c r="C122" s="59" t="s">
        <v>612</v>
      </c>
      <c r="D122" s="36">
        <v>0</v>
      </c>
      <c r="E122" s="36">
        <v>12</v>
      </c>
      <c r="F122" s="36">
        <f t="shared" si="32"/>
        <v>12</v>
      </c>
      <c r="G122" s="37">
        <f t="shared" si="33"/>
        <v>144000</v>
      </c>
      <c r="H122" s="36">
        <f t="shared" si="34"/>
        <v>12</v>
      </c>
      <c r="I122" s="36">
        <v>0</v>
      </c>
      <c r="J122" s="37">
        <v>12000</v>
      </c>
      <c r="K122" s="37">
        <f t="shared" si="35"/>
        <v>0</v>
      </c>
      <c r="L122" s="90" t="s">
        <v>17</v>
      </c>
    </row>
    <row r="123" spans="1:12" ht="24" customHeight="1" x14ac:dyDescent="0.5">
      <c r="A123" s="57">
        <v>111</v>
      </c>
      <c r="B123" s="91" t="s">
        <v>670</v>
      </c>
      <c r="C123" s="59" t="s">
        <v>612</v>
      </c>
      <c r="D123" s="36">
        <v>0</v>
      </c>
      <c r="E123" s="36">
        <v>5</v>
      </c>
      <c r="F123" s="36">
        <f t="shared" si="32"/>
        <v>5</v>
      </c>
      <c r="G123" s="37">
        <f t="shared" si="33"/>
        <v>60000</v>
      </c>
      <c r="H123" s="36">
        <f t="shared" si="34"/>
        <v>5</v>
      </c>
      <c r="I123" s="36">
        <v>0</v>
      </c>
      <c r="J123" s="37">
        <v>12000</v>
      </c>
      <c r="K123" s="37">
        <f t="shared" si="35"/>
        <v>0</v>
      </c>
      <c r="L123" s="90"/>
    </row>
    <row r="124" spans="1:12" ht="24" customHeight="1" x14ac:dyDescent="0.5">
      <c r="A124" s="57">
        <v>112</v>
      </c>
      <c r="B124" s="91" t="s">
        <v>671</v>
      </c>
      <c r="C124" s="59" t="s">
        <v>612</v>
      </c>
      <c r="D124" s="36">
        <v>0</v>
      </c>
      <c r="E124" s="36">
        <v>20</v>
      </c>
      <c r="F124" s="36">
        <f t="shared" si="32"/>
        <v>20</v>
      </c>
      <c r="G124" s="37">
        <f t="shared" si="33"/>
        <v>90000</v>
      </c>
      <c r="H124" s="36">
        <f t="shared" si="34"/>
        <v>20</v>
      </c>
      <c r="I124" s="36">
        <v>0</v>
      </c>
      <c r="J124" s="37">
        <v>4500</v>
      </c>
      <c r="K124" s="37">
        <f t="shared" si="35"/>
        <v>0</v>
      </c>
      <c r="L124" s="62" t="s">
        <v>627</v>
      </c>
    </row>
    <row r="125" spans="1:12" ht="24" customHeight="1" x14ac:dyDescent="0.5">
      <c r="A125" s="57">
        <v>113</v>
      </c>
      <c r="B125" s="91" t="s">
        <v>672</v>
      </c>
      <c r="C125" s="59" t="s">
        <v>50</v>
      </c>
      <c r="D125" s="36">
        <v>0</v>
      </c>
      <c r="E125" s="36">
        <v>90</v>
      </c>
      <c r="F125" s="36">
        <f t="shared" si="32"/>
        <v>90</v>
      </c>
      <c r="G125" s="37">
        <f t="shared" si="33"/>
        <v>92250</v>
      </c>
      <c r="H125" s="36">
        <f t="shared" si="34"/>
        <v>90</v>
      </c>
      <c r="I125" s="36">
        <v>0</v>
      </c>
      <c r="J125" s="37">
        <v>1025</v>
      </c>
      <c r="K125" s="37">
        <f t="shared" si="35"/>
        <v>0</v>
      </c>
      <c r="L125" s="83" t="s">
        <v>462</v>
      </c>
    </row>
    <row r="126" spans="1:12" ht="24" customHeight="1" x14ac:dyDescent="0.5">
      <c r="A126" s="57">
        <v>114</v>
      </c>
      <c r="B126" s="91" t="s">
        <v>489</v>
      </c>
      <c r="C126" s="59" t="s">
        <v>38</v>
      </c>
      <c r="D126" s="36">
        <v>0</v>
      </c>
      <c r="E126" s="36">
        <v>3200</v>
      </c>
      <c r="F126" s="36">
        <f t="shared" si="32"/>
        <v>3200</v>
      </c>
      <c r="G126" s="37">
        <f t="shared" si="33"/>
        <v>112000</v>
      </c>
      <c r="H126" s="36">
        <f t="shared" si="34"/>
        <v>3200</v>
      </c>
      <c r="I126" s="36">
        <v>0</v>
      </c>
      <c r="J126" s="37">
        <v>35</v>
      </c>
      <c r="K126" s="37">
        <f t="shared" si="35"/>
        <v>0</v>
      </c>
      <c r="L126" s="83" t="s">
        <v>18</v>
      </c>
    </row>
    <row r="127" spans="1:12" ht="24" customHeight="1" x14ac:dyDescent="0.5">
      <c r="A127" s="57">
        <v>115</v>
      </c>
      <c r="B127" s="91" t="s">
        <v>490</v>
      </c>
      <c r="C127" s="59" t="s">
        <v>607</v>
      </c>
      <c r="D127" s="36">
        <v>0</v>
      </c>
      <c r="E127" s="36">
        <v>50</v>
      </c>
      <c r="F127" s="36">
        <f t="shared" si="32"/>
        <v>50</v>
      </c>
      <c r="G127" s="37">
        <f t="shared" si="33"/>
        <v>21400</v>
      </c>
      <c r="H127" s="36">
        <f t="shared" si="34"/>
        <v>50</v>
      </c>
      <c r="I127" s="36">
        <v>0</v>
      </c>
      <c r="J127" s="37">
        <v>428</v>
      </c>
      <c r="K127" s="37">
        <f t="shared" si="35"/>
        <v>0</v>
      </c>
      <c r="L127" s="78"/>
    </row>
    <row r="128" spans="1:12" ht="24" customHeight="1" x14ac:dyDescent="0.5">
      <c r="A128" s="57">
        <v>116</v>
      </c>
      <c r="B128" s="91" t="s">
        <v>673</v>
      </c>
      <c r="C128" s="59" t="s">
        <v>606</v>
      </c>
      <c r="D128" s="36">
        <v>0</v>
      </c>
      <c r="E128" s="36">
        <v>80</v>
      </c>
      <c r="F128" s="36">
        <f t="shared" si="32"/>
        <v>80</v>
      </c>
      <c r="G128" s="37">
        <f t="shared" si="33"/>
        <v>44512</v>
      </c>
      <c r="H128" s="36">
        <f t="shared" si="34"/>
        <v>80</v>
      </c>
      <c r="I128" s="36">
        <v>0</v>
      </c>
      <c r="J128" s="37">
        <v>556.4</v>
      </c>
      <c r="K128" s="37">
        <f t="shared" si="35"/>
        <v>0</v>
      </c>
      <c r="L128" s="62" t="s">
        <v>627</v>
      </c>
    </row>
    <row r="129" spans="1:12" ht="24" customHeight="1" x14ac:dyDescent="0.5">
      <c r="A129" s="57">
        <v>117</v>
      </c>
      <c r="B129" s="91" t="s">
        <v>674</v>
      </c>
      <c r="C129" s="59" t="s">
        <v>38</v>
      </c>
      <c r="D129" s="36">
        <v>0</v>
      </c>
      <c r="E129" s="36">
        <v>1</v>
      </c>
      <c r="F129" s="36">
        <f t="shared" si="32"/>
        <v>1</v>
      </c>
      <c r="G129" s="37">
        <f t="shared" si="33"/>
        <v>39590</v>
      </c>
      <c r="H129" s="36">
        <f t="shared" si="34"/>
        <v>1</v>
      </c>
      <c r="I129" s="36">
        <v>0</v>
      </c>
      <c r="J129" s="37">
        <v>39590</v>
      </c>
      <c r="K129" s="37">
        <f t="shared" si="35"/>
        <v>0</v>
      </c>
      <c r="L129" s="78" t="s">
        <v>434</v>
      </c>
    </row>
    <row r="130" spans="1:12" ht="24" customHeight="1" x14ac:dyDescent="0.5">
      <c r="A130" s="57">
        <v>118</v>
      </c>
      <c r="B130" s="91" t="s">
        <v>675</v>
      </c>
      <c r="C130" s="59" t="s">
        <v>611</v>
      </c>
      <c r="D130" s="36">
        <v>0</v>
      </c>
      <c r="E130" s="36">
        <v>10</v>
      </c>
      <c r="F130" s="36">
        <f t="shared" si="32"/>
        <v>10</v>
      </c>
      <c r="G130" s="37">
        <f t="shared" si="33"/>
        <v>16000</v>
      </c>
      <c r="H130" s="36">
        <f t="shared" si="34"/>
        <v>10</v>
      </c>
      <c r="I130" s="36">
        <v>0</v>
      </c>
      <c r="J130" s="37">
        <v>1600</v>
      </c>
      <c r="K130" s="37">
        <f t="shared" si="35"/>
        <v>0</v>
      </c>
      <c r="L130" s="83" t="s">
        <v>433</v>
      </c>
    </row>
    <row r="131" spans="1:12" ht="24" customHeight="1" x14ac:dyDescent="0.5">
      <c r="A131" s="57">
        <v>119</v>
      </c>
      <c r="B131" s="91" t="s">
        <v>676</v>
      </c>
      <c r="C131" s="59" t="s">
        <v>24</v>
      </c>
      <c r="D131" s="36">
        <v>0</v>
      </c>
      <c r="E131" s="36">
        <v>140</v>
      </c>
      <c r="F131" s="36">
        <f>D131+E131</f>
        <v>140</v>
      </c>
      <c r="G131" s="37">
        <f>H131*J131</f>
        <v>392000</v>
      </c>
      <c r="H131" s="36">
        <f>F131-I131</f>
        <v>140</v>
      </c>
      <c r="I131" s="36">
        <v>0</v>
      </c>
      <c r="J131" s="37">
        <v>2800</v>
      </c>
      <c r="K131" s="37">
        <f>I131*J131</f>
        <v>0</v>
      </c>
      <c r="L131" s="78"/>
    </row>
    <row r="132" spans="1:12" ht="24" customHeight="1" x14ac:dyDescent="0.5">
      <c r="A132" s="57">
        <v>120</v>
      </c>
      <c r="B132" s="91" t="s">
        <v>677</v>
      </c>
      <c r="C132" s="59" t="s">
        <v>606</v>
      </c>
      <c r="D132" s="36">
        <v>0</v>
      </c>
      <c r="E132" s="36">
        <v>300</v>
      </c>
      <c r="F132" s="36">
        <f>D132+E132</f>
        <v>300</v>
      </c>
      <c r="G132" s="37">
        <f>H132*J132</f>
        <v>224700</v>
      </c>
      <c r="H132" s="36">
        <f>F132-I132</f>
        <v>300</v>
      </c>
      <c r="I132" s="36">
        <v>0</v>
      </c>
      <c r="J132" s="37">
        <v>749</v>
      </c>
      <c r="K132" s="37">
        <f>I132*J132</f>
        <v>0</v>
      </c>
      <c r="L132" s="62" t="s">
        <v>627</v>
      </c>
    </row>
    <row r="133" spans="1:12" ht="24" customHeight="1" x14ac:dyDescent="0.5">
      <c r="A133" s="92"/>
      <c r="B133" s="53" t="s">
        <v>432</v>
      </c>
      <c r="C133" s="65"/>
      <c r="D133" s="38"/>
      <c r="E133" s="38"/>
      <c r="F133" s="38"/>
      <c r="G133" s="39">
        <f>SUM(G113:G132)</f>
        <v>2496957.5</v>
      </c>
      <c r="H133" s="38"/>
      <c r="I133" s="38"/>
      <c r="J133" s="39"/>
      <c r="K133" s="39">
        <f>SUM(K113:K132)</f>
        <v>45639</v>
      </c>
      <c r="L133" s="78" t="s">
        <v>503</v>
      </c>
    </row>
    <row r="134" spans="1:12" ht="24" customHeight="1" x14ac:dyDescent="0.5">
      <c r="B134" s="93"/>
      <c r="C134" s="79"/>
      <c r="D134" s="40"/>
      <c r="E134" s="40"/>
      <c r="F134" s="40"/>
      <c r="G134" s="41"/>
      <c r="H134" s="40"/>
      <c r="I134" s="40"/>
      <c r="J134" s="41"/>
      <c r="K134" s="41"/>
      <c r="L134" s="83" t="s">
        <v>435</v>
      </c>
    </row>
    <row r="135" spans="1:12" ht="24" customHeight="1" x14ac:dyDescent="0.5">
      <c r="A135" s="92">
        <v>121</v>
      </c>
      <c r="B135" s="91" t="s">
        <v>541</v>
      </c>
      <c r="C135" s="59" t="s">
        <v>606</v>
      </c>
      <c r="D135" s="36">
        <v>0</v>
      </c>
      <c r="E135" s="36">
        <v>150</v>
      </c>
      <c r="F135" s="36">
        <f>D135+E135</f>
        <v>150</v>
      </c>
      <c r="G135" s="37">
        <f>H135*J135</f>
        <v>321000</v>
      </c>
      <c r="H135" s="36">
        <f>F135-I135</f>
        <v>150</v>
      </c>
      <c r="I135" s="36">
        <v>0</v>
      </c>
      <c r="J135" s="37">
        <v>2140</v>
      </c>
      <c r="K135" s="37">
        <f>I135*J135</f>
        <v>0</v>
      </c>
      <c r="L135" s="83" t="s">
        <v>15</v>
      </c>
    </row>
    <row r="136" spans="1:12" ht="24" customHeight="1" x14ac:dyDescent="0.5">
      <c r="A136" s="92">
        <v>122</v>
      </c>
      <c r="B136" s="91" t="s">
        <v>678</v>
      </c>
      <c r="C136" s="59" t="s">
        <v>606</v>
      </c>
      <c r="D136" s="36">
        <v>0</v>
      </c>
      <c r="E136" s="36">
        <v>30</v>
      </c>
      <c r="F136" s="36">
        <f>D136+E136</f>
        <v>30</v>
      </c>
      <c r="G136" s="37">
        <f>H136*J136</f>
        <v>65805</v>
      </c>
      <c r="H136" s="36">
        <f>F136-I136</f>
        <v>30</v>
      </c>
      <c r="I136" s="36">
        <v>0</v>
      </c>
      <c r="J136" s="37">
        <v>2193.5</v>
      </c>
      <c r="K136" s="37">
        <f>I136*J136</f>
        <v>0</v>
      </c>
      <c r="L136" s="78" t="s">
        <v>716</v>
      </c>
    </row>
    <row r="137" spans="1:12" ht="24" customHeight="1" x14ac:dyDescent="0.5">
      <c r="A137" s="92">
        <v>123</v>
      </c>
      <c r="B137" s="91" t="s">
        <v>679</v>
      </c>
      <c r="C137" s="59" t="s">
        <v>606</v>
      </c>
      <c r="D137" s="36">
        <v>0</v>
      </c>
      <c r="E137" s="36">
        <v>30</v>
      </c>
      <c r="F137" s="36">
        <f t="shared" ref="F137:F154" si="36">D137+E137</f>
        <v>30</v>
      </c>
      <c r="G137" s="37">
        <f t="shared" ref="G137:G154" si="37">H137*J137</f>
        <v>88275</v>
      </c>
      <c r="H137" s="36">
        <f t="shared" ref="H137:H154" si="38">F137-I137</f>
        <v>30</v>
      </c>
      <c r="I137" s="36">
        <v>0</v>
      </c>
      <c r="J137" s="37">
        <v>2942.5</v>
      </c>
      <c r="K137" s="37">
        <f t="shared" ref="K137:K154" si="39">I137*J137</f>
        <v>0</v>
      </c>
      <c r="L137" s="83"/>
    </row>
    <row r="138" spans="1:12" ht="24" customHeight="1" x14ac:dyDescent="0.5">
      <c r="A138" s="92">
        <v>124</v>
      </c>
      <c r="B138" s="91" t="s">
        <v>542</v>
      </c>
      <c r="C138" s="59" t="s">
        <v>606</v>
      </c>
      <c r="D138" s="36">
        <v>0</v>
      </c>
      <c r="E138" s="36">
        <v>10</v>
      </c>
      <c r="F138" s="36">
        <f t="shared" si="36"/>
        <v>10</v>
      </c>
      <c r="G138" s="37">
        <f t="shared" si="37"/>
        <v>44940</v>
      </c>
      <c r="H138" s="36">
        <f t="shared" si="38"/>
        <v>10</v>
      </c>
      <c r="I138" s="36">
        <v>0</v>
      </c>
      <c r="J138" s="37">
        <v>4494</v>
      </c>
      <c r="K138" s="37">
        <f t="shared" si="39"/>
        <v>0</v>
      </c>
      <c r="L138" s="62" t="s">
        <v>627</v>
      </c>
    </row>
    <row r="139" spans="1:12" ht="24" customHeight="1" x14ac:dyDescent="0.5">
      <c r="A139" s="92">
        <v>125</v>
      </c>
      <c r="B139" s="91" t="s">
        <v>275</v>
      </c>
      <c r="C139" s="59" t="s">
        <v>606</v>
      </c>
      <c r="D139" s="36">
        <v>4</v>
      </c>
      <c r="E139" s="36">
        <v>18</v>
      </c>
      <c r="F139" s="36">
        <f t="shared" si="36"/>
        <v>22</v>
      </c>
      <c r="G139" s="37">
        <f t="shared" si="37"/>
        <v>85000</v>
      </c>
      <c r="H139" s="36">
        <f t="shared" si="38"/>
        <v>17</v>
      </c>
      <c r="I139" s="36">
        <v>5</v>
      </c>
      <c r="J139" s="37">
        <v>5000</v>
      </c>
      <c r="K139" s="37">
        <f t="shared" si="39"/>
        <v>25000</v>
      </c>
      <c r="L139" s="90" t="s">
        <v>731</v>
      </c>
    </row>
    <row r="140" spans="1:12" ht="24" customHeight="1" x14ac:dyDescent="0.5">
      <c r="A140" s="92">
        <v>126</v>
      </c>
      <c r="B140" s="91" t="s">
        <v>276</v>
      </c>
      <c r="C140" s="59" t="s">
        <v>50</v>
      </c>
      <c r="D140" s="36">
        <v>530</v>
      </c>
      <c r="E140" s="36">
        <v>1000</v>
      </c>
      <c r="F140" s="36">
        <f t="shared" si="36"/>
        <v>1530</v>
      </c>
      <c r="G140" s="37">
        <f t="shared" si="37"/>
        <v>2640</v>
      </c>
      <c r="H140" s="36">
        <f t="shared" si="38"/>
        <v>480</v>
      </c>
      <c r="I140" s="36">
        <v>1050</v>
      </c>
      <c r="J140" s="37">
        <v>5.5</v>
      </c>
      <c r="K140" s="37">
        <f t="shared" si="39"/>
        <v>5775</v>
      </c>
      <c r="L140" s="90" t="s">
        <v>16</v>
      </c>
    </row>
    <row r="141" spans="1:12" ht="24" customHeight="1" x14ac:dyDescent="0.5">
      <c r="A141" s="92">
        <v>127</v>
      </c>
      <c r="B141" s="91" t="s">
        <v>277</v>
      </c>
      <c r="C141" s="59" t="s">
        <v>611</v>
      </c>
      <c r="D141" s="36">
        <v>0</v>
      </c>
      <c r="E141" s="36">
        <v>3400</v>
      </c>
      <c r="F141" s="36">
        <f t="shared" si="36"/>
        <v>3400</v>
      </c>
      <c r="G141" s="37">
        <f t="shared" si="37"/>
        <v>83300</v>
      </c>
      <c r="H141" s="36">
        <f t="shared" si="38"/>
        <v>3400</v>
      </c>
      <c r="I141" s="36">
        <v>0</v>
      </c>
      <c r="J141" s="37">
        <v>24.5</v>
      </c>
      <c r="K141" s="37">
        <f t="shared" si="39"/>
        <v>0</v>
      </c>
      <c r="L141" s="90"/>
    </row>
    <row r="142" spans="1:12" ht="24" customHeight="1" x14ac:dyDescent="0.5">
      <c r="A142" s="92">
        <v>128</v>
      </c>
      <c r="B142" s="91" t="s">
        <v>278</v>
      </c>
      <c r="C142" s="59" t="s">
        <v>38</v>
      </c>
      <c r="D142" s="36">
        <v>0</v>
      </c>
      <c r="E142" s="36">
        <v>550</v>
      </c>
      <c r="F142" s="36">
        <f t="shared" si="36"/>
        <v>550</v>
      </c>
      <c r="G142" s="37">
        <f t="shared" si="37"/>
        <v>12100</v>
      </c>
      <c r="H142" s="36">
        <f t="shared" si="38"/>
        <v>550</v>
      </c>
      <c r="I142" s="36">
        <v>0</v>
      </c>
      <c r="J142" s="37">
        <v>22</v>
      </c>
      <c r="K142" s="37">
        <f t="shared" si="39"/>
        <v>0</v>
      </c>
      <c r="L142" s="62" t="s">
        <v>627</v>
      </c>
    </row>
    <row r="143" spans="1:12" ht="24" customHeight="1" x14ac:dyDescent="0.5">
      <c r="A143" s="92">
        <v>129</v>
      </c>
      <c r="B143" s="91" t="s">
        <v>543</v>
      </c>
      <c r="C143" s="59" t="s">
        <v>607</v>
      </c>
      <c r="D143" s="36">
        <v>0</v>
      </c>
      <c r="E143" s="36">
        <v>168</v>
      </c>
      <c r="F143" s="36">
        <f t="shared" si="36"/>
        <v>168</v>
      </c>
      <c r="G143" s="37">
        <f t="shared" si="37"/>
        <v>302400</v>
      </c>
      <c r="H143" s="36">
        <f t="shared" si="38"/>
        <v>168</v>
      </c>
      <c r="I143" s="36">
        <v>0</v>
      </c>
      <c r="J143" s="37">
        <v>1800</v>
      </c>
      <c r="K143" s="37">
        <f t="shared" si="39"/>
        <v>0</v>
      </c>
      <c r="L143" s="83" t="s">
        <v>463</v>
      </c>
    </row>
    <row r="144" spans="1:12" ht="24" customHeight="1" x14ac:dyDescent="0.5">
      <c r="A144" s="92">
        <v>130</v>
      </c>
      <c r="B144" s="91" t="s">
        <v>680</v>
      </c>
      <c r="C144" s="59" t="s">
        <v>24</v>
      </c>
      <c r="D144" s="36">
        <v>0</v>
      </c>
      <c r="E144" s="36">
        <v>250</v>
      </c>
      <c r="F144" s="36">
        <f t="shared" si="36"/>
        <v>250</v>
      </c>
      <c r="G144" s="37">
        <f t="shared" si="37"/>
        <v>650000</v>
      </c>
      <c r="H144" s="36">
        <f t="shared" si="38"/>
        <v>250</v>
      </c>
      <c r="I144" s="36">
        <v>0</v>
      </c>
      <c r="J144" s="37">
        <v>2600</v>
      </c>
      <c r="K144" s="37">
        <f t="shared" si="39"/>
        <v>0</v>
      </c>
      <c r="L144" s="90" t="s">
        <v>17</v>
      </c>
    </row>
    <row r="145" spans="1:12" ht="24" customHeight="1" x14ac:dyDescent="0.5">
      <c r="A145" s="92">
        <v>131</v>
      </c>
      <c r="B145" s="91" t="s">
        <v>279</v>
      </c>
      <c r="C145" s="59" t="s">
        <v>610</v>
      </c>
      <c r="D145" s="36">
        <v>0</v>
      </c>
      <c r="E145" s="36">
        <v>120000</v>
      </c>
      <c r="F145" s="36">
        <f t="shared" si="36"/>
        <v>120000</v>
      </c>
      <c r="G145" s="37">
        <f t="shared" si="37"/>
        <v>648000</v>
      </c>
      <c r="H145" s="36">
        <f t="shared" si="38"/>
        <v>120000</v>
      </c>
      <c r="I145" s="36">
        <v>0</v>
      </c>
      <c r="J145" s="37">
        <v>5.4</v>
      </c>
      <c r="K145" s="37">
        <f t="shared" si="39"/>
        <v>0</v>
      </c>
      <c r="L145" s="90"/>
    </row>
    <row r="146" spans="1:12" ht="24" customHeight="1" x14ac:dyDescent="0.5">
      <c r="A146" s="92">
        <v>132</v>
      </c>
      <c r="B146" s="91" t="s">
        <v>280</v>
      </c>
      <c r="C146" s="59" t="s">
        <v>50</v>
      </c>
      <c r="D146" s="36">
        <v>0</v>
      </c>
      <c r="E146" s="36">
        <v>38000</v>
      </c>
      <c r="F146" s="36">
        <f t="shared" si="36"/>
        <v>38000</v>
      </c>
      <c r="G146" s="37">
        <f t="shared" si="37"/>
        <v>399000</v>
      </c>
      <c r="H146" s="36">
        <f t="shared" si="38"/>
        <v>38000</v>
      </c>
      <c r="I146" s="36">
        <v>0</v>
      </c>
      <c r="J146" s="37">
        <v>10.5</v>
      </c>
      <c r="K146" s="37">
        <f t="shared" si="39"/>
        <v>0</v>
      </c>
      <c r="L146" s="62" t="s">
        <v>627</v>
      </c>
    </row>
    <row r="147" spans="1:12" ht="24" customHeight="1" x14ac:dyDescent="0.5">
      <c r="A147" s="92">
        <v>133</v>
      </c>
      <c r="B147" s="91" t="s">
        <v>544</v>
      </c>
      <c r="C147" s="59" t="s">
        <v>50</v>
      </c>
      <c r="D147" s="36">
        <v>0</v>
      </c>
      <c r="E147" s="36">
        <v>30</v>
      </c>
      <c r="F147" s="36">
        <f t="shared" si="36"/>
        <v>30</v>
      </c>
      <c r="G147" s="37">
        <f t="shared" si="37"/>
        <v>495000</v>
      </c>
      <c r="H147" s="36">
        <f t="shared" si="38"/>
        <v>30</v>
      </c>
      <c r="I147" s="36">
        <v>0</v>
      </c>
      <c r="J147" s="37">
        <v>16500</v>
      </c>
      <c r="K147" s="37">
        <f t="shared" si="39"/>
        <v>0</v>
      </c>
      <c r="L147" s="83" t="s">
        <v>462</v>
      </c>
    </row>
    <row r="148" spans="1:12" ht="24" customHeight="1" x14ac:dyDescent="0.5">
      <c r="A148" s="92">
        <v>134</v>
      </c>
      <c r="B148" s="91" t="s">
        <v>281</v>
      </c>
      <c r="C148" s="59" t="s">
        <v>38</v>
      </c>
      <c r="D148" s="36">
        <v>0</v>
      </c>
      <c r="E148" s="36">
        <v>16500</v>
      </c>
      <c r="F148" s="36">
        <f t="shared" si="36"/>
        <v>16500</v>
      </c>
      <c r="G148" s="37">
        <f t="shared" si="37"/>
        <v>874500</v>
      </c>
      <c r="H148" s="36">
        <f t="shared" si="38"/>
        <v>16500</v>
      </c>
      <c r="I148" s="36">
        <v>0</v>
      </c>
      <c r="J148" s="37">
        <v>53</v>
      </c>
      <c r="K148" s="37">
        <f t="shared" si="39"/>
        <v>0</v>
      </c>
      <c r="L148" s="83" t="s">
        <v>18</v>
      </c>
    </row>
    <row r="149" spans="1:12" ht="24" customHeight="1" x14ac:dyDescent="0.5">
      <c r="A149" s="92">
        <v>135</v>
      </c>
      <c r="B149" s="91" t="s">
        <v>681</v>
      </c>
      <c r="C149" s="59" t="s">
        <v>605</v>
      </c>
      <c r="D149" s="36">
        <v>0</v>
      </c>
      <c r="E149" s="36">
        <v>800</v>
      </c>
      <c r="F149" s="36">
        <f t="shared" si="36"/>
        <v>800</v>
      </c>
      <c r="G149" s="37">
        <f t="shared" si="37"/>
        <v>52000</v>
      </c>
      <c r="H149" s="36">
        <f t="shared" si="38"/>
        <v>800</v>
      </c>
      <c r="I149" s="36">
        <v>0</v>
      </c>
      <c r="J149" s="37">
        <v>65</v>
      </c>
      <c r="K149" s="37">
        <f t="shared" si="39"/>
        <v>0</v>
      </c>
      <c r="L149" s="78"/>
    </row>
    <row r="150" spans="1:12" ht="24" customHeight="1" x14ac:dyDescent="0.5">
      <c r="A150" s="92">
        <v>136</v>
      </c>
      <c r="B150" s="91" t="s">
        <v>283</v>
      </c>
      <c r="C150" s="59" t="s">
        <v>605</v>
      </c>
      <c r="D150" s="36">
        <v>0</v>
      </c>
      <c r="E150" s="36">
        <v>2000</v>
      </c>
      <c r="F150" s="36">
        <f t="shared" si="36"/>
        <v>2000</v>
      </c>
      <c r="G150" s="37">
        <f t="shared" si="37"/>
        <v>80000</v>
      </c>
      <c r="H150" s="36">
        <f t="shared" si="38"/>
        <v>2000</v>
      </c>
      <c r="I150" s="36">
        <v>0</v>
      </c>
      <c r="J150" s="37">
        <v>40</v>
      </c>
      <c r="K150" s="37">
        <f t="shared" si="39"/>
        <v>0</v>
      </c>
      <c r="L150" s="62" t="s">
        <v>627</v>
      </c>
    </row>
    <row r="151" spans="1:12" ht="24" customHeight="1" x14ac:dyDescent="0.5">
      <c r="A151" s="92">
        <v>137</v>
      </c>
      <c r="B151" s="91" t="s">
        <v>282</v>
      </c>
      <c r="C151" s="59" t="s">
        <v>605</v>
      </c>
      <c r="D151" s="36">
        <v>0</v>
      </c>
      <c r="E151" s="36">
        <v>17500</v>
      </c>
      <c r="F151" s="36">
        <f t="shared" si="36"/>
        <v>17500</v>
      </c>
      <c r="G151" s="37">
        <f t="shared" si="37"/>
        <v>262500</v>
      </c>
      <c r="H151" s="36">
        <f t="shared" si="38"/>
        <v>17500</v>
      </c>
      <c r="I151" s="36">
        <v>0</v>
      </c>
      <c r="J151" s="37">
        <v>15</v>
      </c>
      <c r="K151" s="37">
        <f t="shared" si="39"/>
        <v>0</v>
      </c>
      <c r="L151" s="78" t="s">
        <v>434</v>
      </c>
    </row>
    <row r="152" spans="1:12" ht="24" customHeight="1" x14ac:dyDescent="0.5">
      <c r="A152" s="92">
        <v>138</v>
      </c>
      <c r="B152" s="91" t="s">
        <v>682</v>
      </c>
      <c r="C152" s="59" t="s">
        <v>38</v>
      </c>
      <c r="D152" s="36">
        <v>0</v>
      </c>
      <c r="E152" s="36">
        <v>500</v>
      </c>
      <c r="F152" s="36">
        <f t="shared" si="36"/>
        <v>500</v>
      </c>
      <c r="G152" s="37">
        <f t="shared" si="37"/>
        <v>26000</v>
      </c>
      <c r="H152" s="36">
        <f t="shared" si="38"/>
        <v>500</v>
      </c>
      <c r="I152" s="36">
        <v>0</v>
      </c>
      <c r="J152" s="37">
        <v>52</v>
      </c>
      <c r="K152" s="37">
        <f t="shared" si="39"/>
        <v>0</v>
      </c>
      <c r="L152" s="83" t="s">
        <v>433</v>
      </c>
    </row>
    <row r="153" spans="1:12" ht="24" customHeight="1" x14ac:dyDescent="0.5">
      <c r="A153" s="92">
        <v>139</v>
      </c>
      <c r="B153" s="91" t="s">
        <v>442</v>
      </c>
      <c r="C153" s="59" t="s">
        <v>50</v>
      </c>
      <c r="D153" s="36">
        <v>0</v>
      </c>
      <c r="E153" s="36">
        <v>20</v>
      </c>
      <c r="F153" s="36">
        <f t="shared" si="36"/>
        <v>20</v>
      </c>
      <c r="G153" s="37">
        <f t="shared" si="37"/>
        <v>40000</v>
      </c>
      <c r="H153" s="36">
        <f t="shared" si="38"/>
        <v>20</v>
      </c>
      <c r="I153" s="36">
        <v>0</v>
      </c>
      <c r="J153" s="37">
        <v>2000</v>
      </c>
      <c r="K153" s="37">
        <f t="shared" si="39"/>
        <v>0</v>
      </c>
      <c r="L153" s="78"/>
    </row>
    <row r="154" spans="1:12" ht="24" customHeight="1" x14ac:dyDescent="0.5">
      <c r="A154" s="92">
        <v>140</v>
      </c>
      <c r="B154" s="91" t="s">
        <v>491</v>
      </c>
      <c r="C154" s="59" t="s">
        <v>611</v>
      </c>
      <c r="D154" s="36">
        <v>0</v>
      </c>
      <c r="E154" s="36">
        <v>30</v>
      </c>
      <c r="F154" s="36">
        <f t="shared" si="36"/>
        <v>30</v>
      </c>
      <c r="G154" s="37">
        <f t="shared" si="37"/>
        <v>31500</v>
      </c>
      <c r="H154" s="36">
        <f t="shared" si="38"/>
        <v>30</v>
      </c>
      <c r="I154" s="36">
        <v>0</v>
      </c>
      <c r="J154" s="37">
        <v>1050</v>
      </c>
      <c r="K154" s="37">
        <f t="shared" si="39"/>
        <v>0</v>
      </c>
      <c r="L154" s="62" t="s">
        <v>627</v>
      </c>
    </row>
    <row r="155" spans="1:12" ht="24" customHeight="1" x14ac:dyDescent="0.5">
      <c r="A155" s="92"/>
      <c r="B155" s="53" t="s">
        <v>432</v>
      </c>
      <c r="C155" s="65"/>
      <c r="D155" s="38"/>
      <c r="E155" s="38"/>
      <c r="F155" s="38"/>
      <c r="G155" s="39">
        <f>SUM(G135:G154)</f>
        <v>4563960</v>
      </c>
      <c r="H155" s="38"/>
      <c r="I155" s="38"/>
      <c r="J155" s="39"/>
      <c r="K155" s="39">
        <f>SUM(K135:K154)</f>
        <v>30775</v>
      </c>
      <c r="L155" s="78" t="s">
        <v>503</v>
      </c>
    </row>
    <row r="156" spans="1:12" ht="24" customHeight="1" x14ac:dyDescent="0.5">
      <c r="B156" s="93"/>
      <c r="C156" s="79"/>
      <c r="D156" s="40"/>
      <c r="E156" s="40"/>
      <c r="F156" s="40"/>
      <c r="G156" s="41"/>
      <c r="H156" s="40"/>
      <c r="I156" s="40"/>
      <c r="J156" s="41"/>
      <c r="K156" s="41"/>
      <c r="L156" s="83" t="s">
        <v>435</v>
      </c>
    </row>
    <row r="157" spans="1:12" ht="24" customHeight="1" x14ac:dyDescent="0.5">
      <c r="A157" s="92">
        <v>141</v>
      </c>
      <c r="B157" s="91" t="s">
        <v>492</v>
      </c>
      <c r="C157" s="59" t="s">
        <v>607</v>
      </c>
      <c r="D157" s="36">
        <v>0</v>
      </c>
      <c r="E157" s="36">
        <v>95</v>
      </c>
      <c r="F157" s="36">
        <f t="shared" ref="F157" si="40">D157+E157</f>
        <v>95</v>
      </c>
      <c r="G157" s="37">
        <f t="shared" ref="G157" si="41">H157*J157</f>
        <v>93100</v>
      </c>
      <c r="H157" s="36">
        <f t="shared" ref="H157" si="42">F157-I157</f>
        <v>95</v>
      </c>
      <c r="I157" s="36">
        <v>0</v>
      </c>
      <c r="J157" s="37">
        <v>980</v>
      </c>
      <c r="K157" s="37">
        <f t="shared" ref="K157" si="43">I157*J157</f>
        <v>0</v>
      </c>
      <c r="L157" s="83" t="s">
        <v>15</v>
      </c>
    </row>
    <row r="158" spans="1:12" ht="24" customHeight="1" x14ac:dyDescent="0.5">
      <c r="A158" s="92">
        <v>142</v>
      </c>
      <c r="B158" s="91" t="s">
        <v>285</v>
      </c>
      <c r="C158" s="59" t="s">
        <v>24</v>
      </c>
      <c r="D158" s="36">
        <v>0</v>
      </c>
      <c r="E158" s="36">
        <v>260</v>
      </c>
      <c r="F158" s="36">
        <f>D158+E158</f>
        <v>260</v>
      </c>
      <c r="G158" s="37">
        <f>H158*J158</f>
        <v>249600</v>
      </c>
      <c r="H158" s="36">
        <f>F158-I158</f>
        <v>260</v>
      </c>
      <c r="I158" s="36">
        <v>0</v>
      </c>
      <c r="J158" s="37">
        <v>960</v>
      </c>
      <c r="K158" s="37">
        <f t="shared" ref="K158:K174" si="44">I158*J158</f>
        <v>0</v>
      </c>
      <c r="L158" s="78" t="s">
        <v>716</v>
      </c>
    </row>
    <row r="159" spans="1:12" ht="24" customHeight="1" x14ac:dyDescent="0.5">
      <c r="A159" s="92">
        <v>143</v>
      </c>
      <c r="B159" s="91" t="s">
        <v>284</v>
      </c>
      <c r="C159" s="59" t="s">
        <v>606</v>
      </c>
      <c r="D159" s="36">
        <v>40</v>
      </c>
      <c r="E159" s="36">
        <v>270</v>
      </c>
      <c r="F159" s="36">
        <f t="shared" ref="F159:F176" si="45">D159+E159</f>
        <v>310</v>
      </c>
      <c r="G159" s="37">
        <f t="shared" ref="G159:G176" si="46">H159*J159</f>
        <v>248000</v>
      </c>
      <c r="H159" s="36">
        <f t="shared" ref="H159:H176" si="47">F159-I159</f>
        <v>310</v>
      </c>
      <c r="I159" s="36">
        <v>0</v>
      </c>
      <c r="J159" s="37">
        <v>800</v>
      </c>
      <c r="K159" s="37">
        <f t="shared" si="44"/>
        <v>0</v>
      </c>
      <c r="L159" s="83"/>
    </row>
    <row r="160" spans="1:12" ht="24" customHeight="1" x14ac:dyDescent="0.5">
      <c r="A160" s="92">
        <v>144</v>
      </c>
      <c r="B160" s="91" t="s">
        <v>683</v>
      </c>
      <c r="C160" s="59" t="s">
        <v>50</v>
      </c>
      <c r="D160" s="36">
        <v>0</v>
      </c>
      <c r="E160" s="36">
        <v>2</v>
      </c>
      <c r="F160" s="36">
        <f t="shared" si="45"/>
        <v>2</v>
      </c>
      <c r="G160" s="37">
        <f t="shared" si="46"/>
        <v>12000</v>
      </c>
      <c r="H160" s="36">
        <f t="shared" si="47"/>
        <v>2</v>
      </c>
      <c r="I160" s="36">
        <v>0</v>
      </c>
      <c r="J160" s="37">
        <v>6000</v>
      </c>
      <c r="K160" s="37">
        <f t="shared" si="44"/>
        <v>0</v>
      </c>
      <c r="L160" s="62" t="s">
        <v>627</v>
      </c>
    </row>
    <row r="161" spans="1:12" ht="24" customHeight="1" x14ac:dyDescent="0.5">
      <c r="A161" s="92">
        <v>145</v>
      </c>
      <c r="B161" s="91" t="s">
        <v>684</v>
      </c>
      <c r="C161" s="59" t="s">
        <v>50</v>
      </c>
      <c r="D161" s="36">
        <v>0</v>
      </c>
      <c r="E161" s="36">
        <v>6</v>
      </c>
      <c r="F161" s="36">
        <f t="shared" si="45"/>
        <v>6</v>
      </c>
      <c r="G161" s="37">
        <f t="shared" si="46"/>
        <v>39000</v>
      </c>
      <c r="H161" s="36">
        <f t="shared" si="47"/>
        <v>6</v>
      </c>
      <c r="I161" s="36">
        <v>0</v>
      </c>
      <c r="J161" s="37">
        <v>6500</v>
      </c>
      <c r="K161" s="37">
        <f t="shared" si="44"/>
        <v>0</v>
      </c>
      <c r="L161" s="90" t="s">
        <v>731</v>
      </c>
    </row>
    <row r="162" spans="1:12" ht="24" customHeight="1" x14ac:dyDescent="0.5">
      <c r="A162" s="92">
        <v>146</v>
      </c>
      <c r="B162" s="91" t="s">
        <v>685</v>
      </c>
      <c r="C162" s="59" t="s">
        <v>606</v>
      </c>
      <c r="D162" s="36">
        <v>30</v>
      </c>
      <c r="E162" s="36">
        <v>30</v>
      </c>
      <c r="F162" s="36">
        <f t="shared" si="45"/>
        <v>60</v>
      </c>
      <c r="G162" s="37">
        <f t="shared" si="46"/>
        <v>80000</v>
      </c>
      <c r="H162" s="36">
        <f t="shared" si="47"/>
        <v>40</v>
      </c>
      <c r="I162" s="36">
        <v>20</v>
      </c>
      <c r="J162" s="37">
        <v>2000</v>
      </c>
      <c r="K162" s="37">
        <f t="shared" si="44"/>
        <v>40000</v>
      </c>
      <c r="L162" s="90" t="s">
        <v>16</v>
      </c>
    </row>
    <row r="163" spans="1:12" ht="24" customHeight="1" x14ac:dyDescent="0.5">
      <c r="A163" s="92">
        <v>147</v>
      </c>
      <c r="B163" s="91" t="s">
        <v>286</v>
      </c>
      <c r="C163" s="59" t="s">
        <v>38</v>
      </c>
      <c r="D163" s="36">
        <v>4</v>
      </c>
      <c r="E163" s="36">
        <v>376</v>
      </c>
      <c r="F163" s="36">
        <f t="shared" si="45"/>
        <v>380</v>
      </c>
      <c r="G163" s="37">
        <f t="shared" si="46"/>
        <v>1514360</v>
      </c>
      <c r="H163" s="36">
        <f t="shared" si="47"/>
        <v>289</v>
      </c>
      <c r="I163" s="36">
        <v>91</v>
      </c>
      <c r="J163" s="37">
        <v>5240</v>
      </c>
      <c r="K163" s="37">
        <f t="shared" si="44"/>
        <v>476840</v>
      </c>
      <c r="L163" s="90"/>
    </row>
    <row r="164" spans="1:12" ht="24" customHeight="1" x14ac:dyDescent="0.5">
      <c r="A164" s="92">
        <v>148</v>
      </c>
      <c r="B164" s="91" t="s">
        <v>545</v>
      </c>
      <c r="C164" s="59" t="s">
        <v>38</v>
      </c>
      <c r="D164" s="36">
        <v>0</v>
      </c>
      <c r="E164" s="36">
        <v>48</v>
      </c>
      <c r="F164" s="36">
        <f t="shared" si="45"/>
        <v>48</v>
      </c>
      <c r="G164" s="37">
        <f t="shared" si="46"/>
        <v>384000</v>
      </c>
      <c r="H164" s="36">
        <f t="shared" si="47"/>
        <v>48</v>
      </c>
      <c r="I164" s="36">
        <v>0</v>
      </c>
      <c r="J164" s="37">
        <v>8000</v>
      </c>
      <c r="K164" s="37">
        <f t="shared" si="44"/>
        <v>0</v>
      </c>
      <c r="L164" s="62" t="s">
        <v>627</v>
      </c>
    </row>
    <row r="165" spans="1:12" ht="24" customHeight="1" x14ac:dyDescent="0.5">
      <c r="A165" s="92">
        <v>149</v>
      </c>
      <c r="B165" s="91" t="s">
        <v>686</v>
      </c>
      <c r="C165" s="59" t="s">
        <v>606</v>
      </c>
      <c r="D165" s="36">
        <v>60</v>
      </c>
      <c r="E165" s="36">
        <v>50</v>
      </c>
      <c r="F165" s="36">
        <f t="shared" si="45"/>
        <v>110</v>
      </c>
      <c r="G165" s="37">
        <f t="shared" si="46"/>
        <v>140000</v>
      </c>
      <c r="H165" s="36">
        <f t="shared" si="47"/>
        <v>70</v>
      </c>
      <c r="I165" s="36">
        <v>40</v>
      </c>
      <c r="J165" s="37">
        <v>2000</v>
      </c>
      <c r="K165" s="37">
        <f t="shared" si="44"/>
        <v>80000</v>
      </c>
      <c r="L165" s="83" t="s">
        <v>463</v>
      </c>
    </row>
    <row r="166" spans="1:12" ht="24" customHeight="1" x14ac:dyDescent="0.5">
      <c r="A166" s="92">
        <v>150</v>
      </c>
      <c r="B166" s="91" t="s">
        <v>687</v>
      </c>
      <c r="C166" s="59" t="s">
        <v>611</v>
      </c>
      <c r="D166" s="36">
        <v>0</v>
      </c>
      <c r="E166" s="36">
        <v>20</v>
      </c>
      <c r="F166" s="36">
        <f t="shared" si="45"/>
        <v>20</v>
      </c>
      <c r="G166" s="37">
        <f t="shared" si="46"/>
        <v>3000</v>
      </c>
      <c r="H166" s="36">
        <f t="shared" si="47"/>
        <v>20</v>
      </c>
      <c r="I166" s="36">
        <v>0</v>
      </c>
      <c r="J166" s="37">
        <v>150</v>
      </c>
      <c r="K166" s="37">
        <f t="shared" si="44"/>
        <v>0</v>
      </c>
      <c r="L166" s="90" t="s">
        <v>17</v>
      </c>
    </row>
    <row r="167" spans="1:12" ht="24" customHeight="1" x14ac:dyDescent="0.5">
      <c r="A167" s="92">
        <v>151</v>
      </c>
      <c r="B167" s="91" t="s">
        <v>546</v>
      </c>
      <c r="C167" s="59" t="s">
        <v>607</v>
      </c>
      <c r="D167" s="36">
        <v>0</v>
      </c>
      <c r="E167" s="36">
        <v>100</v>
      </c>
      <c r="F167" s="36">
        <f t="shared" si="45"/>
        <v>100</v>
      </c>
      <c r="G167" s="37">
        <f t="shared" si="46"/>
        <v>53500</v>
      </c>
      <c r="H167" s="36">
        <f t="shared" si="47"/>
        <v>100</v>
      </c>
      <c r="I167" s="36">
        <v>0</v>
      </c>
      <c r="J167" s="37">
        <v>535</v>
      </c>
      <c r="K167" s="37">
        <f t="shared" si="44"/>
        <v>0</v>
      </c>
      <c r="L167" s="90"/>
    </row>
    <row r="168" spans="1:12" ht="24" customHeight="1" x14ac:dyDescent="0.5">
      <c r="A168" s="92">
        <v>152</v>
      </c>
      <c r="B168" s="91" t="s">
        <v>688</v>
      </c>
      <c r="C168" s="59" t="s">
        <v>24</v>
      </c>
      <c r="D168" s="36">
        <v>0</v>
      </c>
      <c r="E168" s="36">
        <v>35</v>
      </c>
      <c r="F168" s="36">
        <f t="shared" si="45"/>
        <v>35</v>
      </c>
      <c r="G168" s="37">
        <f t="shared" si="46"/>
        <v>129500</v>
      </c>
      <c r="H168" s="36">
        <f t="shared" si="47"/>
        <v>35</v>
      </c>
      <c r="I168" s="36">
        <v>0</v>
      </c>
      <c r="J168" s="37">
        <v>3700</v>
      </c>
      <c r="K168" s="37">
        <f t="shared" si="44"/>
        <v>0</v>
      </c>
      <c r="L168" s="62" t="s">
        <v>627</v>
      </c>
    </row>
    <row r="169" spans="1:12" ht="24" customHeight="1" x14ac:dyDescent="0.5">
      <c r="A169" s="92">
        <v>153</v>
      </c>
      <c r="B169" s="91" t="s">
        <v>287</v>
      </c>
      <c r="C169" s="59" t="s">
        <v>607</v>
      </c>
      <c r="D169" s="36">
        <v>0</v>
      </c>
      <c r="E169" s="36">
        <v>300</v>
      </c>
      <c r="F169" s="36">
        <f t="shared" si="45"/>
        <v>300</v>
      </c>
      <c r="G169" s="37">
        <f t="shared" si="46"/>
        <v>266400</v>
      </c>
      <c r="H169" s="36">
        <f t="shared" si="47"/>
        <v>222</v>
      </c>
      <c r="I169" s="36">
        <v>78</v>
      </c>
      <c r="J169" s="37">
        <v>1200</v>
      </c>
      <c r="K169" s="37">
        <f t="shared" si="44"/>
        <v>93600</v>
      </c>
      <c r="L169" s="83" t="s">
        <v>462</v>
      </c>
    </row>
    <row r="170" spans="1:12" ht="24" customHeight="1" x14ac:dyDescent="0.5">
      <c r="A170" s="92">
        <v>154</v>
      </c>
      <c r="B170" s="91" t="s">
        <v>493</v>
      </c>
      <c r="C170" s="59" t="s">
        <v>50</v>
      </c>
      <c r="D170" s="36">
        <v>0</v>
      </c>
      <c r="E170" s="36">
        <v>60</v>
      </c>
      <c r="F170" s="36">
        <f t="shared" si="45"/>
        <v>60</v>
      </c>
      <c r="G170" s="37">
        <f t="shared" si="46"/>
        <v>38520</v>
      </c>
      <c r="H170" s="36">
        <f t="shared" si="47"/>
        <v>60</v>
      </c>
      <c r="I170" s="36">
        <v>0</v>
      </c>
      <c r="J170" s="37">
        <v>642</v>
      </c>
      <c r="K170" s="37">
        <f t="shared" si="44"/>
        <v>0</v>
      </c>
      <c r="L170" s="83" t="s">
        <v>18</v>
      </c>
    </row>
    <row r="171" spans="1:12" ht="24" customHeight="1" x14ac:dyDescent="0.5">
      <c r="A171" s="92">
        <v>155</v>
      </c>
      <c r="B171" s="91" t="s">
        <v>288</v>
      </c>
      <c r="C171" s="59" t="s">
        <v>618</v>
      </c>
      <c r="D171" s="36">
        <v>1</v>
      </c>
      <c r="E171" s="36">
        <v>0</v>
      </c>
      <c r="F171" s="36">
        <f t="shared" si="45"/>
        <v>1</v>
      </c>
      <c r="G171" s="37">
        <f t="shared" si="46"/>
        <v>2000</v>
      </c>
      <c r="H171" s="36">
        <f t="shared" si="47"/>
        <v>1</v>
      </c>
      <c r="I171" s="36">
        <v>0</v>
      </c>
      <c r="J171" s="37">
        <v>2000</v>
      </c>
      <c r="K171" s="37">
        <f t="shared" si="44"/>
        <v>0</v>
      </c>
      <c r="L171" s="78"/>
    </row>
    <row r="172" spans="1:12" ht="24" customHeight="1" x14ac:dyDescent="0.5">
      <c r="A172" s="92">
        <v>156</v>
      </c>
      <c r="B172" s="91" t="s">
        <v>289</v>
      </c>
      <c r="C172" s="59" t="s">
        <v>605</v>
      </c>
      <c r="D172" s="36">
        <v>2</v>
      </c>
      <c r="E172" s="36">
        <v>0</v>
      </c>
      <c r="F172" s="36">
        <f t="shared" si="45"/>
        <v>2</v>
      </c>
      <c r="G172" s="37">
        <f t="shared" si="46"/>
        <v>0</v>
      </c>
      <c r="H172" s="36">
        <f t="shared" si="47"/>
        <v>0</v>
      </c>
      <c r="I172" s="36">
        <v>2</v>
      </c>
      <c r="J172" s="37">
        <v>45</v>
      </c>
      <c r="K172" s="37">
        <f t="shared" si="44"/>
        <v>90</v>
      </c>
      <c r="L172" s="62" t="s">
        <v>627</v>
      </c>
    </row>
    <row r="173" spans="1:12" ht="24" customHeight="1" x14ac:dyDescent="0.5">
      <c r="A173" s="92">
        <v>157</v>
      </c>
      <c r="B173" s="91" t="s">
        <v>290</v>
      </c>
      <c r="C173" s="59" t="s">
        <v>605</v>
      </c>
      <c r="D173" s="36">
        <v>5</v>
      </c>
      <c r="E173" s="36">
        <v>0</v>
      </c>
      <c r="F173" s="36">
        <f t="shared" si="45"/>
        <v>5</v>
      </c>
      <c r="G173" s="37">
        <f t="shared" si="46"/>
        <v>0</v>
      </c>
      <c r="H173" s="36">
        <f t="shared" si="47"/>
        <v>0</v>
      </c>
      <c r="I173" s="36">
        <v>5</v>
      </c>
      <c r="J173" s="37">
        <v>45</v>
      </c>
      <c r="K173" s="37">
        <f t="shared" si="44"/>
        <v>225</v>
      </c>
      <c r="L173" s="78" t="s">
        <v>434</v>
      </c>
    </row>
    <row r="174" spans="1:12" ht="24" customHeight="1" x14ac:dyDescent="0.5">
      <c r="A174" s="92">
        <v>158</v>
      </c>
      <c r="B174" s="91" t="s">
        <v>291</v>
      </c>
      <c r="C174" s="59" t="s">
        <v>605</v>
      </c>
      <c r="D174" s="36">
        <v>5</v>
      </c>
      <c r="E174" s="36">
        <v>0</v>
      </c>
      <c r="F174" s="36">
        <f t="shared" si="45"/>
        <v>5</v>
      </c>
      <c r="G174" s="37">
        <f t="shared" si="46"/>
        <v>0</v>
      </c>
      <c r="H174" s="36">
        <f t="shared" si="47"/>
        <v>0</v>
      </c>
      <c r="I174" s="36">
        <v>5</v>
      </c>
      <c r="J174" s="37">
        <v>45</v>
      </c>
      <c r="K174" s="37">
        <f t="shared" si="44"/>
        <v>225</v>
      </c>
      <c r="L174" s="83" t="s">
        <v>433</v>
      </c>
    </row>
    <row r="175" spans="1:12" ht="24" customHeight="1" x14ac:dyDescent="0.5">
      <c r="A175" s="92">
        <v>159</v>
      </c>
      <c r="B175" s="91" t="s">
        <v>443</v>
      </c>
      <c r="C175" s="59" t="s">
        <v>606</v>
      </c>
      <c r="D175" s="36">
        <v>10</v>
      </c>
      <c r="E175" s="36">
        <v>80</v>
      </c>
      <c r="F175" s="36">
        <f t="shared" si="45"/>
        <v>90</v>
      </c>
      <c r="G175" s="37">
        <f t="shared" si="46"/>
        <v>68480</v>
      </c>
      <c r="H175" s="36">
        <f t="shared" si="47"/>
        <v>80</v>
      </c>
      <c r="I175" s="36">
        <v>10</v>
      </c>
      <c r="J175" s="37">
        <v>856</v>
      </c>
      <c r="K175" s="37">
        <f>I175*J175</f>
        <v>8560</v>
      </c>
      <c r="L175" s="78"/>
    </row>
    <row r="176" spans="1:12" ht="24" customHeight="1" x14ac:dyDescent="0.5">
      <c r="A176" s="92">
        <v>160</v>
      </c>
      <c r="B176" s="91" t="s">
        <v>292</v>
      </c>
      <c r="C176" s="59" t="s">
        <v>604</v>
      </c>
      <c r="D176" s="36">
        <v>261</v>
      </c>
      <c r="E176" s="36">
        <v>4500</v>
      </c>
      <c r="F176" s="36">
        <f t="shared" si="45"/>
        <v>4761</v>
      </c>
      <c r="G176" s="37">
        <f t="shared" si="46"/>
        <v>248261.40000000002</v>
      </c>
      <c r="H176" s="36">
        <f t="shared" si="47"/>
        <v>3867</v>
      </c>
      <c r="I176" s="36">
        <v>894</v>
      </c>
      <c r="J176" s="37">
        <v>64.2</v>
      </c>
      <c r="K176" s="37">
        <f>I176*J176</f>
        <v>57394.8</v>
      </c>
      <c r="L176" s="62" t="s">
        <v>627</v>
      </c>
    </row>
    <row r="177" spans="1:12" ht="24" customHeight="1" x14ac:dyDescent="0.5">
      <c r="A177" s="92"/>
      <c r="B177" s="53" t="s">
        <v>432</v>
      </c>
      <c r="C177" s="65"/>
      <c r="D177" s="38"/>
      <c r="E177" s="38"/>
      <c r="F177" s="38"/>
      <c r="G177" s="39">
        <f>SUM(G157:G176)</f>
        <v>3569721.4</v>
      </c>
      <c r="H177" s="38"/>
      <c r="I177" s="38"/>
      <c r="J177" s="39"/>
      <c r="K177" s="39">
        <f>SUM(K157:K176)</f>
        <v>756934.8</v>
      </c>
      <c r="L177" s="78" t="s">
        <v>503</v>
      </c>
    </row>
    <row r="178" spans="1:12" ht="24" customHeight="1" x14ac:dyDescent="0.5">
      <c r="B178" s="93"/>
      <c r="C178" s="79"/>
      <c r="D178" s="40"/>
      <c r="E178" s="40"/>
      <c r="F178" s="40"/>
      <c r="G178" s="41"/>
      <c r="H178" s="40"/>
      <c r="I178" s="40"/>
      <c r="J178" s="41"/>
      <c r="K178" s="41"/>
      <c r="L178" s="83" t="s">
        <v>435</v>
      </c>
    </row>
    <row r="179" spans="1:12" ht="24" customHeight="1" x14ac:dyDescent="0.5">
      <c r="A179" s="92">
        <v>161</v>
      </c>
      <c r="B179" s="91" t="s">
        <v>293</v>
      </c>
      <c r="C179" s="59" t="s">
        <v>604</v>
      </c>
      <c r="D179" s="36">
        <v>0</v>
      </c>
      <c r="E179" s="36">
        <v>140</v>
      </c>
      <c r="F179" s="36">
        <f t="shared" ref="F179" si="48">D179+E179</f>
        <v>140</v>
      </c>
      <c r="G179" s="37">
        <f t="shared" ref="G179" si="49">H179*J179</f>
        <v>68880.22</v>
      </c>
      <c r="H179" s="36">
        <f t="shared" ref="H179" si="50">F179-I179</f>
        <v>103</v>
      </c>
      <c r="I179" s="36">
        <v>37</v>
      </c>
      <c r="J179" s="37">
        <v>668.74</v>
      </c>
      <c r="K179" s="37">
        <f>I179*J179</f>
        <v>24743.38</v>
      </c>
      <c r="L179" s="83" t="s">
        <v>15</v>
      </c>
    </row>
    <row r="180" spans="1:12" ht="24" customHeight="1" x14ac:dyDescent="0.5">
      <c r="A180" s="92">
        <v>162</v>
      </c>
      <c r="B180" s="91" t="s">
        <v>294</v>
      </c>
      <c r="C180" s="59" t="s">
        <v>604</v>
      </c>
      <c r="D180" s="36">
        <v>97</v>
      </c>
      <c r="E180" s="36">
        <v>2600</v>
      </c>
      <c r="F180" s="36">
        <f>D180+E180</f>
        <v>2697</v>
      </c>
      <c r="G180" s="37">
        <f>H180*J180</f>
        <v>1514702.7000000002</v>
      </c>
      <c r="H180" s="36">
        <f>F180-I180</f>
        <v>2646</v>
      </c>
      <c r="I180" s="36">
        <v>51</v>
      </c>
      <c r="J180" s="37">
        <v>572.45000000000005</v>
      </c>
      <c r="K180" s="37">
        <f t="shared" ref="K180:K198" si="51">I180*J180</f>
        <v>29194.95</v>
      </c>
      <c r="L180" s="78" t="s">
        <v>716</v>
      </c>
    </row>
    <row r="181" spans="1:12" ht="24" customHeight="1" x14ac:dyDescent="0.5">
      <c r="A181" s="92">
        <v>163</v>
      </c>
      <c r="B181" s="91" t="s">
        <v>689</v>
      </c>
      <c r="C181" s="59" t="s">
        <v>606</v>
      </c>
      <c r="D181" s="36">
        <v>0</v>
      </c>
      <c r="E181" s="36">
        <v>40</v>
      </c>
      <c r="F181" s="36">
        <f t="shared" ref="F181:F198" si="52">D181+E181</f>
        <v>40</v>
      </c>
      <c r="G181" s="37">
        <f t="shared" ref="G181:G198" si="53">H181*J181</f>
        <v>23968</v>
      </c>
      <c r="H181" s="36">
        <f t="shared" ref="H181:H198" si="54">F181-I181</f>
        <v>40</v>
      </c>
      <c r="I181" s="36">
        <v>0</v>
      </c>
      <c r="J181" s="37">
        <v>599.20000000000005</v>
      </c>
      <c r="K181" s="37">
        <f t="shared" si="51"/>
        <v>0</v>
      </c>
      <c r="L181" s="83"/>
    </row>
    <row r="182" spans="1:12" ht="24" customHeight="1" x14ac:dyDescent="0.5">
      <c r="A182" s="92">
        <v>164</v>
      </c>
      <c r="B182" s="91" t="s">
        <v>547</v>
      </c>
      <c r="C182" s="59" t="s">
        <v>50</v>
      </c>
      <c r="D182" s="36">
        <v>0</v>
      </c>
      <c r="E182" s="36">
        <v>50</v>
      </c>
      <c r="F182" s="36">
        <f t="shared" si="52"/>
        <v>50</v>
      </c>
      <c r="G182" s="37">
        <f t="shared" si="53"/>
        <v>72225</v>
      </c>
      <c r="H182" s="36">
        <f t="shared" si="54"/>
        <v>50</v>
      </c>
      <c r="I182" s="36">
        <v>0</v>
      </c>
      <c r="J182" s="37">
        <v>1444.5</v>
      </c>
      <c r="K182" s="37">
        <f t="shared" si="51"/>
        <v>0</v>
      </c>
      <c r="L182" s="62" t="s">
        <v>627</v>
      </c>
    </row>
    <row r="183" spans="1:12" ht="24" customHeight="1" x14ac:dyDescent="0.5">
      <c r="A183" s="92">
        <v>165</v>
      </c>
      <c r="B183" s="91" t="s">
        <v>548</v>
      </c>
      <c r="C183" s="59" t="s">
        <v>50</v>
      </c>
      <c r="D183" s="36">
        <v>0</v>
      </c>
      <c r="E183" s="36">
        <v>1</v>
      </c>
      <c r="F183" s="36">
        <f t="shared" si="52"/>
        <v>1</v>
      </c>
      <c r="G183" s="37">
        <f t="shared" si="53"/>
        <v>20400</v>
      </c>
      <c r="H183" s="36">
        <f t="shared" si="54"/>
        <v>1</v>
      </c>
      <c r="I183" s="36">
        <v>0</v>
      </c>
      <c r="J183" s="37">
        <v>20400</v>
      </c>
      <c r="K183" s="37">
        <f t="shared" si="51"/>
        <v>0</v>
      </c>
      <c r="L183" s="90" t="s">
        <v>731</v>
      </c>
    </row>
    <row r="184" spans="1:12" ht="24" customHeight="1" x14ac:dyDescent="0.5">
      <c r="A184" s="92">
        <v>166</v>
      </c>
      <c r="B184" s="91" t="s">
        <v>295</v>
      </c>
      <c r="C184" s="59" t="s">
        <v>611</v>
      </c>
      <c r="D184" s="36">
        <v>0</v>
      </c>
      <c r="E184" s="36">
        <v>500</v>
      </c>
      <c r="F184" s="36">
        <f t="shared" si="52"/>
        <v>500</v>
      </c>
      <c r="G184" s="37">
        <f t="shared" si="53"/>
        <v>16050</v>
      </c>
      <c r="H184" s="36">
        <f t="shared" si="54"/>
        <v>500</v>
      </c>
      <c r="I184" s="36">
        <v>0</v>
      </c>
      <c r="J184" s="37">
        <v>32.1</v>
      </c>
      <c r="K184" s="37">
        <f t="shared" si="51"/>
        <v>0</v>
      </c>
      <c r="L184" s="90" t="s">
        <v>16</v>
      </c>
    </row>
    <row r="185" spans="1:12" ht="24" customHeight="1" x14ac:dyDescent="0.5">
      <c r="A185" s="92">
        <v>167</v>
      </c>
      <c r="B185" s="91" t="s">
        <v>690</v>
      </c>
      <c r="C185" s="59" t="s">
        <v>611</v>
      </c>
      <c r="D185" s="36">
        <v>0</v>
      </c>
      <c r="E185" s="36">
        <v>10</v>
      </c>
      <c r="F185" s="36">
        <f t="shared" si="52"/>
        <v>10</v>
      </c>
      <c r="G185" s="37">
        <f t="shared" si="53"/>
        <v>180000</v>
      </c>
      <c r="H185" s="36">
        <f t="shared" si="54"/>
        <v>10</v>
      </c>
      <c r="I185" s="36">
        <v>0</v>
      </c>
      <c r="J185" s="37">
        <v>18000</v>
      </c>
      <c r="K185" s="37">
        <f t="shared" si="51"/>
        <v>0</v>
      </c>
      <c r="L185" s="90"/>
    </row>
    <row r="186" spans="1:12" ht="24" customHeight="1" x14ac:dyDescent="0.5">
      <c r="A186" s="92">
        <v>168</v>
      </c>
      <c r="B186" s="91" t="s">
        <v>415</v>
      </c>
      <c r="C186" s="59" t="s">
        <v>606</v>
      </c>
      <c r="D186" s="36">
        <v>0</v>
      </c>
      <c r="E186" s="36">
        <v>6</v>
      </c>
      <c r="F186" s="36">
        <f t="shared" si="52"/>
        <v>6</v>
      </c>
      <c r="G186" s="37">
        <f t="shared" si="53"/>
        <v>67500</v>
      </c>
      <c r="H186" s="36">
        <f t="shared" si="54"/>
        <v>6</v>
      </c>
      <c r="I186" s="36">
        <v>0</v>
      </c>
      <c r="J186" s="37">
        <v>11250</v>
      </c>
      <c r="K186" s="37">
        <f t="shared" si="51"/>
        <v>0</v>
      </c>
      <c r="L186" s="62" t="s">
        <v>627</v>
      </c>
    </row>
    <row r="187" spans="1:12" ht="24" customHeight="1" x14ac:dyDescent="0.5">
      <c r="A187" s="92">
        <v>169</v>
      </c>
      <c r="B187" s="91" t="s">
        <v>549</v>
      </c>
      <c r="C187" s="59" t="s">
        <v>50</v>
      </c>
      <c r="D187" s="36">
        <v>0</v>
      </c>
      <c r="E187" s="36">
        <v>50</v>
      </c>
      <c r="F187" s="36">
        <f t="shared" si="52"/>
        <v>50</v>
      </c>
      <c r="G187" s="37">
        <f t="shared" si="53"/>
        <v>77575</v>
      </c>
      <c r="H187" s="36">
        <f t="shared" si="54"/>
        <v>50</v>
      </c>
      <c r="I187" s="36">
        <v>0</v>
      </c>
      <c r="J187" s="37">
        <v>1551.5</v>
      </c>
      <c r="K187" s="37">
        <f t="shared" si="51"/>
        <v>0</v>
      </c>
      <c r="L187" s="83" t="s">
        <v>463</v>
      </c>
    </row>
    <row r="188" spans="1:12" ht="24" customHeight="1" x14ac:dyDescent="0.5">
      <c r="A188" s="92">
        <v>170</v>
      </c>
      <c r="B188" s="91" t="s">
        <v>494</v>
      </c>
      <c r="C188" s="59" t="s">
        <v>50</v>
      </c>
      <c r="D188" s="36">
        <v>0</v>
      </c>
      <c r="E188" s="36">
        <v>100</v>
      </c>
      <c r="F188" s="36">
        <f t="shared" si="52"/>
        <v>100</v>
      </c>
      <c r="G188" s="37">
        <f t="shared" si="53"/>
        <v>243184</v>
      </c>
      <c r="H188" s="36">
        <f t="shared" si="54"/>
        <v>100</v>
      </c>
      <c r="I188" s="36">
        <v>0</v>
      </c>
      <c r="J188" s="37">
        <v>2431.84</v>
      </c>
      <c r="K188" s="37">
        <f t="shared" si="51"/>
        <v>0</v>
      </c>
      <c r="L188" s="90" t="s">
        <v>17</v>
      </c>
    </row>
    <row r="189" spans="1:12" ht="24" customHeight="1" x14ac:dyDescent="0.5">
      <c r="A189" s="92">
        <v>171</v>
      </c>
      <c r="B189" s="91" t="s">
        <v>691</v>
      </c>
      <c r="C189" s="59" t="s">
        <v>607</v>
      </c>
      <c r="D189" s="36">
        <v>0</v>
      </c>
      <c r="E189" s="36">
        <v>350</v>
      </c>
      <c r="F189" s="36">
        <f t="shared" si="52"/>
        <v>350</v>
      </c>
      <c r="G189" s="37">
        <f t="shared" si="53"/>
        <v>149800</v>
      </c>
      <c r="H189" s="36">
        <f t="shared" si="54"/>
        <v>350</v>
      </c>
      <c r="I189" s="36">
        <v>0</v>
      </c>
      <c r="J189" s="37">
        <v>428</v>
      </c>
      <c r="K189" s="37">
        <f t="shared" si="51"/>
        <v>0</v>
      </c>
      <c r="L189" s="90"/>
    </row>
    <row r="190" spans="1:12" ht="24" customHeight="1" x14ac:dyDescent="0.5">
      <c r="A190" s="92">
        <v>172</v>
      </c>
      <c r="B190" s="91" t="s">
        <v>296</v>
      </c>
      <c r="C190" s="59" t="s">
        <v>50</v>
      </c>
      <c r="D190" s="36">
        <v>20</v>
      </c>
      <c r="E190" s="36">
        <v>0</v>
      </c>
      <c r="F190" s="36">
        <f t="shared" si="52"/>
        <v>20</v>
      </c>
      <c r="G190" s="37">
        <f t="shared" si="53"/>
        <v>0</v>
      </c>
      <c r="H190" s="36">
        <f t="shared" si="54"/>
        <v>0</v>
      </c>
      <c r="I190" s="36">
        <v>20</v>
      </c>
      <c r="J190" s="37">
        <v>1250</v>
      </c>
      <c r="K190" s="37">
        <f t="shared" si="51"/>
        <v>25000</v>
      </c>
      <c r="L190" s="62" t="s">
        <v>627</v>
      </c>
    </row>
    <row r="191" spans="1:12" ht="24" customHeight="1" x14ac:dyDescent="0.5">
      <c r="A191" s="92">
        <v>173</v>
      </c>
      <c r="B191" s="91" t="s">
        <v>692</v>
      </c>
      <c r="C191" s="59" t="s">
        <v>50</v>
      </c>
      <c r="D191" s="36">
        <v>0</v>
      </c>
      <c r="E191" s="36">
        <v>50</v>
      </c>
      <c r="F191" s="36">
        <f t="shared" si="52"/>
        <v>50</v>
      </c>
      <c r="G191" s="37">
        <f t="shared" si="53"/>
        <v>7500</v>
      </c>
      <c r="H191" s="36">
        <f t="shared" si="54"/>
        <v>50</v>
      </c>
      <c r="I191" s="36">
        <v>0</v>
      </c>
      <c r="J191" s="37">
        <v>150</v>
      </c>
      <c r="K191" s="37">
        <f t="shared" si="51"/>
        <v>0</v>
      </c>
      <c r="L191" s="83" t="s">
        <v>462</v>
      </c>
    </row>
    <row r="192" spans="1:12" ht="24" customHeight="1" x14ac:dyDescent="0.5">
      <c r="A192" s="92">
        <v>174</v>
      </c>
      <c r="B192" s="91" t="s">
        <v>550</v>
      </c>
      <c r="C192" s="59" t="s">
        <v>38</v>
      </c>
      <c r="D192" s="36">
        <v>0</v>
      </c>
      <c r="E192" s="36">
        <v>20</v>
      </c>
      <c r="F192" s="36">
        <f t="shared" si="52"/>
        <v>20</v>
      </c>
      <c r="G192" s="37">
        <f t="shared" si="53"/>
        <v>7500</v>
      </c>
      <c r="H192" s="36">
        <f t="shared" si="54"/>
        <v>10</v>
      </c>
      <c r="I192" s="36">
        <v>10</v>
      </c>
      <c r="J192" s="37">
        <v>750</v>
      </c>
      <c r="K192" s="37">
        <f t="shared" si="51"/>
        <v>7500</v>
      </c>
      <c r="L192" s="83" t="s">
        <v>18</v>
      </c>
    </row>
    <row r="193" spans="1:12" ht="24" customHeight="1" x14ac:dyDescent="0.5">
      <c r="A193" s="92">
        <v>175</v>
      </c>
      <c r="B193" s="91" t="s">
        <v>693</v>
      </c>
      <c r="C193" s="59" t="s">
        <v>611</v>
      </c>
      <c r="D193" s="36">
        <v>0</v>
      </c>
      <c r="E193" s="36">
        <v>20</v>
      </c>
      <c r="F193" s="36">
        <f t="shared" si="52"/>
        <v>20</v>
      </c>
      <c r="G193" s="37">
        <f t="shared" si="53"/>
        <v>24000</v>
      </c>
      <c r="H193" s="36">
        <f t="shared" si="54"/>
        <v>20</v>
      </c>
      <c r="I193" s="36">
        <v>0</v>
      </c>
      <c r="J193" s="37">
        <v>1200</v>
      </c>
      <c r="K193" s="37">
        <f t="shared" si="51"/>
        <v>0</v>
      </c>
      <c r="L193" s="78"/>
    </row>
    <row r="194" spans="1:12" ht="24" customHeight="1" x14ac:dyDescent="0.5">
      <c r="A194" s="92">
        <v>176</v>
      </c>
      <c r="B194" s="91" t="s">
        <v>551</v>
      </c>
      <c r="C194" s="59" t="s">
        <v>38</v>
      </c>
      <c r="D194" s="36">
        <v>0</v>
      </c>
      <c r="E194" s="36">
        <v>30</v>
      </c>
      <c r="F194" s="36">
        <f t="shared" si="52"/>
        <v>30</v>
      </c>
      <c r="G194" s="37">
        <f t="shared" si="53"/>
        <v>144450</v>
      </c>
      <c r="H194" s="36">
        <f t="shared" si="54"/>
        <v>30</v>
      </c>
      <c r="I194" s="36">
        <v>0</v>
      </c>
      <c r="J194" s="37">
        <v>4815</v>
      </c>
      <c r="K194" s="37">
        <f t="shared" si="51"/>
        <v>0</v>
      </c>
      <c r="L194" s="62" t="s">
        <v>627</v>
      </c>
    </row>
    <row r="195" spans="1:12" ht="24" customHeight="1" x14ac:dyDescent="0.5">
      <c r="A195" s="92">
        <v>177</v>
      </c>
      <c r="B195" s="91" t="s">
        <v>444</v>
      </c>
      <c r="C195" s="59" t="s">
        <v>38</v>
      </c>
      <c r="D195" s="36">
        <v>0</v>
      </c>
      <c r="E195" s="36">
        <v>65</v>
      </c>
      <c r="F195" s="36">
        <f t="shared" si="52"/>
        <v>65</v>
      </c>
      <c r="G195" s="37">
        <f t="shared" si="53"/>
        <v>286000</v>
      </c>
      <c r="H195" s="36">
        <f t="shared" si="54"/>
        <v>65</v>
      </c>
      <c r="I195" s="36">
        <v>0</v>
      </c>
      <c r="J195" s="37">
        <v>4400</v>
      </c>
      <c r="K195" s="37">
        <f t="shared" si="51"/>
        <v>0</v>
      </c>
      <c r="L195" s="78" t="s">
        <v>434</v>
      </c>
    </row>
    <row r="196" spans="1:12" ht="24" customHeight="1" x14ac:dyDescent="0.5">
      <c r="A196" s="92">
        <v>178</v>
      </c>
      <c r="B196" s="91" t="s">
        <v>299</v>
      </c>
      <c r="C196" s="59" t="s">
        <v>38</v>
      </c>
      <c r="D196" s="36">
        <v>13</v>
      </c>
      <c r="E196" s="36">
        <v>0</v>
      </c>
      <c r="F196" s="36">
        <f t="shared" si="52"/>
        <v>13</v>
      </c>
      <c r="G196" s="37">
        <f t="shared" si="53"/>
        <v>6560.98</v>
      </c>
      <c r="H196" s="36">
        <f t="shared" si="54"/>
        <v>2</v>
      </c>
      <c r="I196" s="36">
        <v>11</v>
      </c>
      <c r="J196" s="37">
        <v>3280.49</v>
      </c>
      <c r="K196" s="37">
        <f t="shared" si="51"/>
        <v>36085.39</v>
      </c>
      <c r="L196" s="83" t="s">
        <v>433</v>
      </c>
    </row>
    <row r="197" spans="1:12" ht="24" customHeight="1" x14ac:dyDescent="0.5">
      <c r="A197" s="92">
        <v>179</v>
      </c>
      <c r="B197" s="91" t="s">
        <v>298</v>
      </c>
      <c r="C197" s="59" t="s">
        <v>38</v>
      </c>
      <c r="D197" s="36">
        <v>38</v>
      </c>
      <c r="E197" s="36">
        <v>0</v>
      </c>
      <c r="F197" s="36">
        <f t="shared" si="52"/>
        <v>38</v>
      </c>
      <c r="G197" s="37">
        <f t="shared" si="53"/>
        <v>45583.02</v>
      </c>
      <c r="H197" s="36">
        <f t="shared" si="54"/>
        <v>14</v>
      </c>
      <c r="I197" s="36">
        <v>24</v>
      </c>
      <c r="J197" s="37">
        <v>3255.93</v>
      </c>
      <c r="K197" s="37">
        <f t="shared" si="51"/>
        <v>78142.319999999992</v>
      </c>
      <c r="L197" s="78"/>
    </row>
    <row r="198" spans="1:12" ht="24" customHeight="1" x14ac:dyDescent="0.5">
      <c r="A198" s="92">
        <v>180</v>
      </c>
      <c r="B198" s="91" t="s">
        <v>297</v>
      </c>
      <c r="C198" s="59" t="s">
        <v>38</v>
      </c>
      <c r="D198" s="36">
        <v>6</v>
      </c>
      <c r="E198" s="36">
        <v>44</v>
      </c>
      <c r="F198" s="36">
        <f t="shared" si="52"/>
        <v>50</v>
      </c>
      <c r="G198" s="37">
        <f t="shared" si="53"/>
        <v>165636</v>
      </c>
      <c r="H198" s="36">
        <f t="shared" si="54"/>
        <v>43</v>
      </c>
      <c r="I198" s="36">
        <v>7</v>
      </c>
      <c r="J198" s="37">
        <v>3852</v>
      </c>
      <c r="K198" s="37">
        <f t="shared" si="51"/>
        <v>26964</v>
      </c>
      <c r="L198" s="62" t="s">
        <v>627</v>
      </c>
    </row>
    <row r="199" spans="1:12" ht="24" customHeight="1" x14ac:dyDescent="0.5">
      <c r="A199" s="92"/>
      <c r="B199" s="53" t="s">
        <v>432</v>
      </c>
      <c r="C199" s="65"/>
      <c r="D199" s="38"/>
      <c r="E199" s="38"/>
      <c r="F199" s="38"/>
      <c r="G199" s="39">
        <f>SUM(G179:G198)</f>
        <v>3121514.92</v>
      </c>
      <c r="H199" s="38"/>
      <c r="I199" s="38"/>
      <c r="J199" s="39"/>
      <c r="K199" s="39">
        <f>SUM(K179:K198)</f>
        <v>227630.03999999998</v>
      </c>
      <c r="L199" s="78" t="s">
        <v>503</v>
      </c>
    </row>
    <row r="200" spans="1:12" ht="24" customHeight="1" x14ac:dyDescent="0.5">
      <c r="B200" s="93"/>
      <c r="C200" s="79"/>
      <c r="D200" s="40"/>
      <c r="E200" s="40"/>
      <c r="F200" s="40"/>
      <c r="G200" s="41"/>
      <c r="H200" s="40"/>
      <c r="I200" s="40"/>
      <c r="J200" s="41"/>
      <c r="K200" s="41"/>
      <c r="L200" s="83" t="s">
        <v>435</v>
      </c>
    </row>
    <row r="201" spans="1:12" ht="24" customHeight="1" x14ac:dyDescent="0.5">
      <c r="A201" s="92">
        <v>181</v>
      </c>
      <c r="B201" s="91" t="s">
        <v>694</v>
      </c>
      <c r="C201" s="59" t="s">
        <v>606</v>
      </c>
      <c r="D201" s="36">
        <v>0</v>
      </c>
      <c r="E201" s="36">
        <v>10</v>
      </c>
      <c r="F201" s="36">
        <f t="shared" ref="F201" si="55">D201+E201</f>
        <v>10</v>
      </c>
      <c r="G201" s="37">
        <f t="shared" ref="G201" si="56">H201*J201</f>
        <v>10785.599999999999</v>
      </c>
      <c r="H201" s="36">
        <f t="shared" ref="H201" si="57">F201-I201</f>
        <v>10</v>
      </c>
      <c r="I201" s="36">
        <v>0</v>
      </c>
      <c r="J201" s="37">
        <v>1078.56</v>
      </c>
      <c r="K201" s="37">
        <f t="shared" ref="K201" si="58">I201*J201</f>
        <v>0</v>
      </c>
      <c r="L201" s="83" t="s">
        <v>15</v>
      </c>
    </row>
    <row r="202" spans="1:12" ht="24" customHeight="1" x14ac:dyDescent="0.5">
      <c r="A202" s="92">
        <v>182</v>
      </c>
      <c r="B202" s="91" t="s">
        <v>552</v>
      </c>
      <c r="C202" s="59" t="s">
        <v>606</v>
      </c>
      <c r="D202" s="36">
        <v>0</v>
      </c>
      <c r="E202" s="36">
        <v>30</v>
      </c>
      <c r="F202" s="36">
        <f t="shared" ref="F202" si="59">D202+E202</f>
        <v>30</v>
      </c>
      <c r="G202" s="37">
        <f t="shared" ref="G202" si="60">H202*J202</f>
        <v>32356.799999999999</v>
      </c>
      <c r="H202" s="36">
        <f t="shared" ref="H202:H220" si="61">F202-I202</f>
        <v>30</v>
      </c>
      <c r="I202" s="36">
        <v>0</v>
      </c>
      <c r="J202" s="37">
        <v>1078.56</v>
      </c>
      <c r="K202" s="37">
        <f t="shared" ref="K202" si="62">I202*J202</f>
        <v>0</v>
      </c>
      <c r="L202" s="78" t="s">
        <v>716</v>
      </c>
    </row>
    <row r="203" spans="1:12" ht="24" customHeight="1" x14ac:dyDescent="0.5">
      <c r="A203" s="92">
        <v>183</v>
      </c>
      <c r="B203" s="91" t="s">
        <v>553</v>
      </c>
      <c r="C203" s="59" t="s">
        <v>606</v>
      </c>
      <c r="D203" s="36">
        <v>0</v>
      </c>
      <c r="E203" s="36">
        <v>40</v>
      </c>
      <c r="F203" s="36">
        <f>D203+E203</f>
        <v>40</v>
      </c>
      <c r="G203" s="37">
        <f>H203*J203</f>
        <v>43142.399999999994</v>
      </c>
      <c r="H203" s="36">
        <f t="shared" si="61"/>
        <v>40</v>
      </c>
      <c r="I203" s="36">
        <v>0</v>
      </c>
      <c r="J203" s="37">
        <v>1078.56</v>
      </c>
      <c r="K203" s="37">
        <f>I203*J203</f>
        <v>0</v>
      </c>
      <c r="L203" s="83"/>
    </row>
    <row r="204" spans="1:12" ht="24" customHeight="1" x14ac:dyDescent="0.5">
      <c r="A204" s="92">
        <v>184</v>
      </c>
      <c r="B204" s="91" t="s">
        <v>300</v>
      </c>
      <c r="C204" s="59" t="s">
        <v>606</v>
      </c>
      <c r="D204" s="36">
        <v>0</v>
      </c>
      <c r="E204" s="36">
        <v>200</v>
      </c>
      <c r="F204" s="36">
        <f t="shared" ref="F204:F220" si="63">D204+E204</f>
        <v>200</v>
      </c>
      <c r="G204" s="37">
        <f t="shared" ref="G204:G220" si="64">H204*J204</f>
        <v>117700</v>
      </c>
      <c r="H204" s="36">
        <f t="shared" si="61"/>
        <v>200</v>
      </c>
      <c r="I204" s="36">
        <v>0</v>
      </c>
      <c r="J204" s="37">
        <v>588.5</v>
      </c>
      <c r="K204" s="37">
        <f t="shared" ref="K204:K220" si="65">I204*J204</f>
        <v>0</v>
      </c>
      <c r="L204" s="62" t="s">
        <v>627</v>
      </c>
    </row>
    <row r="205" spans="1:12" ht="24" customHeight="1" x14ac:dyDescent="0.5">
      <c r="A205" s="92">
        <v>185</v>
      </c>
      <c r="B205" s="91" t="s">
        <v>416</v>
      </c>
      <c r="C205" s="59" t="s">
        <v>608</v>
      </c>
      <c r="D205" s="36">
        <v>0</v>
      </c>
      <c r="E205" s="36">
        <v>100</v>
      </c>
      <c r="F205" s="36">
        <f t="shared" si="63"/>
        <v>100</v>
      </c>
      <c r="G205" s="37">
        <f t="shared" si="64"/>
        <v>26750</v>
      </c>
      <c r="H205" s="36">
        <f t="shared" si="61"/>
        <v>100</v>
      </c>
      <c r="I205" s="36">
        <v>0</v>
      </c>
      <c r="J205" s="37">
        <v>267.5</v>
      </c>
      <c r="K205" s="37">
        <f t="shared" si="65"/>
        <v>0</v>
      </c>
      <c r="L205" s="90" t="s">
        <v>731</v>
      </c>
    </row>
    <row r="206" spans="1:12" ht="24" customHeight="1" x14ac:dyDescent="0.5">
      <c r="A206" s="92">
        <v>186</v>
      </c>
      <c r="B206" s="91" t="s">
        <v>695</v>
      </c>
      <c r="C206" s="59" t="s">
        <v>607</v>
      </c>
      <c r="D206" s="36">
        <v>0</v>
      </c>
      <c r="E206" s="36">
        <v>50</v>
      </c>
      <c r="F206" s="36">
        <f t="shared" si="63"/>
        <v>50</v>
      </c>
      <c r="G206" s="37">
        <f t="shared" si="64"/>
        <v>13375</v>
      </c>
      <c r="H206" s="36">
        <f t="shared" si="61"/>
        <v>50</v>
      </c>
      <c r="I206" s="36">
        <v>0</v>
      </c>
      <c r="J206" s="37">
        <v>267.5</v>
      </c>
      <c r="K206" s="37">
        <f t="shared" si="65"/>
        <v>0</v>
      </c>
      <c r="L206" s="90" t="s">
        <v>16</v>
      </c>
    </row>
    <row r="207" spans="1:12" ht="24" customHeight="1" x14ac:dyDescent="0.5">
      <c r="A207" s="92">
        <v>187</v>
      </c>
      <c r="B207" s="91" t="s">
        <v>301</v>
      </c>
      <c r="C207" s="59" t="s">
        <v>38</v>
      </c>
      <c r="D207" s="36">
        <v>0</v>
      </c>
      <c r="E207" s="36">
        <v>30500</v>
      </c>
      <c r="F207" s="36">
        <f t="shared" si="63"/>
        <v>30500</v>
      </c>
      <c r="G207" s="37">
        <f t="shared" si="64"/>
        <v>1616500</v>
      </c>
      <c r="H207" s="36">
        <f t="shared" si="61"/>
        <v>30500</v>
      </c>
      <c r="I207" s="36">
        <v>0</v>
      </c>
      <c r="J207" s="37">
        <v>53</v>
      </c>
      <c r="K207" s="37">
        <f t="shared" si="65"/>
        <v>0</v>
      </c>
      <c r="L207" s="90"/>
    </row>
    <row r="208" spans="1:12" ht="24" customHeight="1" x14ac:dyDescent="0.5">
      <c r="A208" s="92">
        <v>188</v>
      </c>
      <c r="B208" s="91" t="s">
        <v>696</v>
      </c>
      <c r="C208" s="59" t="s">
        <v>606</v>
      </c>
      <c r="D208" s="36">
        <v>0</v>
      </c>
      <c r="E208" s="36">
        <v>10</v>
      </c>
      <c r="F208" s="36">
        <f t="shared" si="63"/>
        <v>10</v>
      </c>
      <c r="G208" s="37">
        <f t="shared" si="64"/>
        <v>4237.2000000000007</v>
      </c>
      <c r="H208" s="36">
        <f t="shared" si="61"/>
        <v>10</v>
      </c>
      <c r="I208" s="36">
        <v>0</v>
      </c>
      <c r="J208" s="37">
        <v>423.72</v>
      </c>
      <c r="K208" s="37">
        <f t="shared" si="65"/>
        <v>0</v>
      </c>
      <c r="L208" s="62" t="s">
        <v>627</v>
      </c>
    </row>
    <row r="209" spans="1:12" ht="24" customHeight="1" x14ac:dyDescent="0.5">
      <c r="A209" s="92">
        <v>189</v>
      </c>
      <c r="B209" s="91" t="s">
        <v>697</v>
      </c>
      <c r="C209" s="59" t="s">
        <v>606</v>
      </c>
      <c r="D209" s="36">
        <v>0</v>
      </c>
      <c r="E209" s="36">
        <v>100</v>
      </c>
      <c r="F209" s="36">
        <f t="shared" si="63"/>
        <v>100</v>
      </c>
      <c r="G209" s="37">
        <f t="shared" si="64"/>
        <v>42372</v>
      </c>
      <c r="H209" s="36">
        <f t="shared" si="61"/>
        <v>100</v>
      </c>
      <c r="I209" s="36">
        <v>0</v>
      </c>
      <c r="J209" s="37">
        <v>423.72</v>
      </c>
      <c r="K209" s="37">
        <f t="shared" si="65"/>
        <v>0</v>
      </c>
      <c r="L209" s="83" t="s">
        <v>463</v>
      </c>
    </row>
    <row r="210" spans="1:12" ht="24" customHeight="1" x14ac:dyDescent="0.5">
      <c r="A210" s="92">
        <v>190</v>
      </c>
      <c r="B210" s="91" t="s">
        <v>554</v>
      </c>
      <c r="C210" s="59" t="s">
        <v>606</v>
      </c>
      <c r="D210" s="36">
        <v>0</v>
      </c>
      <c r="E210" s="36">
        <v>30</v>
      </c>
      <c r="F210" s="36">
        <f t="shared" si="63"/>
        <v>30</v>
      </c>
      <c r="G210" s="37">
        <f t="shared" si="64"/>
        <v>12711.6</v>
      </c>
      <c r="H210" s="36">
        <f t="shared" si="61"/>
        <v>30</v>
      </c>
      <c r="I210" s="36">
        <v>0</v>
      </c>
      <c r="J210" s="37">
        <v>423.72</v>
      </c>
      <c r="K210" s="37">
        <f t="shared" si="65"/>
        <v>0</v>
      </c>
      <c r="L210" s="90" t="s">
        <v>17</v>
      </c>
    </row>
    <row r="211" spans="1:12" ht="24" customHeight="1" x14ac:dyDescent="0.5">
      <c r="A211" s="92">
        <v>191</v>
      </c>
      <c r="B211" s="91" t="s">
        <v>555</v>
      </c>
      <c r="C211" s="59" t="s">
        <v>606</v>
      </c>
      <c r="D211" s="36">
        <v>0</v>
      </c>
      <c r="E211" s="36">
        <v>600</v>
      </c>
      <c r="F211" s="36">
        <f t="shared" si="63"/>
        <v>600</v>
      </c>
      <c r="G211" s="37">
        <f t="shared" si="64"/>
        <v>254232.00000000003</v>
      </c>
      <c r="H211" s="36">
        <f t="shared" si="61"/>
        <v>600</v>
      </c>
      <c r="I211" s="36">
        <v>0</v>
      </c>
      <c r="J211" s="37">
        <v>423.72</v>
      </c>
      <c r="K211" s="37">
        <f t="shared" si="65"/>
        <v>0</v>
      </c>
      <c r="L211" s="90"/>
    </row>
    <row r="212" spans="1:12" ht="24" customHeight="1" x14ac:dyDescent="0.5">
      <c r="A212" s="92">
        <v>192</v>
      </c>
      <c r="B212" s="91" t="s">
        <v>445</v>
      </c>
      <c r="C212" s="59" t="s">
        <v>38</v>
      </c>
      <c r="D212" s="36">
        <v>0</v>
      </c>
      <c r="E212" s="36">
        <v>3300</v>
      </c>
      <c r="F212" s="36">
        <f t="shared" si="63"/>
        <v>3300</v>
      </c>
      <c r="G212" s="37">
        <f t="shared" si="64"/>
        <v>396000</v>
      </c>
      <c r="H212" s="36">
        <f t="shared" si="61"/>
        <v>3300</v>
      </c>
      <c r="I212" s="36">
        <v>0</v>
      </c>
      <c r="J212" s="37">
        <v>120</v>
      </c>
      <c r="K212" s="37">
        <f t="shared" si="65"/>
        <v>0</v>
      </c>
      <c r="L212" s="62" t="s">
        <v>627</v>
      </c>
    </row>
    <row r="213" spans="1:12" ht="24" customHeight="1" x14ac:dyDescent="0.5">
      <c r="A213" s="92">
        <v>193</v>
      </c>
      <c r="B213" s="91" t="s">
        <v>302</v>
      </c>
      <c r="C213" s="59" t="s">
        <v>606</v>
      </c>
      <c r="D213" s="36">
        <v>0</v>
      </c>
      <c r="E213" s="36">
        <v>220</v>
      </c>
      <c r="F213" s="36">
        <f t="shared" si="63"/>
        <v>220</v>
      </c>
      <c r="G213" s="37">
        <f t="shared" si="64"/>
        <v>341330</v>
      </c>
      <c r="H213" s="36">
        <f t="shared" si="61"/>
        <v>220</v>
      </c>
      <c r="I213" s="36">
        <v>0</v>
      </c>
      <c r="J213" s="37">
        <v>1551.5</v>
      </c>
      <c r="K213" s="37">
        <f t="shared" si="65"/>
        <v>0</v>
      </c>
      <c r="L213" s="83" t="s">
        <v>462</v>
      </c>
    </row>
    <row r="214" spans="1:12" ht="24" customHeight="1" x14ac:dyDescent="0.5">
      <c r="A214" s="92">
        <v>194</v>
      </c>
      <c r="B214" s="91" t="s">
        <v>698</v>
      </c>
      <c r="C214" s="59" t="s">
        <v>606</v>
      </c>
      <c r="D214" s="36">
        <v>0</v>
      </c>
      <c r="E214" s="36">
        <v>50</v>
      </c>
      <c r="F214" s="36">
        <f t="shared" si="63"/>
        <v>50</v>
      </c>
      <c r="G214" s="37">
        <f t="shared" si="64"/>
        <v>14367.960000000001</v>
      </c>
      <c r="H214" s="36">
        <f t="shared" si="61"/>
        <v>18</v>
      </c>
      <c r="I214" s="36">
        <v>32</v>
      </c>
      <c r="J214" s="37">
        <v>798.22</v>
      </c>
      <c r="K214" s="37">
        <f t="shared" si="65"/>
        <v>25543.040000000001</v>
      </c>
      <c r="L214" s="83" t="s">
        <v>18</v>
      </c>
    </row>
    <row r="215" spans="1:12" ht="24" customHeight="1" x14ac:dyDescent="0.5">
      <c r="A215" s="92">
        <v>195</v>
      </c>
      <c r="B215" s="91" t="s">
        <v>303</v>
      </c>
      <c r="C215" s="59" t="s">
        <v>606</v>
      </c>
      <c r="D215" s="36">
        <v>0</v>
      </c>
      <c r="E215" s="36">
        <v>1020</v>
      </c>
      <c r="F215" s="36">
        <f t="shared" si="63"/>
        <v>1020</v>
      </c>
      <c r="G215" s="37">
        <f t="shared" si="64"/>
        <v>814184.4</v>
      </c>
      <c r="H215" s="36">
        <f t="shared" si="61"/>
        <v>1020</v>
      </c>
      <c r="I215" s="36">
        <v>0</v>
      </c>
      <c r="J215" s="37">
        <v>798.22</v>
      </c>
      <c r="K215" s="37">
        <f t="shared" si="65"/>
        <v>0</v>
      </c>
      <c r="L215" s="78"/>
    </row>
    <row r="216" spans="1:12" ht="24" customHeight="1" x14ac:dyDescent="0.5">
      <c r="A216" s="92">
        <v>196</v>
      </c>
      <c r="B216" s="91" t="s">
        <v>304</v>
      </c>
      <c r="C216" s="59" t="s">
        <v>606</v>
      </c>
      <c r="D216" s="36">
        <v>44</v>
      </c>
      <c r="E216" s="36">
        <v>460</v>
      </c>
      <c r="F216" s="36">
        <f t="shared" si="63"/>
        <v>504</v>
      </c>
      <c r="G216" s="37">
        <f t="shared" si="64"/>
        <v>402302.88</v>
      </c>
      <c r="H216" s="36">
        <f t="shared" si="61"/>
        <v>504</v>
      </c>
      <c r="I216" s="36">
        <v>0</v>
      </c>
      <c r="J216" s="37">
        <v>798.22</v>
      </c>
      <c r="K216" s="37">
        <f t="shared" si="65"/>
        <v>0</v>
      </c>
      <c r="L216" s="62" t="s">
        <v>627</v>
      </c>
    </row>
    <row r="217" spans="1:12" ht="24" customHeight="1" x14ac:dyDescent="0.5">
      <c r="A217" s="92">
        <v>197</v>
      </c>
      <c r="B217" s="91" t="s">
        <v>495</v>
      </c>
      <c r="C217" s="59" t="s">
        <v>606</v>
      </c>
      <c r="D217" s="36">
        <v>0</v>
      </c>
      <c r="E217" s="36">
        <v>108</v>
      </c>
      <c r="F217" s="36">
        <f t="shared" si="63"/>
        <v>108</v>
      </c>
      <c r="G217" s="37">
        <f t="shared" si="64"/>
        <v>603801</v>
      </c>
      <c r="H217" s="36">
        <f t="shared" si="61"/>
        <v>108</v>
      </c>
      <c r="I217" s="36">
        <v>0</v>
      </c>
      <c r="J217" s="37">
        <v>5590.75</v>
      </c>
      <c r="K217" s="37">
        <f t="shared" si="65"/>
        <v>0</v>
      </c>
      <c r="L217" s="78" t="s">
        <v>434</v>
      </c>
    </row>
    <row r="218" spans="1:12" ht="24" customHeight="1" x14ac:dyDescent="0.5">
      <c r="A218" s="92">
        <v>198</v>
      </c>
      <c r="B218" s="91" t="s">
        <v>699</v>
      </c>
      <c r="C218" s="59" t="s">
        <v>606</v>
      </c>
      <c r="D218" s="36">
        <v>0</v>
      </c>
      <c r="E218" s="36">
        <v>1</v>
      </c>
      <c r="F218" s="36">
        <f t="shared" si="63"/>
        <v>1</v>
      </c>
      <c r="G218" s="37">
        <f t="shared" si="64"/>
        <v>7490</v>
      </c>
      <c r="H218" s="36">
        <f t="shared" si="61"/>
        <v>1</v>
      </c>
      <c r="I218" s="36">
        <v>0</v>
      </c>
      <c r="J218" s="37">
        <v>7490</v>
      </c>
      <c r="K218" s="37">
        <f t="shared" si="65"/>
        <v>0</v>
      </c>
      <c r="L218" s="83" t="s">
        <v>433</v>
      </c>
    </row>
    <row r="219" spans="1:12" ht="24" customHeight="1" x14ac:dyDescent="0.5">
      <c r="A219" s="92">
        <v>199</v>
      </c>
      <c r="B219" s="91" t="s">
        <v>556</v>
      </c>
      <c r="C219" s="59" t="s">
        <v>38</v>
      </c>
      <c r="D219" s="36">
        <v>0</v>
      </c>
      <c r="E219" s="36">
        <v>350</v>
      </c>
      <c r="F219" s="36">
        <f t="shared" si="63"/>
        <v>350</v>
      </c>
      <c r="G219" s="37">
        <f t="shared" si="64"/>
        <v>14700</v>
      </c>
      <c r="H219" s="36">
        <f t="shared" si="61"/>
        <v>350</v>
      </c>
      <c r="I219" s="36">
        <v>0</v>
      </c>
      <c r="J219" s="37">
        <v>42</v>
      </c>
      <c r="K219" s="37">
        <f t="shared" si="65"/>
        <v>0</v>
      </c>
      <c r="L219" s="78"/>
    </row>
    <row r="220" spans="1:12" ht="24" customHeight="1" x14ac:dyDescent="0.5">
      <c r="A220" s="92">
        <v>200</v>
      </c>
      <c r="B220" s="91" t="s">
        <v>417</v>
      </c>
      <c r="C220" s="59" t="s">
        <v>50</v>
      </c>
      <c r="D220" s="36">
        <v>10</v>
      </c>
      <c r="E220" s="36">
        <v>0</v>
      </c>
      <c r="F220" s="36">
        <f t="shared" si="63"/>
        <v>10</v>
      </c>
      <c r="G220" s="37">
        <f t="shared" si="64"/>
        <v>3960</v>
      </c>
      <c r="H220" s="36">
        <f t="shared" si="61"/>
        <v>2</v>
      </c>
      <c r="I220" s="36">
        <v>8</v>
      </c>
      <c r="J220" s="37">
        <v>1980</v>
      </c>
      <c r="K220" s="37">
        <f t="shared" si="65"/>
        <v>15840</v>
      </c>
      <c r="L220" s="62" t="s">
        <v>627</v>
      </c>
    </row>
    <row r="221" spans="1:12" ht="24" customHeight="1" x14ac:dyDescent="0.5">
      <c r="A221" s="92"/>
      <c r="B221" s="53" t="s">
        <v>432</v>
      </c>
      <c r="C221" s="65"/>
      <c r="D221" s="38"/>
      <c r="E221" s="38"/>
      <c r="F221" s="38"/>
      <c r="G221" s="39">
        <f>SUM(G201:G220)</f>
        <v>4772298.84</v>
      </c>
      <c r="H221" s="38"/>
      <c r="I221" s="38"/>
      <c r="J221" s="39"/>
      <c r="K221" s="39">
        <f>SUM(K201:K220)</f>
        <v>41383.040000000001</v>
      </c>
      <c r="L221" s="78" t="s">
        <v>503</v>
      </c>
    </row>
    <row r="222" spans="1:12" ht="24" customHeight="1" x14ac:dyDescent="0.5">
      <c r="B222" s="93"/>
      <c r="C222" s="79"/>
      <c r="D222" s="40"/>
      <c r="E222" s="40"/>
      <c r="F222" s="40"/>
      <c r="G222" s="41"/>
      <c r="H222" s="40"/>
      <c r="I222" s="40"/>
      <c r="J222" s="41"/>
      <c r="K222" s="41"/>
      <c r="L222" s="83" t="s">
        <v>435</v>
      </c>
    </row>
    <row r="223" spans="1:12" ht="24" customHeight="1" x14ac:dyDescent="0.5">
      <c r="A223" s="92">
        <v>201</v>
      </c>
      <c r="B223" s="91" t="s">
        <v>305</v>
      </c>
      <c r="C223" s="59" t="s">
        <v>50</v>
      </c>
      <c r="D223" s="36">
        <v>5</v>
      </c>
      <c r="E223" s="36">
        <v>0</v>
      </c>
      <c r="F223" s="36">
        <f t="shared" ref="F223" si="66">D223+E223</f>
        <v>5</v>
      </c>
      <c r="G223" s="37">
        <f t="shared" ref="G223" si="67">H223*J223</f>
        <v>0</v>
      </c>
      <c r="H223" s="36">
        <f t="shared" ref="H223" si="68">F223-I223</f>
        <v>0</v>
      </c>
      <c r="I223" s="36">
        <v>5</v>
      </c>
      <c r="J223" s="37">
        <v>2300</v>
      </c>
      <c r="K223" s="37">
        <f t="shared" ref="K223" si="69">I223*J223</f>
        <v>11500</v>
      </c>
      <c r="L223" s="83" t="s">
        <v>15</v>
      </c>
    </row>
    <row r="224" spans="1:12" ht="24" customHeight="1" x14ac:dyDescent="0.5">
      <c r="A224" s="92">
        <v>202</v>
      </c>
      <c r="B224" s="91" t="s">
        <v>306</v>
      </c>
      <c r="C224" s="59" t="s">
        <v>50</v>
      </c>
      <c r="D224" s="36">
        <v>28</v>
      </c>
      <c r="E224" s="36">
        <v>0</v>
      </c>
      <c r="F224" s="36">
        <f t="shared" ref="F224" si="70">D224+E224</f>
        <v>28</v>
      </c>
      <c r="G224" s="37">
        <f t="shared" ref="G224" si="71">H224*J224</f>
        <v>0</v>
      </c>
      <c r="H224" s="36">
        <f t="shared" ref="H224" si="72">F224-I224</f>
        <v>0</v>
      </c>
      <c r="I224" s="36">
        <v>28</v>
      </c>
      <c r="J224" s="37">
        <v>1980</v>
      </c>
      <c r="K224" s="37">
        <f t="shared" ref="K224" si="73">I224*J224</f>
        <v>55440</v>
      </c>
      <c r="L224" s="78" t="s">
        <v>716</v>
      </c>
    </row>
    <row r="225" spans="1:12" ht="24" customHeight="1" x14ac:dyDescent="0.5">
      <c r="A225" s="92">
        <v>203</v>
      </c>
      <c r="B225" s="91" t="s">
        <v>307</v>
      </c>
      <c r="C225" s="59" t="s">
        <v>50</v>
      </c>
      <c r="D225" s="36">
        <v>38</v>
      </c>
      <c r="E225" s="36">
        <v>0</v>
      </c>
      <c r="F225" s="36">
        <f>D225+E225</f>
        <v>38</v>
      </c>
      <c r="G225" s="37">
        <f>H225*J225</f>
        <v>0</v>
      </c>
      <c r="H225" s="36">
        <f>F225-I225</f>
        <v>0</v>
      </c>
      <c r="I225" s="36">
        <v>38</v>
      </c>
      <c r="J225" s="37">
        <v>1980</v>
      </c>
      <c r="K225" s="37">
        <f>I225*J225</f>
        <v>75240</v>
      </c>
      <c r="L225" s="83"/>
    </row>
    <row r="226" spans="1:12" ht="24" customHeight="1" x14ac:dyDescent="0.5">
      <c r="A226" s="92">
        <v>204</v>
      </c>
      <c r="B226" s="91" t="s">
        <v>308</v>
      </c>
      <c r="C226" s="59" t="s">
        <v>50</v>
      </c>
      <c r="D226" s="36">
        <v>4</v>
      </c>
      <c r="E226" s="36">
        <v>0</v>
      </c>
      <c r="F226" s="36">
        <f t="shared" ref="F226:F242" si="74">D226+E226</f>
        <v>4</v>
      </c>
      <c r="G226" s="37">
        <f t="shared" ref="G226:G242" si="75">H226*J226</f>
        <v>0</v>
      </c>
      <c r="H226" s="36">
        <f t="shared" ref="H226:H242" si="76">F226-I226</f>
        <v>0</v>
      </c>
      <c r="I226" s="36">
        <v>4</v>
      </c>
      <c r="J226" s="37">
        <v>875</v>
      </c>
      <c r="K226" s="37">
        <f t="shared" ref="K226:K242" si="77">I226*J226</f>
        <v>3500</v>
      </c>
      <c r="L226" s="62" t="s">
        <v>627</v>
      </c>
    </row>
    <row r="227" spans="1:12" ht="24" customHeight="1" x14ac:dyDescent="0.5">
      <c r="A227" s="92">
        <v>205</v>
      </c>
      <c r="B227" s="91" t="s">
        <v>309</v>
      </c>
      <c r="C227" s="59" t="s">
        <v>50</v>
      </c>
      <c r="D227" s="36">
        <v>18</v>
      </c>
      <c r="E227" s="36">
        <v>0</v>
      </c>
      <c r="F227" s="36">
        <f t="shared" si="74"/>
        <v>18</v>
      </c>
      <c r="G227" s="37">
        <f t="shared" si="75"/>
        <v>0</v>
      </c>
      <c r="H227" s="36">
        <f t="shared" si="76"/>
        <v>0</v>
      </c>
      <c r="I227" s="36">
        <v>18</v>
      </c>
      <c r="J227" s="37">
        <v>1240</v>
      </c>
      <c r="K227" s="37">
        <f t="shared" si="77"/>
        <v>22320</v>
      </c>
      <c r="L227" s="90" t="s">
        <v>731</v>
      </c>
    </row>
    <row r="228" spans="1:12" ht="24" customHeight="1" x14ac:dyDescent="0.5">
      <c r="A228" s="92">
        <v>206</v>
      </c>
      <c r="B228" s="91" t="s">
        <v>310</v>
      </c>
      <c r="C228" s="59" t="s">
        <v>50</v>
      </c>
      <c r="D228" s="36">
        <v>10</v>
      </c>
      <c r="E228" s="36">
        <v>0</v>
      </c>
      <c r="F228" s="36">
        <f t="shared" si="74"/>
        <v>10</v>
      </c>
      <c r="G228" s="37">
        <f t="shared" si="75"/>
        <v>0</v>
      </c>
      <c r="H228" s="36">
        <f t="shared" si="76"/>
        <v>0</v>
      </c>
      <c r="I228" s="36">
        <v>10</v>
      </c>
      <c r="J228" s="37">
        <v>1240</v>
      </c>
      <c r="K228" s="37">
        <f t="shared" si="77"/>
        <v>12400</v>
      </c>
      <c r="L228" s="90" t="s">
        <v>16</v>
      </c>
    </row>
    <row r="229" spans="1:12" ht="24" customHeight="1" x14ac:dyDescent="0.5">
      <c r="A229" s="92">
        <v>207</v>
      </c>
      <c r="B229" s="91" t="s">
        <v>311</v>
      </c>
      <c r="C229" s="59" t="s">
        <v>50</v>
      </c>
      <c r="D229" s="36">
        <v>11</v>
      </c>
      <c r="E229" s="36">
        <v>0</v>
      </c>
      <c r="F229" s="36">
        <f t="shared" si="74"/>
        <v>11</v>
      </c>
      <c r="G229" s="37">
        <f t="shared" si="75"/>
        <v>3720</v>
      </c>
      <c r="H229" s="36">
        <f t="shared" si="76"/>
        <v>3</v>
      </c>
      <c r="I229" s="36">
        <v>8</v>
      </c>
      <c r="J229" s="37">
        <v>1240</v>
      </c>
      <c r="K229" s="37">
        <f t="shared" si="77"/>
        <v>9920</v>
      </c>
      <c r="L229" s="90"/>
    </row>
    <row r="230" spans="1:12" ht="24" customHeight="1" x14ac:dyDescent="0.5">
      <c r="A230" s="92">
        <v>208</v>
      </c>
      <c r="B230" s="91" t="s">
        <v>312</v>
      </c>
      <c r="C230" s="59" t="s">
        <v>50</v>
      </c>
      <c r="D230" s="36">
        <v>27</v>
      </c>
      <c r="E230" s="36">
        <v>0</v>
      </c>
      <c r="F230" s="36">
        <f t="shared" si="74"/>
        <v>27</v>
      </c>
      <c r="G230" s="37">
        <f t="shared" si="75"/>
        <v>4960</v>
      </c>
      <c r="H230" s="36">
        <f t="shared" si="76"/>
        <v>4</v>
      </c>
      <c r="I230" s="36">
        <v>23</v>
      </c>
      <c r="J230" s="37">
        <v>1240</v>
      </c>
      <c r="K230" s="37">
        <f t="shared" si="77"/>
        <v>28520</v>
      </c>
      <c r="L230" s="62" t="s">
        <v>627</v>
      </c>
    </row>
    <row r="231" spans="1:12" ht="24" customHeight="1" x14ac:dyDescent="0.5">
      <c r="A231" s="92">
        <v>209</v>
      </c>
      <c r="B231" s="91" t="s">
        <v>313</v>
      </c>
      <c r="C231" s="59" t="s">
        <v>50</v>
      </c>
      <c r="D231" s="36">
        <v>23</v>
      </c>
      <c r="E231" s="36">
        <v>0</v>
      </c>
      <c r="F231" s="36">
        <f t="shared" si="74"/>
        <v>23</v>
      </c>
      <c r="G231" s="37">
        <f t="shared" si="75"/>
        <v>14300</v>
      </c>
      <c r="H231" s="36">
        <f t="shared" si="76"/>
        <v>13</v>
      </c>
      <c r="I231" s="36">
        <v>10</v>
      </c>
      <c r="J231" s="37">
        <v>1100</v>
      </c>
      <c r="K231" s="37">
        <f t="shared" si="77"/>
        <v>11000</v>
      </c>
      <c r="L231" s="83" t="s">
        <v>463</v>
      </c>
    </row>
    <row r="232" spans="1:12" ht="24" customHeight="1" x14ac:dyDescent="0.5">
      <c r="A232" s="92">
        <v>210</v>
      </c>
      <c r="B232" s="91" t="s">
        <v>314</v>
      </c>
      <c r="C232" s="59" t="s">
        <v>50</v>
      </c>
      <c r="D232" s="36">
        <v>10</v>
      </c>
      <c r="E232" s="36">
        <v>40</v>
      </c>
      <c r="F232" s="36">
        <f t="shared" si="74"/>
        <v>50</v>
      </c>
      <c r="G232" s="37">
        <f t="shared" si="75"/>
        <v>55000</v>
      </c>
      <c r="H232" s="36">
        <f t="shared" si="76"/>
        <v>50</v>
      </c>
      <c r="I232" s="36">
        <v>0</v>
      </c>
      <c r="J232" s="37">
        <v>1100</v>
      </c>
      <c r="K232" s="37">
        <f t="shared" si="77"/>
        <v>0</v>
      </c>
      <c r="L232" s="90" t="s">
        <v>17</v>
      </c>
    </row>
    <row r="233" spans="1:12" ht="24" customHeight="1" x14ac:dyDescent="0.5">
      <c r="A233" s="92">
        <v>211</v>
      </c>
      <c r="B233" s="91" t="s">
        <v>315</v>
      </c>
      <c r="C233" s="59" t="s">
        <v>50</v>
      </c>
      <c r="D233" s="36">
        <v>0</v>
      </c>
      <c r="E233" s="36">
        <v>40</v>
      </c>
      <c r="F233" s="36">
        <f t="shared" si="74"/>
        <v>40</v>
      </c>
      <c r="G233" s="37">
        <f t="shared" si="75"/>
        <v>26400</v>
      </c>
      <c r="H233" s="36">
        <f t="shared" si="76"/>
        <v>24</v>
      </c>
      <c r="I233" s="36">
        <v>16</v>
      </c>
      <c r="J233" s="37">
        <v>1100</v>
      </c>
      <c r="K233" s="37">
        <f t="shared" si="77"/>
        <v>17600</v>
      </c>
      <c r="L233" s="90"/>
    </row>
    <row r="234" spans="1:12" ht="24" customHeight="1" x14ac:dyDescent="0.5">
      <c r="A234" s="92">
        <v>212</v>
      </c>
      <c r="B234" s="91" t="s">
        <v>316</v>
      </c>
      <c r="C234" s="59" t="s">
        <v>50</v>
      </c>
      <c r="D234" s="36">
        <v>42</v>
      </c>
      <c r="E234" s="36">
        <v>0</v>
      </c>
      <c r="F234" s="36">
        <f t="shared" si="74"/>
        <v>42</v>
      </c>
      <c r="G234" s="37">
        <f t="shared" si="75"/>
        <v>0</v>
      </c>
      <c r="H234" s="36">
        <f t="shared" si="76"/>
        <v>0</v>
      </c>
      <c r="I234" s="36">
        <v>42</v>
      </c>
      <c r="J234" s="37">
        <v>1240</v>
      </c>
      <c r="K234" s="37">
        <f t="shared" si="77"/>
        <v>52080</v>
      </c>
      <c r="L234" s="62" t="s">
        <v>627</v>
      </c>
    </row>
    <row r="235" spans="1:12" ht="24" customHeight="1" x14ac:dyDescent="0.5">
      <c r="A235" s="92">
        <v>213</v>
      </c>
      <c r="B235" s="91" t="s">
        <v>557</v>
      </c>
      <c r="C235" s="59" t="s">
        <v>606</v>
      </c>
      <c r="D235" s="36">
        <v>0</v>
      </c>
      <c r="E235" s="36">
        <v>25</v>
      </c>
      <c r="F235" s="36">
        <f t="shared" si="74"/>
        <v>25</v>
      </c>
      <c r="G235" s="37">
        <f t="shared" si="75"/>
        <v>83250</v>
      </c>
      <c r="H235" s="36">
        <f t="shared" si="76"/>
        <v>25</v>
      </c>
      <c r="I235" s="36">
        <v>0</v>
      </c>
      <c r="J235" s="37">
        <v>3330</v>
      </c>
      <c r="K235" s="37">
        <f t="shared" si="77"/>
        <v>0</v>
      </c>
      <c r="L235" s="83" t="s">
        <v>462</v>
      </c>
    </row>
    <row r="236" spans="1:12" ht="24" customHeight="1" x14ac:dyDescent="0.5">
      <c r="A236" s="92">
        <v>214</v>
      </c>
      <c r="B236" s="91" t="s">
        <v>418</v>
      </c>
      <c r="C236" s="59" t="s">
        <v>50</v>
      </c>
      <c r="D236" s="36">
        <v>0</v>
      </c>
      <c r="E236" s="36">
        <v>1380</v>
      </c>
      <c r="F236" s="36">
        <f t="shared" si="74"/>
        <v>1380</v>
      </c>
      <c r="G236" s="37">
        <f t="shared" si="75"/>
        <v>883200</v>
      </c>
      <c r="H236" s="36">
        <f t="shared" si="76"/>
        <v>1380</v>
      </c>
      <c r="I236" s="36">
        <v>0</v>
      </c>
      <c r="J236" s="37">
        <v>640</v>
      </c>
      <c r="K236" s="37">
        <f t="shared" si="77"/>
        <v>0</v>
      </c>
      <c r="L236" s="83" t="s">
        <v>18</v>
      </c>
    </row>
    <row r="237" spans="1:12" ht="24" customHeight="1" x14ac:dyDescent="0.5">
      <c r="A237" s="92">
        <v>215</v>
      </c>
      <c r="B237" s="91" t="s">
        <v>700</v>
      </c>
      <c r="C237" s="59" t="s">
        <v>611</v>
      </c>
      <c r="D237" s="36">
        <v>0</v>
      </c>
      <c r="E237" s="36">
        <v>10</v>
      </c>
      <c r="F237" s="36">
        <f t="shared" si="74"/>
        <v>10</v>
      </c>
      <c r="G237" s="37">
        <f t="shared" si="75"/>
        <v>16700</v>
      </c>
      <c r="H237" s="36">
        <f t="shared" si="76"/>
        <v>10</v>
      </c>
      <c r="I237" s="36">
        <v>0</v>
      </c>
      <c r="J237" s="37">
        <v>1670</v>
      </c>
      <c r="K237" s="37">
        <f t="shared" si="77"/>
        <v>0</v>
      </c>
      <c r="L237" s="78"/>
    </row>
    <row r="238" spans="1:12" ht="24" customHeight="1" x14ac:dyDescent="0.5">
      <c r="A238" s="92">
        <v>216</v>
      </c>
      <c r="B238" s="91" t="s">
        <v>616</v>
      </c>
      <c r="C238" s="59" t="s">
        <v>606</v>
      </c>
      <c r="D238" s="36">
        <v>0</v>
      </c>
      <c r="E238" s="36">
        <v>10</v>
      </c>
      <c r="F238" s="36">
        <f t="shared" si="74"/>
        <v>10</v>
      </c>
      <c r="G238" s="37">
        <f t="shared" si="75"/>
        <v>26750</v>
      </c>
      <c r="H238" s="36">
        <f t="shared" si="76"/>
        <v>10</v>
      </c>
      <c r="I238" s="36">
        <v>0</v>
      </c>
      <c r="J238" s="37">
        <v>2675</v>
      </c>
      <c r="K238" s="37">
        <f t="shared" si="77"/>
        <v>0</v>
      </c>
      <c r="L238" s="62" t="s">
        <v>627</v>
      </c>
    </row>
    <row r="239" spans="1:12" ht="24" customHeight="1" x14ac:dyDescent="0.5">
      <c r="A239" s="92">
        <v>217</v>
      </c>
      <c r="B239" s="91" t="s">
        <v>701</v>
      </c>
      <c r="C239" s="59" t="s">
        <v>606</v>
      </c>
      <c r="D239" s="36">
        <v>0</v>
      </c>
      <c r="E239" s="36">
        <v>70</v>
      </c>
      <c r="F239" s="36">
        <f t="shared" si="74"/>
        <v>70</v>
      </c>
      <c r="G239" s="37">
        <f t="shared" si="75"/>
        <v>310535.40000000002</v>
      </c>
      <c r="H239" s="36">
        <f t="shared" si="76"/>
        <v>70</v>
      </c>
      <c r="I239" s="36">
        <v>0</v>
      </c>
      <c r="J239" s="37">
        <v>4436.22</v>
      </c>
      <c r="K239" s="37">
        <f t="shared" si="77"/>
        <v>0</v>
      </c>
      <c r="L239" s="78" t="s">
        <v>434</v>
      </c>
    </row>
    <row r="240" spans="1:12" ht="24" customHeight="1" x14ac:dyDescent="0.5">
      <c r="A240" s="92">
        <v>218</v>
      </c>
      <c r="B240" s="91" t="s">
        <v>702</v>
      </c>
      <c r="C240" s="59" t="s">
        <v>606</v>
      </c>
      <c r="D240" s="36">
        <v>0</v>
      </c>
      <c r="E240" s="36">
        <v>150</v>
      </c>
      <c r="F240" s="36">
        <f t="shared" si="74"/>
        <v>150</v>
      </c>
      <c r="G240" s="37">
        <f t="shared" si="75"/>
        <v>192600</v>
      </c>
      <c r="H240" s="36">
        <f t="shared" si="76"/>
        <v>150</v>
      </c>
      <c r="I240" s="36">
        <v>0</v>
      </c>
      <c r="J240" s="37">
        <v>1284</v>
      </c>
      <c r="K240" s="37">
        <f t="shared" si="77"/>
        <v>0</v>
      </c>
      <c r="L240" s="83" t="s">
        <v>433</v>
      </c>
    </row>
    <row r="241" spans="1:12" ht="24" customHeight="1" x14ac:dyDescent="0.5">
      <c r="A241" s="92">
        <v>219</v>
      </c>
      <c r="B241" s="91" t="s">
        <v>318</v>
      </c>
      <c r="C241" s="59" t="s">
        <v>604</v>
      </c>
      <c r="D241" s="36">
        <v>460</v>
      </c>
      <c r="E241" s="36">
        <v>4000</v>
      </c>
      <c r="F241" s="36">
        <f t="shared" si="74"/>
        <v>4460</v>
      </c>
      <c r="G241" s="37">
        <f t="shared" si="75"/>
        <v>187320</v>
      </c>
      <c r="H241" s="36">
        <f t="shared" si="76"/>
        <v>4460</v>
      </c>
      <c r="I241" s="36">
        <v>0</v>
      </c>
      <c r="J241" s="37">
        <v>42</v>
      </c>
      <c r="K241" s="37">
        <f t="shared" si="77"/>
        <v>0</v>
      </c>
      <c r="L241" s="78"/>
    </row>
    <row r="242" spans="1:12" ht="24" customHeight="1" x14ac:dyDescent="0.5">
      <c r="A242" s="92">
        <v>220</v>
      </c>
      <c r="B242" s="91" t="s">
        <v>319</v>
      </c>
      <c r="C242" s="59" t="s">
        <v>191</v>
      </c>
      <c r="D242" s="36">
        <v>30</v>
      </c>
      <c r="E242" s="36">
        <v>0</v>
      </c>
      <c r="F242" s="36">
        <f t="shared" si="74"/>
        <v>30</v>
      </c>
      <c r="G242" s="37">
        <f t="shared" si="75"/>
        <v>2400</v>
      </c>
      <c r="H242" s="36">
        <f t="shared" si="76"/>
        <v>30</v>
      </c>
      <c r="I242" s="36">
        <v>0</v>
      </c>
      <c r="J242" s="37">
        <v>80</v>
      </c>
      <c r="K242" s="37">
        <f t="shared" si="77"/>
        <v>0</v>
      </c>
      <c r="L242" s="62" t="s">
        <v>627</v>
      </c>
    </row>
    <row r="243" spans="1:12" ht="24" customHeight="1" x14ac:dyDescent="0.5">
      <c r="A243" s="92"/>
      <c r="B243" s="53" t="s">
        <v>432</v>
      </c>
      <c r="C243" s="65"/>
      <c r="D243" s="38"/>
      <c r="E243" s="38"/>
      <c r="F243" s="38"/>
      <c r="G243" s="39">
        <f>SUM(G223:G242)</f>
        <v>1807135.4</v>
      </c>
      <c r="H243" s="38"/>
      <c r="I243" s="38"/>
      <c r="J243" s="39"/>
      <c r="K243" s="39">
        <f>SUM(K223:K242)</f>
        <v>299520</v>
      </c>
      <c r="L243" s="78" t="s">
        <v>503</v>
      </c>
    </row>
    <row r="244" spans="1:12" ht="24" customHeight="1" x14ac:dyDescent="0.5">
      <c r="B244" s="93"/>
      <c r="C244" s="79"/>
      <c r="D244" s="40"/>
      <c r="E244" s="40"/>
      <c r="F244" s="40"/>
      <c r="G244" s="41"/>
      <c r="H244" s="40"/>
      <c r="I244" s="40"/>
      <c r="J244" s="41"/>
      <c r="K244" s="41"/>
      <c r="L244" s="83" t="s">
        <v>435</v>
      </c>
    </row>
    <row r="245" spans="1:12" ht="24" customHeight="1" x14ac:dyDescent="0.5">
      <c r="A245" s="92">
        <v>221</v>
      </c>
      <c r="B245" s="91" t="s">
        <v>317</v>
      </c>
      <c r="C245" s="59" t="s">
        <v>204</v>
      </c>
      <c r="D245" s="36">
        <v>74</v>
      </c>
      <c r="E245" s="36">
        <v>2250</v>
      </c>
      <c r="F245" s="36">
        <f t="shared" ref="F245" si="78">D245+E245</f>
        <v>2324</v>
      </c>
      <c r="G245" s="37">
        <f t="shared" ref="G245" si="79">H245*J245</f>
        <v>550000</v>
      </c>
      <c r="H245" s="36">
        <f t="shared" ref="H245" si="80">F245-I245</f>
        <v>2200</v>
      </c>
      <c r="I245" s="36">
        <v>124</v>
      </c>
      <c r="J245" s="37">
        <v>250</v>
      </c>
      <c r="K245" s="37">
        <f t="shared" ref="K245" si="81">I245*J245</f>
        <v>31000</v>
      </c>
      <c r="L245" s="83" t="s">
        <v>15</v>
      </c>
    </row>
    <row r="246" spans="1:12" ht="24" customHeight="1" x14ac:dyDescent="0.5">
      <c r="A246" s="92">
        <v>222</v>
      </c>
      <c r="B246" s="91" t="s">
        <v>703</v>
      </c>
      <c r="C246" s="59" t="s">
        <v>611</v>
      </c>
      <c r="D246" s="36">
        <v>0</v>
      </c>
      <c r="E246" s="36">
        <v>50</v>
      </c>
      <c r="F246" s="36">
        <f t="shared" ref="F246" si="82">D246+E246</f>
        <v>50</v>
      </c>
      <c r="G246" s="37">
        <f t="shared" ref="G246" si="83">H246*J246</f>
        <v>60000</v>
      </c>
      <c r="H246" s="36">
        <f t="shared" ref="H246" si="84">F246-I246</f>
        <v>50</v>
      </c>
      <c r="I246" s="36">
        <v>0</v>
      </c>
      <c r="J246" s="37">
        <v>1200</v>
      </c>
      <c r="K246" s="37">
        <f t="shared" ref="K246" si="85">I246*J246</f>
        <v>0</v>
      </c>
      <c r="L246" s="78" t="s">
        <v>716</v>
      </c>
    </row>
    <row r="247" spans="1:12" ht="24" customHeight="1" x14ac:dyDescent="0.5">
      <c r="A247" s="92">
        <v>223</v>
      </c>
      <c r="B247" s="91" t="s">
        <v>704</v>
      </c>
      <c r="C247" s="59" t="s">
        <v>611</v>
      </c>
      <c r="D247" s="36">
        <v>0</v>
      </c>
      <c r="E247" s="36">
        <v>100</v>
      </c>
      <c r="F247" s="36">
        <f>D247+E247</f>
        <v>100</v>
      </c>
      <c r="G247" s="37">
        <f>H247*J247</f>
        <v>75000</v>
      </c>
      <c r="H247" s="36">
        <f>F247-I247</f>
        <v>100</v>
      </c>
      <c r="I247" s="36">
        <v>0</v>
      </c>
      <c r="J247" s="37">
        <v>750</v>
      </c>
      <c r="K247" s="37">
        <f>I247*J247</f>
        <v>0</v>
      </c>
      <c r="L247" s="83"/>
    </row>
    <row r="248" spans="1:12" ht="24" customHeight="1" x14ac:dyDescent="0.5">
      <c r="A248" s="92">
        <v>224</v>
      </c>
      <c r="B248" s="91" t="s">
        <v>498</v>
      </c>
      <c r="C248" s="59" t="s">
        <v>191</v>
      </c>
      <c r="D248" s="36">
        <v>32</v>
      </c>
      <c r="E248" s="36">
        <v>0</v>
      </c>
      <c r="F248" s="36">
        <f t="shared" ref="F248:F264" si="86">D248+E248</f>
        <v>32</v>
      </c>
      <c r="G248" s="37">
        <f t="shared" ref="G248:G264" si="87">H248*J248</f>
        <v>960</v>
      </c>
      <c r="H248" s="36">
        <f t="shared" ref="H248:H264" si="88">F248-I248</f>
        <v>8</v>
      </c>
      <c r="I248" s="36">
        <v>24</v>
      </c>
      <c r="J248" s="37">
        <v>120</v>
      </c>
      <c r="K248" s="37">
        <f t="shared" ref="K248:K264" si="89">I248*J248</f>
        <v>2880</v>
      </c>
      <c r="L248" s="62" t="s">
        <v>627</v>
      </c>
    </row>
    <row r="249" spans="1:12" ht="24" customHeight="1" x14ac:dyDescent="0.5">
      <c r="A249" s="92">
        <v>225</v>
      </c>
      <c r="B249" s="91" t="s">
        <v>320</v>
      </c>
      <c r="C249" s="59" t="s">
        <v>191</v>
      </c>
      <c r="D249" s="36">
        <v>16</v>
      </c>
      <c r="E249" s="36">
        <v>0</v>
      </c>
      <c r="F249" s="36">
        <f t="shared" si="86"/>
        <v>16</v>
      </c>
      <c r="G249" s="37">
        <f t="shared" si="87"/>
        <v>0</v>
      </c>
      <c r="H249" s="36">
        <f t="shared" si="88"/>
        <v>0</v>
      </c>
      <c r="I249" s="36">
        <v>16</v>
      </c>
      <c r="J249" s="37">
        <v>680</v>
      </c>
      <c r="K249" s="37">
        <f t="shared" si="89"/>
        <v>10880</v>
      </c>
      <c r="L249" s="90" t="s">
        <v>731</v>
      </c>
    </row>
    <row r="250" spans="1:12" ht="24" customHeight="1" x14ac:dyDescent="0.5">
      <c r="A250" s="92">
        <v>226</v>
      </c>
      <c r="B250" s="91" t="s">
        <v>321</v>
      </c>
      <c r="C250" s="59" t="s">
        <v>623</v>
      </c>
      <c r="D250" s="36">
        <v>1</v>
      </c>
      <c r="E250" s="36">
        <v>20</v>
      </c>
      <c r="F250" s="36">
        <f t="shared" si="86"/>
        <v>21</v>
      </c>
      <c r="G250" s="37">
        <f t="shared" si="87"/>
        <v>6750</v>
      </c>
      <c r="H250" s="36">
        <f t="shared" si="88"/>
        <v>9</v>
      </c>
      <c r="I250" s="36">
        <v>12</v>
      </c>
      <c r="J250" s="37">
        <v>750</v>
      </c>
      <c r="K250" s="37">
        <f t="shared" si="89"/>
        <v>9000</v>
      </c>
      <c r="L250" s="90" t="s">
        <v>16</v>
      </c>
    </row>
    <row r="251" spans="1:12" ht="24" customHeight="1" x14ac:dyDescent="0.5">
      <c r="A251" s="92">
        <v>227</v>
      </c>
      <c r="B251" s="91" t="s">
        <v>322</v>
      </c>
      <c r="C251" s="59" t="s">
        <v>623</v>
      </c>
      <c r="D251" s="36">
        <v>64</v>
      </c>
      <c r="E251" s="36">
        <v>620</v>
      </c>
      <c r="F251" s="36">
        <f t="shared" si="86"/>
        <v>684</v>
      </c>
      <c r="G251" s="37">
        <f t="shared" si="87"/>
        <v>336600</v>
      </c>
      <c r="H251" s="36">
        <f t="shared" si="88"/>
        <v>612</v>
      </c>
      <c r="I251" s="36">
        <v>72</v>
      </c>
      <c r="J251" s="37">
        <v>550</v>
      </c>
      <c r="K251" s="37">
        <f t="shared" si="89"/>
        <v>39600</v>
      </c>
      <c r="L251" s="90"/>
    </row>
    <row r="252" spans="1:12" ht="24" customHeight="1" x14ac:dyDescent="0.5">
      <c r="A252" s="92">
        <v>228</v>
      </c>
      <c r="B252" s="91" t="s">
        <v>446</v>
      </c>
      <c r="C252" s="59" t="s">
        <v>623</v>
      </c>
      <c r="D252" s="36">
        <v>7</v>
      </c>
      <c r="E252" s="36">
        <v>30</v>
      </c>
      <c r="F252" s="36">
        <f t="shared" si="86"/>
        <v>37</v>
      </c>
      <c r="G252" s="37">
        <f t="shared" si="87"/>
        <v>4900</v>
      </c>
      <c r="H252" s="36">
        <f t="shared" si="88"/>
        <v>14</v>
      </c>
      <c r="I252" s="36">
        <v>23</v>
      </c>
      <c r="J252" s="37">
        <v>350</v>
      </c>
      <c r="K252" s="37">
        <f t="shared" si="89"/>
        <v>8050</v>
      </c>
      <c r="L252" s="62" t="s">
        <v>627</v>
      </c>
    </row>
    <row r="253" spans="1:12" ht="24" customHeight="1" x14ac:dyDescent="0.5">
      <c r="A253" s="92">
        <v>229</v>
      </c>
      <c r="B253" s="91" t="s">
        <v>496</v>
      </c>
      <c r="C253" s="59" t="s">
        <v>623</v>
      </c>
      <c r="D253" s="36">
        <v>25</v>
      </c>
      <c r="E253" s="36">
        <v>20</v>
      </c>
      <c r="F253" s="36">
        <f t="shared" si="86"/>
        <v>45</v>
      </c>
      <c r="G253" s="37">
        <f t="shared" si="87"/>
        <v>5460</v>
      </c>
      <c r="H253" s="36">
        <f t="shared" si="88"/>
        <v>42</v>
      </c>
      <c r="I253" s="36">
        <v>3</v>
      </c>
      <c r="J253" s="37">
        <v>130</v>
      </c>
      <c r="K253" s="37">
        <f t="shared" si="89"/>
        <v>390</v>
      </c>
      <c r="L253" s="83" t="s">
        <v>463</v>
      </c>
    </row>
    <row r="254" spans="1:12" ht="24" customHeight="1" x14ac:dyDescent="0.5">
      <c r="A254" s="92">
        <v>230</v>
      </c>
      <c r="B254" s="91" t="s">
        <v>497</v>
      </c>
      <c r="C254" s="59" t="s">
        <v>191</v>
      </c>
      <c r="D254" s="36">
        <v>10</v>
      </c>
      <c r="E254" s="36">
        <v>20</v>
      </c>
      <c r="F254" s="36">
        <f t="shared" si="86"/>
        <v>30</v>
      </c>
      <c r="G254" s="37">
        <f t="shared" si="87"/>
        <v>2400</v>
      </c>
      <c r="H254" s="36">
        <f t="shared" si="88"/>
        <v>30</v>
      </c>
      <c r="I254" s="36">
        <v>0</v>
      </c>
      <c r="J254" s="37">
        <v>80</v>
      </c>
      <c r="K254" s="37">
        <f t="shared" si="89"/>
        <v>0</v>
      </c>
      <c r="L254" s="90" t="s">
        <v>17</v>
      </c>
    </row>
    <row r="255" spans="1:12" ht="24" customHeight="1" x14ac:dyDescent="0.5">
      <c r="A255" s="92">
        <v>231</v>
      </c>
      <c r="B255" s="91" t="s">
        <v>323</v>
      </c>
      <c r="C255" s="59" t="s">
        <v>623</v>
      </c>
      <c r="D255" s="36">
        <v>3</v>
      </c>
      <c r="E255" s="36">
        <v>0</v>
      </c>
      <c r="F255" s="36">
        <f t="shared" si="86"/>
        <v>3</v>
      </c>
      <c r="G255" s="37">
        <f t="shared" si="87"/>
        <v>720</v>
      </c>
      <c r="H255" s="36">
        <f t="shared" si="88"/>
        <v>3</v>
      </c>
      <c r="I255" s="36">
        <v>0</v>
      </c>
      <c r="J255" s="37">
        <v>240</v>
      </c>
      <c r="K255" s="37">
        <f t="shared" si="89"/>
        <v>0</v>
      </c>
      <c r="L255" s="90"/>
    </row>
    <row r="256" spans="1:12" ht="24" customHeight="1" x14ac:dyDescent="0.5">
      <c r="A256" s="92">
        <v>232</v>
      </c>
      <c r="B256" s="91" t="s">
        <v>324</v>
      </c>
      <c r="C256" s="59" t="s">
        <v>191</v>
      </c>
      <c r="D256" s="36">
        <v>2</v>
      </c>
      <c r="E256" s="36">
        <v>0</v>
      </c>
      <c r="F256" s="36">
        <f t="shared" si="86"/>
        <v>2</v>
      </c>
      <c r="G256" s="37">
        <f t="shared" si="87"/>
        <v>160</v>
      </c>
      <c r="H256" s="36">
        <f t="shared" si="88"/>
        <v>2</v>
      </c>
      <c r="I256" s="36">
        <v>0</v>
      </c>
      <c r="J256" s="37">
        <v>80</v>
      </c>
      <c r="K256" s="37">
        <f t="shared" si="89"/>
        <v>0</v>
      </c>
      <c r="L256" s="62" t="s">
        <v>627</v>
      </c>
    </row>
    <row r="257" spans="1:12" ht="24" customHeight="1" x14ac:dyDescent="0.5">
      <c r="A257" s="92">
        <v>233</v>
      </c>
      <c r="B257" s="91" t="s">
        <v>325</v>
      </c>
      <c r="C257" s="59" t="s">
        <v>623</v>
      </c>
      <c r="D257" s="36">
        <v>0</v>
      </c>
      <c r="E257" s="36">
        <v>400</v>
      </c>
      <c r="F257" s="36">
        <f t="shared" si="86"/>
        <v>400</v>
      </c>
      <c r="G257" s="37">
        <f t="shared" si="87"/>
        <v>61600</v>
      </c>
      <c r="H257" s="36">
        <f t="shared" si="88"/>
        <v>308</v>
      </c>
      <c r="I257" s="36">
        <v>92</v>
      </c>
      <c r="J257" s="37">
        <v>200</v>
      </c>
      <c r="K257" s="37">
        <f t="shared" si="89"/>
        <v>18400</v>
      </c>
      <c r="L257" s="83" t="s">
        <v>462</v>
      </c>
    </row>
    <row r="258" spans="1:12" ht="24" customHeight="1" x14ac:dyDescent="0.5">
      <c r="A258" s="92">
        <v>234</v>
      </c>
      <c r="B258" s="91" t="s">
        <v>326</v>
      </c>
      <c r="C258" s="59" t="s">
        <v>623</v>
      </c>
      <c r="D258" s="36">
        <v>0</v>
      </c>
      <c r="E258" s="36">
        <v>90</v>
      </c>
      <c r="F258" s="36">
        <f t="shared" si="86"/>
        <v>90</v>
      </c>
      <c r="G258" s="37">
        <f t="shared" si="87"/>
        <v>43800</v>
      </c>
      <c r="H258" s="36">
        <f t="shared" si="88"/>
        <v>73</v>
      </c>
      <c r="I258" s="36">
        <v>17</v>
      </c>
      <c r="J258" s="37">
        <v>600</v>
      </c>
      <c r="K258" s="37">
        <f t="shared" si="89"/>
        <v>10200</v>
      </c>
      <c r="L258" s="83" t="s">
        <v>18</v>
      </c>
    </row>
    <row r="259" spans="1:12" ht="24" customHeight="1" x14ac:dyDescent="0.5">
      <c r="A259" s="92">
        <v>235</v>
      </c>
      <c r="B259" s="91" t="s">
        <v>558</v>
      </c>
      <c r="C259" s="59" t="s">
        <v>191</v>
      </c>
      <c r="D259" s="36">
        <v>0</v>
      </c>
      <c r="E259" s="36">
        <v>92</v>
      </c>
      <c r="F259" s="36">
        <f t="shared" si="86"/>
        <v>92</v>
      </c>
      <c r="G259" s="37">
        <f t="shared" si="87"/>
        <v>23000</v>
      </c>
      <c r="H259" s="36">
        <f t="shared" si="88"/>
        <v>92</v>
      </c>
      <c r="I259" s="36">
        <v>0</v>
      </c>
      <c r="J259" s="37">
        <v>250</v>
      </c>
      <c r="K259" s="37">
        <f t="shared" si="89"/>
        <v>0</v>
      </c>
      <c r="L259" s="78"/>
    </row>
    <row r="260" spans="1:12" ht="24" customHeight="1" x14ac:dyDescent="0.5">
      <c r="A260" s="92">
        <v>236</v>
      </c>
      <c r="B260" s="91" t="s">
        <v>327</v>
      </c>
      <c r="C260" s="59" t="s">
        <v>191</v>
      </c>
      <c r="D260" s="36">
        <v>75</v>
      </c>
      <c r="E260" s="36">
        <v>2500</v>
      </c>
      <c r="F260" s="36">
        <f t="shared" si="86"/>
        <v>2575</v>
      </c>
      <c r="G260" s="37">
        <f t="shared" si="87"/>
        <v>107325</v>
      </c>
      <c r="H260" s="36">
        <f t="shared" si="88"/>
        <v>2385</v>
      </c>
      <c r="I260" s="36">
        <v>190</v>
      </c>
      <c r="J260" s="37">
        <v>45</v>
      </c>
      <c r="K260" s="37">
        <f t="shared" si="89"/>
        <v>8550</v>
      </c>
      <c r="L260" s="62" t="s">
        <v>627</v>
      </c>
    </row>
    <row r="261" spans="1:12" ht="24" customHeight="1" x14ac:dyDescent="0.5">
      <c r="A261" s="92">
        <v>237</v>
      </c>
      <c r="B261" s="91" t="s">
        <v>328</v>
      </c>
      <c r="C261" s="59" t="s">
        <v>191</v>
      </c>
      <c r="D261" s="36">
        <v>24</v>
      </c>
      <c r="E261" s="36">
        <v>240</v>
      </c>
      <c r="F261" s="36">
        <f t="shared" si="86"/>
        <v>264</v>
      </c>
      <c r="G261" s="37">
        <f t="shared" si="87"/>
        <v>142500</v>
      </c>
      <c r="H261" s="36">
        <f t="shared" si="88"/>
        <v>190</v>
      </c>
      <c r="I261" s="36">
        <v>74</v>
      </c>
      <c r="J261" s="37">
        <v>750</v>
      </c>
      <c r="K261" s="37">
        <f t="shared" si="89"/>
        <v>55500</v>
      </c>
      <c r="L261" s="78" t="s">
        <v>434</v>
      </c>
    </row>
    <row r="262" spans="1:12" ht="24" customHeight="1" x14ac:dyDescent="0.5">
      <c r="A262" s="92">
        <v>238</v>
      </c>
      <c r="B262" s="91" t="s">
        <v>419</v>
      </c>
      <c r="C262" s="59" t="s">
        <v>606</v>
      </c>
      <c r="D262" s="36">
        <v>0</v>
      </c>
      <c r="E262" s="36">
        <v>6900</v>
      </c>
      <c r="F262" s="36">
        <f t="shared" si="86"/>
        <v>6900</v>
      </c>
      <c r="G262" s="37">
        <f t="shared" si="87"/>
        <v>298638</v>
      </c>
      <c r="H262" s="36">
        <f t="shared" si="88"/>
        <v>6354</v>
      </c>
      <c r="I262" s="36">
        <v>546</v>
      </c>
      <c r="J262" s="37">
        <v>47</v>
      </c>
      <c r="K262" s="37">
        <f t="shared" si="89"/>
        <v>25662</v>
      </c>
      <c r="L262" s="83" t="s">
        <v>433</v>
      </c>
    </row>
    <row r="263" spans="1:12" ht="24" customHeight="1" x14ac:dyDescent="0.5">
      <c r="A263" s="92">
        <v>239</v>
      </c>
      <c r="B263" s="91" t="s">
        <v>379</v>
      </c>
      <c r="C263" s="59" t="s">
        <v>606</v>
      </c>
      <c r="D263" s="36">
        <v>18</v>
      </c>
      <c r="E263" s="36">
        <v>160</v>
      </c>
      <c r="F263" s="36">
        <f t="shared" si="86"/>
        <v>178</v>
      </c>
      <c r="G263" s="37">
        <f t="shared" si="87"/>
        <v>10480</v>
      </c>
      <c r="H263" s="36">
        <f t="shared" si="88"/>
        <v>131</v>
      </c>
      <c r="I263" s="36">
        <v>47</v>
      </c>
      <c r="J263" s="37">
        <v>80</v>
      </c>
      <c r="K263" s="37">
        <f t="shared" si="89"/>
        <v>3760</v>
      </c>
      <c r="L263" s="78"/>
    </row>
    <row r="264" spans="1:12" ht="24" customHeight="1" x14ac:dyDescent="0.5">
      <c r="A264" s="92">
        <v>240</v>
      </c>
      <c r="B264" s="91" t="s">
        <v>329</v>
      </c>
      <c r="C264" s="59" t="s">
        <v>610</v>
      </c>
      <c r="D264" s="36">
        <v>0</v>
      </c>
      <c r="E264" s="36">
        <v>90</v>
      </c>
      <c r="F264" s="36">
        <f t="shared" si="86"/>
        <v>90</v>
      </c>
      <c r="G264" s="37">
        <f t="shared" si="87"/>
        <v>25200</v>
      </c>
      <c r="H264" s="36">
        <f t="shared" si="88"/>
        <v>90</v>
      </c>
      <c r="I264" s="36">
        <v>0</v>
      </c>
      <c r="J264" s="37">
        <v>280</v>
      </c>
      <c r="K264" s="37">
        <f t="shared" si="89"/>
        <v>0</v>
      </c>
      <c r="L264" s="62" t="s">
        <v>627</v>
      </c>
    </row>
    <row r="265" spans="1:12" ht="24" customHeight="1" x14ac:dyDescent="0.5">
      <c r="A265" s="92"/>
      <c r="B265" s="53" t="s">
        <v>432</v>
      </c>
      <c r="C265" s="65"/>
      <c r="D265" s="38"/>
      <c r="E265" s="38"/>
      <c r="F265" s="38"/>
      <c r="G265" s="39">
        <f>SUM(G245:G264)</f>
        <v>1755493</v>
      </c>
      <c r="H265" s="38"/>
      <c r="I265" s="38"/>
      <c r="J265" s="39"/>
      <c r="K265" s="39">
        <f>SUM(K245:K264)</f>
        <v>223872</v>
      </c>
      <c r="L265" s="78" t="s">
        <v>503</v>
      </c>
    </row>
    <row r="266" spans="1:12" ht="24" customHeight="1" x14ac:dyDescent="0.5">
      <c r="B266" s="93"/>
      <c r="C266" s="79"/>
      <c r="D266" s="40"/>
      <c r="E266" s="40"/>
      <c r="F266" s="40"/>
      <c r="G266" s="41"/>
      <c r="H266" s="40"/>
      <c r="I266" s="40"/>
      <c r="J266" s="41"/>
      <c r="K266" s="41"/>
      <c r="L266" s="83" t="s">
        <v>435</v>
      </c>
    </row>
    <row r="267" spans="1:12" ht="24" customHeight="1" x14ac:dyDescent="0.5">
      <c r="A267" s="92">
        <v>241</v>
      </c>
      <c r="B267" s="91" t="s">
        <v>330</v>
      </c>
      <c r="C267" s="59" t="s">
        <v>610</v>
      </c>
      <c r="D267" s="36">
        <v>0</v>
      </c>
      <c r="E267" s="36">
        <v>11000</v>
      </c>
      <c r="F267" s="36">
        <f t="shared" ref="F267" si="90">D267+E267</f>
        <v>11000</v>
      </c>
      <c r="G267" s="37">
        <f t="shared" ref="G267" si="91">H267*J267</f>
        <v>153450</v>
      </c>
      <c r="H267" s="36">
        <f t="shared" ref="H267" si="92">F267-I267</f>
        <v>11000</v>
      </c>
      <c r="I267" s="36">
        <v>0</v>
      </c>
      <c r="J267" s="37">
        <v>13.95</v>
      </c>
      <c r="K267" s="37">
        <f t="shared" ref="K267" si="93">I267*J267</f>
        <v>0</v>
      </c>
      <c r="L267" s="83" t="s">
        <v>15</v>
      </c>
    </row>
    <row r="268" spans="1:12" ht="24" customHeight="1" x14ac:dyDescent="0.5">
      <c r="A268" s="92">
        <v>242</v>
      </c>
      <c r="B268" s="91" t="s">
        <v>420</v>
      </c>
      <c r="C268" s="59" t="s">
        <v>610</v>
      </c>
      <c r="D268" s="36">
        <v>0</v>
      </c>
      <c r="E268" s="36">
        <v>6480</v>
      </c>
      <c r="F268" s="36">
        <f t="shared" ref="F268" si="94">D268+E268</f>
        <v>6480</v>
      </c>
      <c r="G268" s="37">
        <f t="shared" ref="G268" si="95">H268*J268</f>
        <v>96876</v>
      </c>
      <c r="H268" s="36">
        <f t="shared" ref="H268" si="96">F268-I268</f>
        <v>6480</v>
      </c>
      <c r="I268" s="36">
        <v>0</v>
      </c>
      <c r="J268" s="37">
        <v>14.95</v>
      </c>
      <c r="K268" s="37">
        <f t="shared" ref="K268" si="97">I268*J268</f>
        <v>0</v>
      </c>
      <c r="L268" s="78" t="s">
        <v>716</v>
      </c>
    </row>
    <row r="269" spans="1:12" ht="24" customHeight="1" x14ac:dyDescent="0.5">
      <c r="A269" s="92">
        <v>243</v>
      </c>
      <c r="B269" s="91" t="s">
        <v>331</v>
      </c>
      <c r="C269" s="59" t="s">
        <v>610</v>
      </c>
      <c r="D269" s="36">
        <v>74</v>
      </c>
      <c r="E269" s="36">
        <v>0</v>
      </c>
      <c r="F269" s="36">
        <f>D269+E269</f>
        <v>74</v>
      </c>
      <c r="G269" s="37">
        <f>H269*J269</f>
        <v>0</v>
      </c>
      <c r="H269" s="36">
        <f>F269-I269</f>
        <v>0</v>
      </c>
      <c r="I269" s="36">
        <v>74</v>
      </c>
      <c r="J269" s="37">
        <v>200</v>
      </c>
      <c r="K269" s="37">
        <f>I269*J269</f>
        <v>14800</v>
      </c>
      <c r="L269" s="83"/>
    </row>
    <row r="270" spans="1:12" ht="24" customHeight="1" x14ac:dyDescent="0.5">
      <c r="A270" s="92">
        <v>244</v>
      </c>
      <c r="B270" s="91" t="s">
        <v>453</v>
      </c>
      <c r="C270" s="59" t="s">
        <v>606</v>
      </c>
      <c r="D270" s="36">
        <v>0</v>
      </c>
      <c r="E270" s="36">
        <v>50</v>
      </c>
      <c r="F270" s="36">
        <f t="shared" ref="F270:F286" si="98">D270+E270</f>
        <v>50</v>
      </c>
      <c r="G270" s="37">
        <f t="shared" ref="G270:G286" si="99">H270*J270</f>
        <v>13107.499999999998</v>
      </c>
      <c r="H270" s="36">
        <f t="shared" ref="H270:H286" si="100">F270-I270</f>
        <v>50</v>
      </c>
      <c r="I270" s="36">
        <v>0</v>
      </c>
      <c r="J270" s="37">
        <v>262.14999999999998</v>
      </c>
      <c r="K270" s="37">
        <f t="shared" ref="K270:K286" si="101">I270*J270</f>
        <v>0</v>
      </c>
      <c r="L270" s="62" t="s">
        <v>627</v>
      </c>
    </row>
    <row r="271" spans="1:12" ht="24" customHeight="1" x14ac:dyDescent="0.5">
      <c r="A271" s="92">
        <v>245</v>
      </c>
      <c r="B271" s="91" t="s">
        <v>573</v>
      </c>
      <c r="C271" s="59" t="s">
        <v>38</v>
      </c>
      <c r="D271" s="36">
        <v>0</v>
      </c>
      <c r="E271" s="36">
        <v>7</v>
      </c>
      <c r="F271" s="36">
        <f t="shared" si="98"/>
        <v>7</v>
      </c>
      <c r="G271" s="37">
        <f t="shared" si="99"/>
        <v>11130</v>
      </c>
      <c r="H271" s="36">
        <f t="shared" si="100"/>
        <v>7</v>
      </c>
      <c r="I271" s="36">
        <v>0</v>
      </c>
      <c r="J271" s="37">
        <v>1590</v>
      </c>
      <c r="K271" s="37">
        <f t="shared" si="101"/>
        <v>0</v>
      </c>
      <c r="L271" s="90" t="s">
        <v>731</v>
      </c>
    </row>
    <row r="272" spans="1:12" ht="24" customHeight="1" x14ac:dyDescent="0.5">
      <c r="A272" s="92">
        <v>246</v>
      </c>
      <c r="B272" s="91" t="s">
        <v>705</v>
      </c>
      <c r="C272" s="59" t="s">
        <v>38</v>
      </c>
      <c r="D272" s="36">
        <v>0</v>
      </c>
      <c r="E272" s="36">
        <v>10</v>
      </c>
      <c r="F272" s="36">
        <f t="shared" si="98"/>
        <v>10</v>
      </c>
      <c r="G272" s="37">
        <f t="shared" si="99"/>
        <v>105000</v>
      </c>
      <c r="H272" s="36">
        <f t="shared" si="100"/>
        <v>10</v>
      </c>
      <c r="I272" s="36">
        <v>0</v>
      </c>
      <c r="J272" s="37">
        <v>10500</v>
      </c>
      <c r="K272" s="37">
        <f t="shared" si="101"/>
        <v>0</v>
      </c>
      <c r="L272" s="90" t="s">
        <v>16</v>
      </c>
    </row>
    <row r="273" spans="1:12" ht="24" customHeight="1" x14ac:dyDescent="0.5">
      <c r="A273" s="92">
        <v>247</v>
      </c>
      <c r="B273" s="91" t="s">
        <v>706</v>
      </c>
      <c r="C273" s="59" t="s">
        <v>38</v>
      </c>
      <c r="D273" s="36">
        <v>0</v>
      </c>
      <c r="E273" s="36">
        <v>3</v>
      </c>
      <c r="F273" s="36">
        <f t="shared" si="98"/>
        <v>3</v>
      </c>
      <c r="G273" s="37">
        <f t="shared" si="99"/>
        <v>58800</v>
      </c>
      <c r="H273" s="36">
        <f t="shared" si="100"/>
        <v>3</v>
      </c>
      <c r="I273" s="36">
        <v>0</v>
      </c>
      <c r="J273" s="37">
        <v>19600</v>
      </c>
      <c r="K273" s="37">
        <f t="shared" si="101"/>
        <v>0</v>
      </c>
      <c r="L273" s="90"/>
    </row>
    <row r="274" spans="1:12" ht="24" customHeight="1" x14ac:dyDescent="0.5">
      <c r="A274" s="92">
        <v>248</v>
      </c>
      <c r="B274" s="91" t="s">
        <v>707</v>
      </c>
      <c r="C274" s="59" t="s">
        <v>38</v>
      </c>
      <c r="D274" s="36">
        <v>0</v>
      </c>
      <c r="E274" s="36">
        <v>100</v>
      </c>
      <c r="F274" s="36">
        <f t="shared" si="98"/>
        <v>100</v>
      </c>
      <c r="G274" s="37">
        <f t="shared" si="99"/>
        <v>75000</v>
      </c>
      <c r="H274" s="36">
        <f t="shared" si="100"/>
        <v>100</v>
      </c>
      <c r="I274" s="36">
        <v>0</v>
      </c>
      <c r="J274" s="37">
        <v>750</v>
      </c>
      <c r="K274" s="37">
        <f t="shared" si="101"/>
        <v>0</v>
      </c>
      <c r="L274" s="62" t="s">
        <v>627</v>
      </c>
    </row>
    <row r="275" spans="1:12" ht="24" customHeight="1" x14ac:dyDescent="0.5">
      <c r="A275" s="92">
        <v>249</v>
      </c>
      <c r="B275" s="91" t="s">
        <v>376</v>
      </c>
      <c r="C275" s="59" t="s">
        <v>606</v>
      </c>
      <c r="D275" s="36">
        <v>100</v>
      </c>
      <c r="E275" s="36">
        <v>360</v>
      </c>
      <c r="F275" s="36">
        <f t="shared" si="98"/>
        <v>460</v>
      </c>
      <c r="G275" s="37">
        <f t="shared" si="99"/>
        <v>97200</v>
      </c>
      <c r="H275" s="36">
        <f t="shared" si="100"/>
        <v>360</v>
      </c>
      <c r="I275" s="36">
        <v>100</v>
      </c>
      <c r="J275" s="37">
        <v>270</v>
      </c>
      <c r="K275" s="37">
        <f t="shared" si="101"/>
        <v>27000</v>
      </c>
      <c r="L275" s="83" t="s">
        <v>463</v>
      </c>
    </row>
    <row r="276" spans="1:12" ht="24" customHeight="1" x14ac:dyDescent="0.5">
      <c r="A276" s="92">
        <v>250</v>
      </c>
      <c r="B276" s="91" t="s">
        <v>377</v>
      </c>
      <c r="C276" s="59" t="s">
        <v>24</v>
      </c>
      <c r="D276" s="36">
        <v>0</v>
      </c>
      <c r="E276" s="36">
        <v>125</v>
      </c>
      <c r="F276" s="36">
        <f t="shared" si="98"/>
        <v>125</v>
      </c>
      <c r="G276" s="37">
        <f t="shared" si="99"/>
        <v>73450</v>
      </c>
      <c r="H276" s="36">
        <f t="shared" si="100"/>
        <v>113</v>
      </c>
      <c r="I276" s="36">
        <v>12</v>
      </c>
      <c r="J276" s="37">
        <v>650</v>
      </c>
      <c r="K276" s="37">
        <f t="shared" si="101"/>
        <v>7800</v>
      </c>
      <c r="L276" s="90" t="s">
        <v>17</v>
      </c>
    </row>
    <row r="277" spans="1:12" ht="24" customHeight="1" x14ac:dyDescent="0.5">
      <c r="A277" s="92">
        <v>251</v>
      </c>
      <c r="B277" s="91" t="s">
        <v>561</v>
      </c>
      <c r="C277" s="59" t="s">
        <v>50</v>
      </c>
      <c r="D277" s="36">
        <v>0</v>
      </c>
      <c r="E277" s="36">
        <v>100</v>
      </c>
      <c r="F277" s="36">
        <f t="shared" si="98"/>
        <v>100</v>
      </c>
      <c r="G277" s="37">
        <f t="shared" si="99"/>
        <v>38000</v>
      </c>
      <c r="H277" s="36">
        <f t="shared" si="100"/>
        <v>100</v>
      </c>
      <c r="I277" s="36">
        <v>0</v>
      </c>
      <c r="J277" s="37">
        <v>380</v>
      </c>
      <c r="K277" s="37">
        <f t="shared" si="101"/>
        <v>0</v>
      </c>
      <c r="L277" s="90"/>
    </row>
    <row r="278" spans="1:12" ht="24" customHeight="1" x14ac:dyDescent="0.5">
      <c r="A278" s="92">
        <v>252</v>
      </c>
      <c r="B278" s="91" t="s">
        <v>332</v>
      </c>
      <c r="C278" s="59" t="s">
        <v>38</v>
      </c>
      <c r="D278" s="36">
        <v>0</v>
      </c>
      <c r="E278" s="36">
        <v>20000</v>
      </c>
      <c r="F278" s="36">
        <f t="shared" si="98"/>
        <v>20000</v>
      </c>
      <c r="G278" s="37">
        <f t="shared" si="99"/>
        <v>320000</v>
      </c>
      <c r="H278" s="36">
        <f t="shared" si="100"/>
        <v>20000</v>
      </c>
      <c r="I278" s="36">
        <v>0</v>
      </c>
      <c r="J278" s="37">
        <v>16</v>
      </c>
      <c r="K278" s="37">
        <f t="shared" si="101"/>
        <v>0</v>
      </c>
      <c r="L278" s="62" t="s">
        <v>627</v>
      </c>
    </row>
    <row r="279" spans="1:12" ht="24" customHeight="1" x14ac:dyDescent="0.5">
      <c r="A279" s="92">
        <v>253</v>
      </c>
      <c r="B279" s="91" t="s">
        <v>334</v>
      </c>
      <c r="C279" s="59" t="s">
        <v>38</v>
      </c>
      <c r="D279" s="36">
        <v>0</v>
      </c>
      <c r="E279" s="36">
        <v>12500</v>
      </c>
      <c r="F279" s="36">
        <f t="shared" si="98"/>
        <v>12500</v>
      </c>
      <c r="G279" s="37">
        <f t="shared" si="99"/>
        <v>687500</v>
      </c>
      <c r="H279" s="36">
        <f t="shared" si="100"/>
        <v>12500</v>
      </c>
      <c r="I279" s="36">
        <v>0</v>
      </c>
      <c r="J279" s="37">
        <v>55</v>
      </c>
      <c r="K279" s="37">
        <f t="shared" si="101"/>
        <v>0</v>
      </c>
      <c r="L279" s="83" t="s">
        <v>462</v>
      </c>
    </row>
    <row r="280" spans="1:12" ht="24" customHeight="1" x14ac:dyDescent="0.5">
      <c r="A280" s="92">
        <v>254</v>
      </c>
      <c r="B280" s="91" t="s">
        <v>333</v>
      </c>
      <c r="C280" s="59" t="s">
        <v>38</v>
      </c>
      <c r="D280" s="36">
        <v>0</v>
      </c>
      <c r="E280" s="36">
        <v>8500</v>
      </c>
      <c r="F280" s="36">
        <f t="shared" si="98"/>
        <v>8500</v>
      </c>
      <c r="G280" s="37">
        <f t="shared" si="99"/>
        <v>442000</v>
      </c>
      <c r="H280" s="36">
        <f t="shared" si="100"/>
        <v>8500</v>
      </c>
      <c r="I280" s="36">
        <v>0</v>
      </c>
      <c r="J280" s="37">
        <v>52</v>
      </c>
      <c r="K280" s="37">
        <f t="shared" si="101"/>
        <v>0</v>
      </c>
      <c r="L280" s="83" t="s">
        <v>18</v>
      </c>
    </row>
    <row r="281" spans="1:12" ht="24" customHeight="1" x14ac:dyDescent="0.5">
      <c r="A281" s="92">
        <v>255</v>
      </c>
      <c r="B281" s="91" t="s">
        <v>559</v>
      </c>
      <c r="C281" s="59" t="s">
        <v>38</v>
      </c>
      <c r="D281" s="36">
        <v>0</v>
      </c>
      <c r="E281" s="36">
        <v>3</v>
      </c>
      <c r="F281" s="36">
        <f t="shared" si="98"/>
        <v>3</v>
      </c>
      <c r="G281" s="37">
        <f t="shared" si="99"/>
        <v>15600</v>
      </c>
      <c r="H281" s="36">
        <f t="shared" si="100"/>
        <v>3</v>
      </c>
      <c r="I281" s="36">
        <v>0</v>
      </c>
      <c r="J281" s="37">
        <v>5200</v>
      </c>
      <c r="K281" s="37">
        <f t="shared" si="101"/>
        <v>0</v>
      </c>
      <c r="L281" s="78"/>
    </row>
    <row r="282" spans="1:12" ht="24" customHeight="1" x14ac:dyDescent="0.5">
      <c r="A282" s="92">
        <v>256</v>
      </c>
      <c r="B282" s="91" t="s">
        <v>335</v>
      </c>
      <c r="C282" s="59" t="s">
        <v>611</v>
      </c>
      <c r="D282" s="36">
        <v>56</v>
      </c>
      <c r="E282" s="36">
        <v>0</v>
      </c>
      <c r="F282" s="36">
        <f t="shared" si="98"/>
        <v>56</v>
      </c>
      <c r="G282" s="37">
        <f t="shared" si="99"/>
        <v>60000</v>
      </c>
      <c r="H282" s="36">
        <f t="shared" si="100"/>
        <v>20</v>
      </c>
      <c r="I282" s="36">
        <v>36</v>
      </c>
      <c r="J282" s="37">
        <v>3000</v>
      </c>
      <c r="K282" s="37">
        <f t="shared" si="101"/>
        <v>108000</v>
      </c>
      <c r="L282" s="62" t="s">
        <v>627</v>
      </c>
    </row>
    <row r="283" spans="1:12" ht="24" customHeight="1" x14ac:dyDescent="0.5">
      <c r="A283" s="92">
        <v>257</v>
      </c>
      <c r="B283" s="91" t="s">
        <v>560</v>
      </c>
      <c r="C283" s="59" t="s">
        <v>38</v>
      </c>
      <c r="D283" s="36">
        <v>0</v>
      </c>
      <c r="E283" s="36">
        <v>15</v>
      </c>
      <c r="F283" s="36">
        <f t="shared" si="98"/>
        <v>15</v>
      </c>
      <c r="G283" s="37">
        <f t="shared" si="99"/>
        <v>27000</v>
      </c>
      <c r="H283" s="36">
        <f t="shared" si="100"/>
        <v>15</v>
      </c>
      <c r="I283" s="36">
        <v>0</v>
      </c>
      <c r="J283" s="37">
        <v>1800</v>
      </c>
      <c r="K283" s="37">
        <f t="shared" si="101"/>
        <v>0</v>
      </c>
      <c r="L283" s="78" t="s">
        <v>434</v>
      </c>
    </row>
    <row r="284" spans="1:12" ht="24" customHeight="1" x14ac:dyDescent="0.5">
      <c r="A284" s="92">
        <v>258</v>
      </c>
      <c r="B284" s="91" t="s">
        <v>447</v>
      </c>
      <c r="C284" s="59" t="s">
        <v>191</v>
      </c>
      <c r="D284" s="36">
        <v>0</v>
      </c>
      <c r="E284" s="36">
        <v>108</v>
      </c>
      <c r="F284" s="36">
        <f t="shared" si="98"/>
        <v>108</v>
      </c>
      <c r="G284" s="37">
        <f t="shared" si="99"/>
        <v>91800</v>
      </c>
      <c r="H284" s="36">
        <f t="shared" si="100"/>
        <v>108</v>
      </c>
      <c r="I284" s="36">
        <v>0</v>
      </c>
      <c r="J284" s="37">
        <v>850</v>
      </c>
      <c r="K284" s="37">
        <f t="shared" si="101"/>
        <v>0</v>
      </c>
      <c r="L284" s="83" t="s">
        <v>433</v>
      </c>
    </row>
    <row r="285" spans="1:12" ht="24" customHeight="1" x14ac:dyDescent="0.5">
      <c r="A285" s="92">
        <v>259</v>
      </c>
      <c r="B285" s="91" t="s">
        <v>448</v>
      </c>
      <c r="C285" s="59" t="s">
        <v>191</v>
      </c>
      <c r="D285" s="36">
        <v>0</v>
      </c>
      <c r="E285" s="36">
        <v>330</v>
      </c>
      <c r="F285" s="36">
        <f t="shared" si="98"/>
        <v>330</v>
      </c>
      <c r="G285" s="37">
        <f t="shared" si="99"/>
        <v>462000</v>
      </c>
      <c r="H285" s="36">
        <f t="shared" si="100"/>
        <v>330</v>
      </c>
      <c r="I285" s="36">
        <v>0</v>
      </c>
      <c r="J285" s="37">
        <v>1400</v>
      </c>
      <c r="K285" s="37">
        <f t="shared" si="101"/>
        <v>0</v>
      </c>
      <c r="L285" s="78"/>
    </row>
    <row r="286" spans="1:12" ht="24" customHeight="1" x14ac:dyDescent="0.5">
      <c r="A286" s="92">
        <v>260</v>
      </c>
      <c r="B286" s="91" t="s">
        <v>449</v>
      </c>
      <c r="C286" s="59" t="s">
        <v>191</v>
      </c>
      <c r="D286" s="36">
        <v>0</v>
      </c>
      <c r="E286" s="36">
        <v>60</v>
      </c>
      <c r="F286" s="36">
        <f t="shared" si="98"/>
        <v>60</v>
      </c>
      <c r="G286" s="37">
        <f t="shared" si="99"/>
        <v>96000</v>
      </c>
      <c r="H286" s="36">
        <f t="shared" si="100"/>
        <v>60</v>
      </c>
      <c r="I286" s="36">
        <v>0</v>
      </c>
      <c r="J286" s="37">
        <v>1600</v>
      </c>
      <c r="K286" s="37">
        <f t="shared" si="101"/>
        <v>0</v>
      </c>
      <c r="L286" s="62" t="s">
        <v>627</v>
      </c>
    </row>
    <row r="287" spans="1:12" ht="24" customHeight="1" x14ac:dyDescent="0.5">
      <c r="A287" s="92"/>
      <c r="B287" s="53" t="s">
        <v>432</v>
      </c>
      <c r="C287" s="65"/>
      <c r="D287" s="38"/>
      <c r="E287" s="38"/>
      <c r="F287" s="38"/>
      <c r="G287" s="39">
        <f>SUM(G267:G286)</f>
        <v>2923913.5</v>
      </c>
      <c r="H287" s="38"/>
      <c r="I287" s="38"/>
      <c r="J287" s="39"/>
      <c r="K287" s="39">
        <f>SUM(K267:K286)</f>
        <v>157600</v>
      </c>
      <c r="L287" s="78" t="s">
        <v>503</v>
      </c>
    </row>
    <row r="288" spans="1:12" ht="24" customHeight="1" x14ac:dyDescent="0.5">
      <c r="B288" s="93"/>
      <c r="C288" s="79"/>
      <c r="D288" s="40"/>
      <c r="E288" s="40"/>
      <c r="F288" s="40"/>
      <c r="G288" s="41"/>
      <c r="H288" s="40"/>
      <c r="I288" s="40"/>
      <c r="J288" s="41"/>
      <c r="K288" s="41"/>
      <c r="L288" s="83" t="s">
        <v>435</v>
      </c>
    </row>
    <row r="289" spans="1:12" ht="24" customHeight="1" x14ac:dyDescent="0.5">
      <c r="A289" s="92">
        <v>261</v>
      </c>
      <c r="B289" s="91" t="s">
        <v>450</v>
      </c>
      <c r="C289" s="59" t="s">
        <v>191</v>
      </c>
      <c r="D289" s="36">
        <v>0</v>
      </c>
      <c r="E289" s="36">
        <v>165</v>
      </c>
      <c r="F289" s="36">
        <f t="shared" ref="F289" si="102">D289+E289</f>
        <v>165</v>
      </c>
      <c r="G289" s="37">
        <f t="shared" ref="G289" si="103">H289*J289</f>
        <v>67650</v>
      </c>
      <c r="H289" s="36">
        <f t="shared" ref="H289" si="104">F289-I289</f>
        <v>165</v>
      </c>
      <c r="I289" s="36">
        <v>0</v>
      </c>
      <c r="J289" s="37">
        <v>410</v>
      </c>
      <c r="K289" s="37">
        <f t="shared" ref="K289" si="105">I289*J289</f>
        <v>0</v>
      </c>
      <c r="L289" s="83" t="s">
        <v>15</v>
      </c>
    </row>
    <row r="290" spans="1:12" ht="24" customHeight="1" x14ac:dyDescent="0.5">
      <c r="A290" s="92">
        <v>262</v>
      </c>
      <c r="B290" s="91" t="s">
        <v>451</v>
      </c>
      <c r="C290" s="59" t="s">
        <v>191</v>
      </c>
      <c r="D290" s="36">
        <v>0</v>
      </c>
      <c r="E290" s="36">
        <v>240</v>
      </c>
      <c r="F290" s="36">
        <f t="shared" ref="F290" si="106">D290+E290</f>
        <v>240</v>
      </c>
      <c r="G290" s="37">
        <f t="shared" ref="G290" si="107">H290*J290</f>
        <v>120000</v>
      </c>
      <c r="H290" s="36">
        <f t="shared" ref="H290" si="108">F290-I290</f>
        <v>240</v>
      </c>
      <c r="I290" s="36">
        <v>0</v>
      </c>
      <c r="J290" s="37">
        <v>500</v>
      </c>
      <c r="K290" s="37">
        <f t="shared" ref="K290" si="109">I290*J290</f>
        <v>0</v>
      </c>
      <c r="L290" s="78" t="s">
        <v>716</v>
      </c>
    </row>
    <row r="291" spans="1:12" ht="24" customHeight="1" x14ac:dyDescent="0.5">
      <c r="A291" s="92">
        <v>263</v>
      </c>
      <c r="B291" s="91" t="s">
        <v>452</v>
      </c>
      <c r="C291" s="59" t="s">
        <v>191</v>
      </c>
      <c r="D291" s="36">
        <v>0</v>
      </c>
      <c r="E291" s="36">
        <v>300</v>
      </c>
      <c r="F291" s="36">
        <f>D291+E291</f>
        <v>300</v>
      </c>
      <c r="G291" s="37">
        <f>H291*J291</f>
        <v>255000</v>
      </c>
      <c r="H291" s="36">
        <f>F291-I291</f>
        <v>300</v>
      </c>
      <c r="I291" s="36">
        <v>0</v>
      </c>
      <c r="J291" s="37">
        <v>850</v>
      </c>
      <c r="K291" s="37">
        <f>I291*J291</f>
        <v>0</v>
      </c>
      <c r="L291" s="83"/>
    </row>
    <row r="292" spans="1:12" ht="24" customHeight="1" x14ac:dyDescent="0.5">
      <c r="A292" s="92">
        <v>264</v>
      </c>
      <c r="B292" s="91" t="s">
        <v>336</v>
      </c>
      <c r="C292" s="59" t="s">
        <v>191</v>
      </c>
      <c r="D292" s="36">
        <v>0</v>
      </c>
      <c r="E292" s="36">
        <v>120</v>
      </c>
      <c r="F292" s="36">
        <f t="shared" ref="F292:F308" si="110">D292+E292</f>
        <v>120</v>
      </c>
      <c r="G292" s="37">
        <f t="shared" ref="G292:G308" si="111">H292*J292</f>
        <v>596700</v>
      </c>
      <c r="H292" s="36">
        <f t="shared" ref="H292:H308" si="112">F292-I292</f>
        <v>117</v>
      </c>
      <c r="I292" s="36">
        <v>3</v>
      </c>
      <c r="J292" s="37">
        <v>5100</v>
      </c>
      <c r="K292" s="37">
        <f t="shared" ref="K292:K308" si="113">I292*J292</f>
        <v>15300</v>
      </c>
      <c r="L292" s="62" t="s">
        <v>627</v>
      </c>
    </row>
    <row r="293" spans="1:12" ht="24" customHeight="1" x14ac:dyDescent="0.5">
      <c r="A293" s="92">
        <v>265</v>
      </c>
      <c r="B293" s="91" t="s">
        <v>337</v>
      </c>
      <c r="C293" s="59" t="s">
        <v>191</v>
      </c>
      <c r="D293" s="36">
        <v>0</v>
      </c>
      <c r="E293" s="36">
        <v>75</v>
      </c>
      <c r="F293" s="36">
        <f t="shared" si="110"/>
        <v>75</v>
      </c>
      <c r="G293" s="37">
        <f t="shared" si="111"/>
        <v>133170</v>
      </c>
      <c r="H293" s="36">
        <f t="shared" si="112"/>
        <v>69</v>
      </c>
      <c r="I293" s="36">
        <v>6</v>
      </c>
      <c r="J293" s="37">
        <v>1930</v>
      </c>
      <c r="K293" s="37">
        <f t="shared" si="113"/>
        <v>11580</v>
      </c>
      <c r="L293" s="90" t="s">
        <v>731</v>
      </c>
    </row>
    <row r="294" spans="1:12" ht="24" customHeight="1" x14ac:dyDescent="0.5">
      <c r="A294" s="92">
        <v>266</v>
      </c>
      <c r="B294" s="91" t="s">
        <v>338</v>
      </c>
      <c r="C294" s="59" t="s">
        <v>191</v>
      </c>
      <c r="D294" s="36">
        <v>6</v>
      </c>
      <c r="E294" s="36">
        <v>120</v>
      </c>
      <c r="F294" s="36">
        <f t="shared" si="110"/>
        <v>126</v>
      </c>
      <c r="G294" s="37">
        <f t="shared" si="111"/>
        <v>428040</v>
      </c>
      <c r="H294" s="36">
        <f t="shared" si="112"/>
        <v>123</v>
      </c>
      <c r="I294" s="36">
        <v>3</v>
      </c>
      <c r="J294" s="37">
        <v>3480</v>
      </c>
      <c r="K294" s="37">
        <f t="shared" si="113"/>
        <v>10440</v>
      </c>
      <c r="L294" s="90" t="s">
        <v>16</v>
      </c>
    </row>
    <row r="295" spans="1:12" ht="24" customHeight="1" x14ac:dyDescent="0.5">
      <c r="A295" s="92">
        <v>267</v>
      </c>
      <c r="B295" s="91" t="s">
        <v>339</v>
      </c>
      <c r="C295" s="59" t="s">
        <v>191</v>
      </c>
      <c r="D295" s="36">
        <v>0</v>
      </c>
      <c r="E295" s="36">
        <v>50</v>
      </c>
      <c r="F295" s="36">
        <f t="shared" si="110"/>
        <v>50</v>
      </c>
      <c r="G295" s="37">
        <f t="shared" si="111"/>
        <v>280280</v>
      </c>
      <c r="H295" s="36">
        <f t="shared" si="112"/>
        <v>44</v>
      </c>
      <c r="I295" s="36">
        <v>6</v>
      </c>
      <c r="J295" s="37">
        <v>6370</v>
      </c>
      <c r="K295" s="37">
        <f t="shared" si="113"/>
        <v>38220</v>
      </c>
      <c r="L295" s="90"/>
    </row>
    <row r="296" spans="1:12" ht="24" customHeight="1" x14ac:dyDescent="0.5">
      <c r="A296" s="92">
        <v>268</v>
      </c>
      <c r="B296" s="91" t="s">
        <v>340</v>
      </c>
      <c r="C296" s="59" t="s">
        <v>191</v>
      </c>
      <c r="D296" s="36">
        <v>7</v>
      </c>
      <c r="E296" s="36">
        <v>75</v>
      </c>
      <c r="F296" s="36">
        <f t="shared" si="110"/>
        <v>82</v>
      </c>
      <c r="G296" s="37">
        <f t="shared" si="111"/>
        <v>195840</v>
      </c>
      <c r="H296" s="36">
        <f t="shared" si="112"/>
        <v>72</v>
      </c>
      <c r="I296" s="36">
        <v>10</v>
      </c>
      <c r="J296" s="37">
        <v>2720</v>
      </c>
      <c r="K296" s="37">
        <f t="shared" si="113"/>
        <v>27200</v>
      </c>
      <c r="L296" s="62" t="s">
        <v>627</v>
      </c>
    </row>
    <row r="297" spans="1:12" ht="24" customHeight="1" x14ac:dyDescent="0.5">
      <c r="A297" s="92">
        <v>269</v>
      </c>
      <c r="B297" s="91" t="s">
        <v>341</v>
      </c>
      <c r="C297" s="59" t="s">
        <v>191</v>
      </c>
      <c r="D297" s="36">
        <v>4</v>
      </c>
      <c r="E297" s="36">
        <v>0</v>
      </c>
      <c r="F297" s="36">
        <f t="shared" si="110"/>
        <v>4</v>
      </c>
      <c r="G297" s="37">
        <f t="shared" si="111"/>
        <v>0</v>
      </c>
      <c r="H297" s="36">
        <f t="shared" si="112"/>
        <v>0</v>
      </c>
      <c r="I297" s="36">
        <v>4</v>
      </c>
      <c r="J297" s="37">
        <v>1140.5</v>
      </c>
      <c r="K297" s="37">
        <f t="shared" si="113"/>
        <v>4562</v>
      </c>
      <c r="L297" s="83" t="s">
        <v>463</v>
      </c>
    </row>
    <row r="298" spans="1:12" ht="24" customHeight="1" x14ac:dyDescent="0.5">
      <c r="A298" s="92">
        <v>270</v>
      </c>
      <c r="B298" s="91" t="s">
        <v>342</v>
      </c>
      <c r="C298" s="59" t="s">
        <v>191</v>
      </c>
      <c r="D298" s="36">
        <v>12</v>
      </c>
      <c r="E298" s="36">
        <v>35</v>
      </c>
      <c r="F298" s="36">
        <f t="shared" si="110"/>
        <v>47</v>
      </c>
      <c r="G298" s="37">
        <f t="shared" si="111"/>
        <v>62350</v>
      </c>
      <c r="H298" s="36">
        <f t="shared" si="112"/>
        <v>43</v>
      </c>
      <c r="I298" s="36">
        <v>4</v>
      </c>
      <c r="J298" s="37">
        <v>1450</v>
      </c>
      <c r="K298" s="37">
        <f t="shared" si="113"/>
        <v>5800</v>
      </c>
      <c r="L298" s="90" t="s">
        <v>17</v>
      </c>
    </row>
    <row r="299" spans="1:12" ht="24" customHeight="1" x14ac:dyDescent="0.5">
      <c r="A299" s="92">
        <v>271</v>
      </c>
      <c r="B299" s="91" t="s">
        <v>343</v>
      </c>
      <c r="C299" s="59" t="s">
        <v>191</v>
      </c>
      <c r="D299" s="36">
        <v>0</v>
      </c>
      <c r="E299" s="36">
        <v>30</v>
      </c>
      <c r="F299" s="36">
        <f t="shared" si="110"/>
        <v>30</v>
      </c>
      <c r="G299" s="37">
        <f t="shared" si="111"/>
        <v>49500</v>
      </c>
      <c r="H299" s="36">
        <f t="shared" si="112"/>
        <v>30</v>
      </c>
      <c r="I299" s="36">
        <v>0</v>
      </c>
      <c r="J299" s="37">
        <v>1650</v>
      </c>
      <c r="K299" s="37">
        <f t="shared" si="113"/>
        <v>0</v>
      </c>
      <c r="L299" s="90"/>
    </row>
    <row r="300" spans="1:12" ht="24" customHeight="1" x14ac:dyDescent="0.5">
      <c r="A300" s="92">
        <v>272</v>
      </c>
      <c r="B300" s="91" t="s">
        <v>344</v>
      </c>
      <c r="C300" s="59" t="s">
        <v>191</v>
      </c>
      <c r="D300" s="36">
        <v>12</v>
      </c>
      <c r="E300" s="36">
        <v>0</v>
      </c>
      <c r="F300" s="36">
        <f t="shared" si="110"/>
        <v>12</v>
      </c>
      <c r="G300" s="37">
        <f t="shared" si="111"/>
        <v>12152</v>
      </c>
      <c r="H300" s="36">
        <f t="shared" si="112"/>
        <v>7</v>
      </c>
      <c r="I300" s="36">
        <v>5</v>
      </c>
      <c r="J300" s="37">
        <v>1736</v>
      </c>
      <c r="K300" s="37">
        <f t="shared" si="113"/>
        <v>8680</v>
      </c>
      <c r="L300" s="62" t="s">
        <v>627</v>
      </c>
    </row>
    <row r="301" spans="1:12" ht="24" customHeight="1" x14ac:dyDescent="0.5">
      <c r="A301" s="92">
        <v>273</v>
      </c>
      <c r="B301" s="91" t="s">
        <v>345</v>
      </c>
      <c r="C301" s="59" t="s">
        <v>191</v>
      </c>
      <c r="D301" s="36">
        <v>12</v>
      </c>
      <c r="E301" s="36">
        <v>85</v>
      </c>
      <c r="F301" s="36">
        <f t="shared" si="110"/>
        <v>97</v>
      </c>
      <c r="G301" s="37">
        <f t="shared" si="111"/>
        <v>40020</v>
      </c>
      <c r="H301" s="36">
        <f t="shared" si="112"/>
        <v>87</v>
      </c>
      <c r="I301" s="36">
        <v>10</v>
      </c>
      <c r="J301" s="37">
        <v>460</v>
      </c>
      <c r="K301" s="37">
        <f t="shared" si="113"/>
        <v>4600</v>
      </c>
      <c r="L301" s="83" t="s">
        <v>462</v>
      </c>
    </row>
    <row r="302" spans="1:12" ht="24" customHeight="1" x14ac:dyDescent="0.5">
      <c r="A302" s="92">
        <v>274</v>
      </c>
      <c r="B302" s="91" t="s">
        <v>346</v>
      </c>
      <c r="C302" s="59" t="s">
        <v>191</v>
      </c>
      <c r="D302" s="36">
        <v>20</v>
      </c>
      <c r="E302" s="36">
        <v>0</v>
      </c>
      <c r="F302" s="36">
        <f t="shared" si="110"/>
        <v>20</v>
      </c>
      <c r="G302" s="37">
        <f t="shared" si="111"/>
        <v>4500</v>
      </c>
      <c r="H302" s="36">
        <f t="shared" si="112"/>
        <v>10</v>
      </c>
      <c r="I302" s="36">
        <v>10</v>
      </c>
      <c r="J302" s="37">
        <v>450</v>
      </c>
      <c r="K302" s="37">
        <f t="shared" si="113"/>
        <v>4500</v>
      </c>
      <c r="L302" s="83" t="s">
        <v>18</v>
      </c>
    </row>
    <row r="303" spans="1:12" ht="24" customHeight="1" x14ac:dyDescent="0.5">
      <c r="A303" s="92">
        <v>275</v>
      </c>
      <c r="B303" s="91" t="s">
        <v>347</v>
      </c>
      <c r="C303" s="59" t="s">
        <v>191</v>
      </c>
      <c r="D303" s="36">
        <v>7</v>
      </c>
      <c r="E303" s="36">
        <v>55</v>
      </c>
      <c r="F303" s="36">
        <f t="shared" si="110"/>
        <v>62</v>
      </c>
      <c r="G303" s="37">
        <f t="shared" si="111"/>
        <v>32480</v>
      </c>
      <c r="H303" s="36">
        <f t="shared" si="112"/>
        <v>56</v>
      </c>
      <c r="I303" s="36">
        <v>6</v>
      </c>
      <c r="J303" s="37">
        <v>580</v>
      </c>
      <c r="K303" s="37">
        <f t="shared" si="113"/>
        <v>3480</v>
      </c>
      <c r="L303" s="78"/>
    </row>
    <row r="304" spans="1:12" ht="24" customHeight="1" x14ac:dyDescent="0.5">
      <c r="A304" s="92">
        <v>276</v>
      </c>
      <c r="B304" s="91" t="s">
        <v>348</v>
      </c>
      <c r="C304" s="59" t="s">
        <v>191</v>
      </c>
      <c r="D304" s="36">
        <v>6</v>
      </c>
      <c r="E304" s="36">
        <v>40</v>
      </c>
      <c r="F304" s="36">
        <f t="shared" si="110"/>
        <v>46</v>
      </c>
      <c r="G304" s="37">
        <f t="shared" si="111"/>
        <v>16020</v>
      </c>
      <c r="H304" s="36">
        <f t="shared" si="112"/>
        <v>18</v>
      </c>
      <c r="I304" s="36">
        <v>28</v>
      </c>
      <c r="J304" s="37">
        <v>890</v>
      </c>
      <c r="K304" s="37">
        <f t="shared" si="113"/>
        <v>24920</v>
      </c>
      <c r="L304" s="62" t="s">
        <v>627</v>
      </c>
    </row>
    <row r="305" spans="1:12" ht="24" customHeight="1" x14ac:dyDescent="0.5">
      <c r="A305" s="92">
        <v>277</v>
      </c>
      <c r="B305" s="91" t="s">
        <v>349</v>
      </c>
      <c r="C305" s="59" t="s">
        <v>191</v>
      </c>
      <c r="D305" s="36">
        <v>24</v>
      </c>
      <c r="E305" s="36">
        <v>40</v>
      </c>
      <c r="F305" s="36">
        <f t="shared" si="110"/>
        <v>64</v>
      </c>
      <c r="G305" s="37">
        <f t="shared" si="111"/>
        <v>49800</v>
      </c>
      <c r="H305" s="36">
        <f t="shared" si="112"/>
        <v>60</v>
      </c>
      <c r="I305" s="36">
        <v>4</v>
      </c>
      <c r="J305" s="37">
        <v>830</v>
      </c>
      <c r="K305" s="37">
        <f t="shared" si="113"/>
        <v>3320</v>
      </c>
      <c r="L305" s="78" t="s">
        <v>434</v>
      </c>
    </row>
    <row r="306" spans="1:12" ht="24" customHeight="1" x14ac:dyDescent="0.5">
      <c r="A306" s="92">
        <v>278</v>
      </c>
      <c r="B306" s="91" t="s">
        <v>562</v>
      </c>
      <c r="C306" s="59" t="s">
        <v>50</v>
      </c>
      <c r="D306" s="36">
        <v>0</v>
      </c>
      <c r="E306" s="36">
        <v>15</v>
      </c>
      <c r="F306" s="36">
        <f t="shared" si="110"/>
        <v>15</v>
      </c>
      <c r="G306" s="37">
        <f t="shared" si="111"/>
        <v>49500</v>
      </c>
      <c r="H306" s="36">
        <f t="shared" si="112"/>
        <v>15</v>
      </c>
      <c r="I306" s="36">
        <v>0</v>
      </c>
      <c r="J306" s="37">
        <v>3300</v>
      </c>
      <c r="K306" s="37">
        <f t="shared" si="113"/>
        <v>0</v>
      </c>
      <c r="L306" s="83" t="s">
        <v>433</v>
      </c>
    </row>
    <row r="307" spans="1:12" ht="24" customHeight="1" x14ac:dyDescent="0.5">
      <c r="A307" s="92">
        <v>279</v>
      </c>
      <c r="B307" s="91" t="s">
        <v>708</v>
      </c>
      <c r="C307" s="59" t="s">
        <v>50</v>
      </c>
      <c r="D307" s="36">
        <v>0</v>
      </c>
      <c r="E307" s="36">
        <v>20</v>
      </c>
      <c r="F307" s="36">
        <f t="shared" si="110"/>
        <v>20</v>
      </c>
      <c r="G307" s="37">
        <f t="shared" si="111"/>
        <v>5000</v>
      </c>
      <c r="H307" s="36">
        <f t="shared" si="112"/>
        <v>20</v>
      </c>
      <c r="I307" s="36">
        <v>0</v>
      </c>
      <c r="J307" s="37">
        <v>250</v>
      </c>
      <c r="K307" s="37">
        <f t="shared" si="113"/>
        <v>0</v>
      </c>
      <c r="L307" s="78"/>
    </row>
    <row r="308" spans="1:12" ht="24" customHeight="1" x14ac:dyDescent="0.5">
      <c r="A308" s="92">
        <v>280</v>
      </c>
      <c r="B308" s="91" t="s">
        <v>709</v>
      </c>
      <c r="C308" s="59" t="s">
        <v>50</v>
      </c>
      <c r="D308" s="36">
        <v>0</v>
      </c>
      <c r="E308" s="36">
        <v>10</v>
      </c>
      <c r="F308" s="36">
        <f t="shared" si="110"/>
        <v>10</v>
      </c>
      <c r="G308" s="37">
        <f t="shared" si="111"/>
        <v>56900</v>
      </c>
      <c r="H308" s="36">
        <f t="shared" si="112"/>
        <v>10</v>
      </c>
      <c r="I308" s="36">
        <v>0</v>
      </c>
      <c r="J308" s="37">
        <v>5690</v>
      </c>
      <c r="K308" s="37">
        <f t="shared" si="113"/>
        <v>0</v>
      </c>
      <c r="L308" s="62" t="s">
        <v>627</v>
      </c>
    </row>
    <row r="309" spans="1:12" ht="24" customHeight="1" x14ac:dyDescent="0.5">
      <c r="A309" s="92"/>
      <c r="B309" s="53" t="s">
        <v>432</v>
      </c>
      <c r="C309" s="65"/>
      <c r="D309" s="38"/>
      <c r="E309" s="38"/>
      <c r="F309" s="38"/>
      <c r="G309" s="39">
        <f>SUM(G289:G308)</f>
        <v>2454902</v>
      </c>
      <c r="H309" s="38"/>
      <c r="I309" s="38"/>
      <c r="J309" s="39"/>
      <c r="K309" s="39">
        <f>SUM(K289:K308)</f>
        <v>162602</v>
      </c>
      <c r="L309" s="78" t="s">
        <v>503</v>
      </c>
    </row>
    <row r="310" spans="1:12" ht="24" customHeight="1" x14ac:dyDescent="0.5">
      <c r="B310" s="93"/>
      <c r="C310" s="79"/>
      <c r="D310" s="40"/>
      <c r="E310" s="40"/>
      <c r="F310" s="40"/>
      <c r="G310" s="41"/>
      <c r="H310" s="40"/>
      <c r="I310" s="40"/>
      <c r="J310" s="41"/>
      <c r="K310" s="41"/>
      <c r="L310" s="83" t="s">
        <v>435</v>
      </c>
    </row>
    <row r="311" spans="1:12" ht="24" customHeight="1" x14ac:dyDescent="0.5">
      <c r="A311" s="92">
        <v>281</v>
      </c>
      <c r="B311" s="91" t="s">
        <v>350</v>
      </c>
      <c r="C311" s="59" t="s">
        <v>611</v>
      </c>
      <c r="D311" s="36">
        <v>30</v>
      </c>
      <c r="E311" s="36">
        <v>0</v>
      </c>
      <c r="F311" s="36">
        <f t="shared" ref="F311" si="114">D311+E311</f>
        <v>30</v>
      </c>
      <c r="G311" s="37">
        <f t="shared" ref="G311" si="115">H311*J311</f>
        <v>0</v>
      </c>
      <c r="H311" s="36">
        <f t="shared" ref="H311" si="116">F311-I311</f>
        <v>0</v>
      </c>
      <c r="I311" s="36">
        <v>30</v>
      </c>
      <c r="J311" s="37">
        <v>2700</v>
      </c>
      <c r="K311" s="37">
        <f t="shared" ref="K311" si="117">I311*J311</f>
        <v>81000</v>
      </c>
      <c r="L311" s="83" t="s">
        <v>15</v>
      </c>
    </row>
    <row r="312" spans="1:12" ht="24" customHeight="1" x14ac:dyDescent="0.5">
      <c r="A312" s="92">
        <v>282</v>
      </c>
      <c r="B312" s="91" t="s">
        <v>351</v>
      </c>
      <c r="C312" s="59" t="s">
        <v>606</v>
      </c>
      <c r="D312" s="36">
        <v>0</v>
      </c>
      <c r="E312" s="36">
        <v>15</v>
      </c>
      <c r="F312" s="36">
        <f t="shared" ref="F312" si="118">D312+E312</f>
        <v>15</v>
      </c>
      <c r="G312" s="37">
        <f t="shared" ref="G312" si="119">H312*J312</f>
        <v>240750</v>
      </c>
      <c r="H312" s="36">
        <f t="shared" ref="H312" si="120">F312-I312</f>
        <v>15</v>
      </c>
      <c r="I312" s="36">
        <v>0</v>
      </c>
      <c r="J312" s="37">
        <v>16050</v>
      </c>
      <c r="K312" s="37">
        <f t="shared" ref="K312" si="121">I312*J312</f>
        <v>0</v>
      </c>
      <c r="L312" s="78" t="s">
        <v>716</v>
      </c>
    </row>
    <row r="313" spans="1:12" ht="24" customHeight="1" x14ac:dyDescent="0.5">
      <c r="A313" s="92">
        <v>283</v>
      </c>
      <c r="B313" s="91" t="s">
        <v>499</v>
      </c>
      <c r="C313" s="59" t="s">
        <v>606</v>
      </c>
      <c r="D313" s="36">
        <v>0</v>
      </c>
      <c r="E313" s="36">
        <v>10</v>
      </c>
      <c r="F313" s="36">
        <f>D313+E313</f>
        <v>10</v>
      </c>
      <c r="G313" s="37">
        <f>H313*J313</f>
        <v>22000</v>
      </c>
      <c r="H313" s="36">
        <f>F313-I313</f>
        <v>10</v>
      </c>
      <c r="I313" s="36">
        <v>0</v>
      </c>
      <c r="J313" s="37">
        <v>2200</v>
      </c>
      <c r="K313" s="37">
        <f>I313*J313</f>
        <v>0</v>
      </c>
      <c r="L313" s="83"/>
    </row>
    <row r="314" spans="1:12" ht="24" customHeight="1" x14ac:dyDescent="0.5">
      <c r="A314" s="92">
        <v>284</v>
      </c>
      <c r="B314" s="91" t="s">
        <v>352</v>
      </c>
      <c r="C314" s="59" t="s">
        <v>606</v>
      </c>
      <c r="D314" s="36">
        <v>0</v>
      </c>
      <c r="E314" s="36">
        <v>100</v>
      </c>
      <c r="F314" s="36">
        <f t="shared" ref="F314:F330" si="122">D314+E314</f>
        <v>100</v>
      </c>
      <c r="G314" s="37">
        <f t="shared" ref="G314:G330" si="123">H314*J314</f>
        <v>1350</v>
      </c>
      <c r="H314" s="36">
        <f t="shared" ref="H314:H330" si="124">F314-I314</f>
        <v>30</v>
      </c>
      <c r="I314" s="36">
        <v>70</v>
      </c>
      <c r="J314" s="37">
        <v>45</v>
      </c>
      <c r="K314" s="37">
        <f t="shared" ref="K314:K330" si="125">I314*J314</f>
        <v>3150</v>
      </c>
      <c r="L314" s="62" t="s">
        <v>627</v>
      </c>
    </row>
    <row r="315" spans="1:12" ht="24" customHeight="1" x14ac:dyDescent="0.5">
      <c r="A315" s="92">
        <v>285</v>
      </c>
      <c r="B315" s="91" t="s">
        <v>421</v>
      </c>
      <c r="C315" s="59" t="s">
        <v>624</v>
      </c>
      <c r="D315" s="36">
        <v>0</v>
      </c>
      <c r="E315" s="36">
        <v>200</v>
      </c>
      <c r="F315" s="36">
        <f t="shared" si="122"/>
        <v>200</v>
      </c>
      <c r="G315" s="37">
        <f t="shared" si="123"/>
        <v>60000</v>
      </c>
      <c r="H315" s="36">
        <f t="shared" si="124"/>
        <v>200</v>
      </c>
      <c r="I315" s="36">
        <v>0</v>
      </c>
      <c r="J315" s="37">
        <v>300</v>
      </c>
      <c r="K315" s="37">
        <f t="shared" si="125"/>
        <v>0</v>
      </c>
      <c r="L315" s="90" t="s">
        <v>731</v>
      </c>
    </row>
    <row r="316" spans="1:12" ht="24" customHeight="1" x14ac:dyDescent="0.5">
      <c r="A316" s="92">
        <v>286</v>
      </c>
      <c r="B316" s="91" t="s">
        <v>710</v>
      </c>
      <c r="C316" s="59" t="s">
        <v>610</v>
      </c>
      <c r="D316" s="36">
        <v>0</v>
      </c>
      <c r="E316" s="36">
        <v>1000</v>
      </c>
      <c r="F316" s="36">
        <f t="shared" si="122"/>
        <v>1000</v>
      </c>
      <c r="G316" s="37">
        <f t="shared" si="123"/>
        <v>37000</v>
      </c>
      <c r="H316" s="36">
        <f t="shared" si="124"/>
        <v>1000</v>
      </c>
      <c r="I316" s="36">
        <v>0</v>
      </c>
      <c r="J316" s="37">
        <v>37</v>
      </c>
      <c r="K316" s="37">
        <f t="shared" si="125"/>
        <v>0</v>
      </c>
      <c r="L316" s="90" t="s">
        <v>16</v>
      </c>
    </row>
    <row r="317" spans="1:12" ht="24" customHeight="1" x14ac:dyDescent="0.5">
      <c r="A317" s="92">
        <v>287</v>
      </c>
      <c r="B317" s="91" t="s">
        <v>500</v>
      </c>
      <c r="C317" s="59" t="s">
        <v>607</v>
      </c>
      <c r="D317" s="36">
        <v>0</v>
      </c>
      <c r="E317" s="36">
        <v>2</v>
      </c>
      <c r="F317" s="36">
        <f t="shared" si="122"/>
        <v>2</v>
      </c>
      <c r="G317" s="37">
        <f t="shared" si="123"/>
        <v>17000</v>
      </c>
      <c r="H317" s="36">
        <f t="shared" si="124"/>
        <v>2</v>
      </c>
      <c r="I317" s="36">
        <v>0</v>
      </c>
      <c r="J317" s="37">
        <v>8500</v>
      </c>
      <c r="K317" s="37">
        <f t="shared" si="125"/>
        <v>0</v>
      </c>
      <c r="L317" s="90"/>
    </row>
    <row r="318" spans="1:12" ht="24" customHeight="1" x14ac:dyDescent="0.5">
      <c r="A318" s="92">
        <v>288</v>
      </c>
      <c r="B318" s="91" t="s">
        <v>353</v>
      </c>
      <c r="C318" s="59" t="s">
        <v>24</v>
      </c>
      <c r="D318" s="36">
        <v>0</v>
      </c>
      <c r="E318" s="36">
        <v>390</v>
      </c>
      <c r="F318" s="36">
        <f t="shared" si="122"/>
        <v>390</v>
      </c>
      <c r="G318" s="37">
        <f t="shared" si="123"/>
        <v>1404000</v>
      </c>
      <c r="H318" s="36">
        <f t="shared" si="124"/>
        <v>390</v>
      </c>
      <c r="I318" s="36">
        <v>0</v>
      </c>
      <c r="J318" s="37">
        <v>3600</v>
      </c>
      <c r="K318" s="37">
        <f t="shared" si="125"/>
        <v>0</v>
      </c>
      <c r="L318" s="62" t="s">
        <v>627</v>
      </c>
    </row>
    <row r="319" spans="1:12" ht="24" customHeight="1" x14ac:dyDescent="0.5">
      <c r="A319" s="92">
        <v>289</v>
      </c>
      <c r="B319" s="91" t="s">
        <v>395</v>
      </c>
      <c r="C319" s="59" t="s">
        <v>606</v>
      </c>
      <c r="D319" s="36">
        <v>0</v>
      </c>
      <c r="E319" s="36">
        <v>70</v>
      </c>
      <c r="F319" s="36">
        <f t="shared" si="122"/>
        <v>70</v>
      </c>
      <c r="G319" s="37">
        <f t="shared" si="123"/>
        <v>1176000</v>
      </c>
      <c r="H319" s="36">
        <f t="shared" si="124"/>
        <v>70</v>
      </c>
      <c r="I319" s="36">
        <v>0</v>
      </c>
      <c r="J319" s="37">
        <v>16800</v>
      </c>
      <c r="K319" s="37">
        <f t="shared" si="125"/>
        <v>0</v>
      </c>
      <c r="L319" s="83" t="s">
        <v>463</v>
      </c>
    </row>
    <row r="320" spans="1:12" ht="24" customHeight="1" x14ac:dyDescent="0.5">
      <c r="A320" s="92">
        <v>290</v>
      </c>
      <c r="B320" s="91" t="s">
        <v>381</v>
      </c>
      <c r="C320" s="59" t="s">
        <v>606</v>
      </c>
      <c r="D320" s="36">
        <v>0</v>
      </c>
      <c r="E320" s="36">
        <v>160</v>
      </c>
      <c r="F320" s="36">
        <f t="shared" si="122"/>
        <v>160</v>
      </c>
      <c r="G320" s="37">
        <f t="shared" si="123"/>
        <v>904792</v>
      </c>
      <c r="H320" s="36">
        <f t="shared" si="124"/>
        <v>151</v>
      </c>
      <c r="I320" s="36">
        <v>9</v>
      </c>
      <c r="J320" s="37">
        <v>5992</v>
      </c>
      <c r="K320" s="37">
        <f t="shared" si="125"/>
        <v>53928</v>
      </c>
      <c r="L320" s="90" t="s">
        <v>17</v>
      </c>
    </row>
    <row r="321" spans="1:12" ht="24" customHeight="1" x14ac:dyDescent="0.5">
      <c r="A321" s="92">
        <v>291</v>
      </c>
      <c r="B321" s="91" t="s">
        <v>384</v>
      </c>
      <c r="C321" s="59" t="s">
        <v>610</v>
      </c>
      <c r="D321" s="36">
        <v>0</v>
      </c>
      <c r="E321" s="36">
        <v>5000</v>
      </c>
      <c r="F321" s="36">
        <f t="shared" si="122"/>
        <v>5000</v>
      </c>
      <c r="G321" s="37">
        <f t="shared" si="123"/>
        <v>33872.5</v>
      </c>
      <c r="H321" s="36">
        <f t="shared" si="124"/>
        <v>3985</v>
      </c>
      <c r="I321" s="36">
        <v>1015</v>
      </c>
      <c r="J321" s="37">
        <v>8.5</v>
      </c>
      <c r="K321" s="37">
        <f t="shared" si="125"/>
        <v>8627.5</v>
      </c>
      <c r="L321" s="90"/>
    </row>
    <row r="322" spans="1:12" ht="24" customHeight="1" x14ac:dyDescent="0.5">
      <c r="A322" s="92">
        <v>292</v>
      </c>
      <c r="B322" s="91" t="s">
        <v>382</v>
      </c>
      <c r="C322" s="59" t="s">
        <v>610</v>
      </c>
      <c r="D322" s="36">
        <v>134</v>
      </c>
      <c r="E322" s="36">
        <v>30000</v>
      </c>
      <c r="F322" s="36">
        <f t="shared" si="122"/>
        <v>30134</v>
      </c>
      <c r="G322" s="37">
        <f t="shared" si="123"/>
        <v>88251</v>
      </c>
      <c r="H322" s="36">
        <f t="shared" si="124"/>
        <v>29417</v>
      </c>
      <c r="I322" s="36">
        <v>717</v>
      </c>
      <c r="J322" s="37">
        <v>3</v>
      </c>
      <c r="K322" s="37">
        <f t="shared" si="125"/>
        <v>2151</v>
      </c>
      <c r="L322" s="62" t="s">
        <v>627</v>
      </c>
    </row>
    <row r="323" spans="1:12" ht="24" customHeight="1" x14ac:dyDescent="0.5">
      <c r="A323" s="92">
        <v>293</v>
      </c>
      <c r="B323" s="91" t="s">
        <v>383</v>
      </c>
      <c r="C323" s="59" t="s">
        <v>610</v>
      </c>
      <c r="D323" s="36">
        <v>1256</v>
      </c>
      <c r="E323" s="36">
        <v>0</v>
      </c>
      <c r="F323" s="36">
        <f t="shared" si="122"/>
        <v>1256</v>
      </c>
      <c r="G323" s="37">
        <f t="shared" si="123"/>
        <v>1611</v>
      </c>
      <c r="H323" s="36">
        <f t="shared" si="124"/>
        <v>537</v>
      </c>
      <c r="I323" s="36">
        <v>719</v>
      </c>
      <c r="J323" s="37">
        <v>3</v>
      </c>
      <c r="K323" s="37">
        <f t="shared" si="125"/>
        <v>2157</v>
      </c>
      <c r="L323" s="83" t="s">
        <v>462</v>
      </c>
    </row>
    <row r="324" spans="1:12" ht="24" customHeight="1" x14ac:dyDescent="0.5">
      <c r="A324" s="92">
        <v>294</v>
      </c>
      <c r="B324" s="91" t="s">
        <v>355</v>
      </c>
      <c r="C324" s="59" t="s">
        <v>606</v>
      </c>
      <c r="D324" s="36">
        <v>0</v>
      </c>
      <c r="E324" s="36">
        <v>100</v>
      </c>
      <c r="F324" s="36">
        <f t="shared" si="122"/>
        <v>100</v>
      </c>
      <c r="G324" s="37">
        <f t="shared" si="123"/>
        <v>25500</v>
      </c>
      <c r="H324" s="36">
        <f t="shared" si="124"/>
        <v>100</v>
      </c>
      <c r="I324" s="36">
        <v>0</v>
      </c>
      <c r="J324" s="37">
        <v>255</v>
      </c>
      <c r="K324" s="37">
        <f t="shared" si="125"/>
        <v>0</v>
      </c>
      <c r="L324" s="83" t="s">
        <v>18</v>
      </c>
    </row>
    <row r="325" spans="1:12" ht="24" customHeight="1" x14ac:dyDescent="0.5">
      <c r="A325" s="92">
        <v>295</v>
      </c>
      <c r="B325" s="91" t="s">
        <v>354</v>
      </c>
      <c r="C325" s="59" t="s">
        <v>606</v>
      </c>
      <c r="D325" s="36">
        <v>149</v>
      </c>
      <c r="E325" s="36">
        <v>0</v>
      </c>
      <c r="F325" s="36">
        <f t="shared" si="122"/>
        <v>149</v>
      </c>
      <c r="G325" s="37">
        <f t="shared" si="123"/>
        <v>14560</v>
      </c>
      <c r="H325" s="36">
        <f t="shared" si="124"/>
        <v>52</v>
      </c>
      <c r="I325" s="36">
        <v>97</v>
      </c>
      <c r="J325" s="37">
        <v>280</v>
      </c>
      <c r="K325" s="37">
        <f t="shared" si="125"/>
        <v>27160</v>
      </c>
      <c r="L325" s="78"/>
    </row>
    <row r="326" spans="1:12" ht="24" customHeight="1" x14ac:dyDescent="0.5">
      <c r="A326" s="92">
        <v>296</v>
      </c>
      <c r="B326" s="91" t="s">
        <v>574</v>
      </c>
      <c r="C326" s="59" t="s">
        <v>50</v>
      </c>
      <c r="D326" s="36">
        <v>0</v>
      </c>
      <c r="E326" s="36">
        <v>40</v>
      </c>
      <c r="F326" s="36">
        <f t="shared" si="122"/>
        <v>40</v>
      </c>
      <c r="G326" s="37">
        <f t="shared" si="123"/>
        <v>83600</v>
      </c>
      <c r="H326" s="36">
        <f t="shared" si="124"/>
        <v>40</v>
      </c>
      <c r="I326" s="36">
        <v>0</v>
      </c>
      <c r="J326" s="37">
        <v>2090</v>
      </c>
      <c r="K326" s="37">
        <f t="shared" si="125"/>
        <v>0</v>
      </c>
      <c r="L326" s="62" t="s">
        <v>627</v>
      </c>
    </row>
    <row r="327" spans="1:12" ht="24" customHeight="1" x14ac:dyDescent="0.5">
      <c r="A327" s="92">
        <v>297</v>
      </c>
      <c r="B327" s="91" t="s">
        <v>711</v>
      </c>
      <c r="C327" s="59" t="s">
        <v>611</v>
      </c>
      <c r="D327" s="36">
        <v>0</v>
      </c>
      <c r="E327" s="36">
        <v>10</v>
      </c>
      <c r="F327" s="36">
        <f t="shared" si="122"/>
        <v>10</v>
      </c>
      <c r="G327" s="37">
        <f t="shared" si="123"/>
        <v>31900</v>
      </c>
      <c r="H327" s="36">
        <f t="shared" si="124"/>
        <v>10</v>
      </c>
      <c r="I327" s="36">
        <v>0</v>
      </c>
      <c r="J327" s="37">
        <v>3190</v>
      </c>
      <c r="K327" s="37">
        <f t="shared" si="125"/>
        <v>0</v>
      </c>
      <c r="L327" s="78" t="s">
        <v>434</v>
      </c>
    </row>
    <row r="328" spans="1:12" ht="24" customHeight="1" x14ac:dyDescent="0.5">
      <c r="A328" s="92">
        <v>298</v>
      </c>
      <c r="B328" s="91" t="s">
        <v>712</v>
      </c>
      <c r="C328" s="59" t="s">
        <v>611</v>
      </c>
      <c r="D328" s="36">
        <v>0</v>
      </c>
      <c r="E328" s="36">
        <v>30</v>
      </c>
      <c r="F328" s="36">
        <f t="shared" si="122"/>
        <v>30</v>
      </c>
      <c r="G328" s="37">
        <f t="shared" si="123"/>
        <v>79200</v>
      </c>
      <c r="H328" s="36">
        <f t="shared" si="124"/>
        <v>30</v>
      </c>
      <c r="I328" s="36">
        <v>0</v>
      </c>
      <c r="J328" s="37">
        <v>2640</v>
      </c>
      <c r="K328" s="37">
        <f t="shared" si="125"/>
        <v>0</v>
      </c>
      <c r="L328" s="83" t="s">
        <v>433</v>
      </c>
    </row>
    <row r="329" spans="1:12" ht="24" customHeight="1" x14ac:dyDescent="0.5">
      <c r="A329" s="92">
        <v>299</v>
      </c>
      <c r="B329" s="91" t="s">
        <v>396</v>
      </c>
      <c r="C329" s="59" t="s">
        <v>604</v>
      </c>
      <c r="D329" s="36">
        <v>0</v>
      </c>
      <c r="E329" s="36">
        <v>90</v>
      </c>
      <c r="F329" s="36">
        <f t="shared" si="122"/>
        <v>90</v>
      </c>
      <c r="G329" s="37">
        <f t="shared" si="123"/>
        <v>103500</v>
      </c>
      <c r="H329" s="36">
        <f t="shared" si="124"/>
        <v>90</v>
      </c>
      <c r="I329" s="36">
        <v>0</v>
      </c>
      <c r="J329" s="37">
        <v>1150</v>
      </c>
      <c r="K329" s="37">
        <f t="shared" si="125"/>
        <v>0</v>
      </c>
      <c r="L329" s="78"/>
    </row>
    <row r="330" spans="1:12" ht="24" customHeight="1" x14ac:dyDescent="0.5">
      <c r="A330" s="92">
        <v>300</v>
      </c>
      <c r="B330" s="91" t="s">
        <v>356</v>
      </c>
      <c r="C330" s="59" t="s">
        <v>604</v>
      </c>
      <c r="D330" s="36">
        <v>0</v>
      </c>
      <c r="E330" s="36">
        <v>44</v>
      </c>
      <c r="F330" s="36">
        <f t="shared" si="122"/>
        <v>44</v>
      </c>
      <c r="G330" s="37">
        <f t="shared" si="123"/>
        <v>290400</v>
      </c>
      <c r="H330" s="36">
        <f t="shared" si="124"/>
        <v>44</v>
      </c>
      <c r="I330" s="36">
        <v>0</v>
      </c>
      <c r="J330" s="37">
        <v>6600</v>
      </c>
      <c r="K330" s="37">
        <f t="shared" si="125"/>
        <v>0</v>
      </c>
      <c r="L330" s="62" t="s">
        <v>627</v>
      </c>
    </row>
    <row r="331" spans="1:12" ht="24" customHeight="1" x14ac:dyDescent="0.5">
      <c r="A331" s="92"/>
      <c r="B331" s="53" t="s">
        <v>432</v>
      </c>
      <c r="C331" s="65"/>
      <c r="D331" s="38"/>
      <c r="E331" s="38"/>
      <c r="F331" s="38"/>
      <c r="G331" s="39">
        <f>SUM(G311:G330)</f>
        <v>4615286.5</v>
      </c>
      <c r="H331" s="38"/>
      <c r="I331" s="38"/>
      <c r="J331" s="39"/>
      <c r="K331" s="39">
        <f>SUM(K311:K330)</f>
        <v>178173.5</v>
      </c>
      <c r="L331" s="78" t="s">
        <v>503</v>
      </c>
    </row>
    <row r="332" spans="1:12" ht="24" customHeight="1" x14ac:dyDescent="0.5">
      <c r="B332" s="93"/>
      <c r="C332" s="79"/>
      <c r="D332" s="40"/>
      <c r="E332" s="40"/>
      <c r="F332" s="40"/>
      <c r="G332" s="41"/>
      <c r="H332" s="40"/>
      <c r="I332" s="40"/>
      <c r="J332" s="41"/>
      <c r="K332" s="41"/>
      <c r="L332" s="83" t="s">
        <v>435</v>
      </c>
    </row>
    <row r="333" spans="1:12" ht="24" customHeight="1" x14ac:dyDescent="0.5">
      <c r="A333" s="92">
        <v>301</v>
      </c>
      <c r="B333" s="91" t="s">
        <v>387</v>
      </c>
      <c r="C333" s="59" t="s">
        <v>604</v>
      </c>
      <c r="D333" s="36">
        <v>0</v>
      </c>
      <c r="E333" s="36">
        <v>220</v>
      </c>
      <c r="F333" s="36">
        <f t="shared" ref="F333" si="126">D333+E333</f>
        <v>220</v>
      </c>
      <c r="G333" s="37">
        <f t="shared" ref="G333" si="127">H333*J333</f>
        <v>434500</v>
      </c>
      <c r="H333" s="36">
        <f t="shared" ref="H333" si="128">F333-I333</f>
        <v>220</v>
      </c>
      <c r="I333" s="36">
        <v>0</v>
      </c>
      <c r="J333" s="37">
        <v>1975</v>
      </c>
      <c r="K333" s="37">
        <f t="shared" ref="K333" si="129">I333*J333</f>
        <v>0</v>
      </c>
      <c r="L333" s="83" t="s">
        <v>15</v>
      </c>
    </row>
    <row r="334" spans="1:12" ht="24" customHeight="1" x14ac:dyDescent="0.5">
      <c r="A334" s="92">
        <v>302</v>
      </c>
      <c r="B334" s="91" t="s">
        <v>388</v>
      </c>
      <c r="C334" s="59" t="s">
        <v>604</v>
      </c>
      <c r="D334" s="36">
        <v>0</v>
      </c>
      <c r="E334" s="36">
        <v>60</v>
      </c>
      <c r="F334" s="36">
        <f t="shared" ref="F334" si="130">D334+E334</f>
        <v>60</v>
      </c>
      <c r="G334" s="37">
        <f t="shared" ref="G334" si="131">H334*J334</f>
        <v>144000</v>
      </c>
      <c r="H334" s="36">
        <f t="shared" ref="H334" si="132">F334-I334</f>
        <v>60</v>
      </c>
      <c r="I334" s="36">
        <v>0</v>
      </c>
      <c r="J334" s="37">
        <v>2400</v>
      </c>
      <c r="K334" s="37">
        <f t="shared" ref="K334" si="133">I334*J334</f>
        <v>0</v>
      </c>
      <c r="L334" s="78" t="s">
        <v>716</v>
      </c>
    </row>
    <row r="335" spans="1:12" ht="24" customHeight="1" x14ac:dyDescent="0.5">
      <c r="A335" s="92">
        <v>303</v>
      </c>
      <c r="B335" s="91" t="s">
        <v>357</v>
      </c>
      <c r="C335" s="59" t="s">
        <v>604</v>
      </c>
      <c r="D335" s="36">
        <v>0</v>
      </c>
      <c r="E335" s="36">
        <v>390</v>
      </c>
      <c r="F335" s="36">
        <f>D335+E335</f>
        <v>390</v>
      </c>
      <c r="G335" s="37">
        <f>H335*J335</f>
        <v>1361100</v>
      </c>
      <c r="H335" s="36">
        <f>F335-I335</f>
        <v>390</v>
      </c>
      <c r="I335" s="36">
        <v>0</v>
      </c>
      <c r="J335" s="37">
        <v>3490</v>
      </c>
      <c r="K335" s="37">
        <f>I335*J335</f>
        <v>0</v>
      </c>
      <c r="L335" s="83"/>
    </row>
    <row r="336" spans="1:12" ht="24" customHeight="1" x14ac:dyDescent="0.5">
      <c r="A336" s="92">
        <v>304</v>
      </c>
      <c r="B336" s="91" t="s">
        <v>397</v>
      </c>
      <c r="C336" s="59" t="s">
        <v>604</v>
      </c>
      <c r="D336" s="36">
        <v>0</v>
      </c>
      <c r="E336" s="36">
        <v>105</v>
      </c>
      <c r="F336" s="36">
        <f t="shared" ref="F336:F345" si="134">D336+E336</f>
        <v>105</v>
      </c>
      <c r="G336" s="37">
        <f t="shared" ref="G336:G345" si="135">H336*J336</f>
        <v>569625</v>
      </c>
      <c r="H336" s="36">
        <f t="shared" ref="H336:H345" si="136">F336-I336</f>
        <v>105</v>
      </c>
      <c r="I336" s="36">
        <v>0</v>
      </c>
      <c r="J336" s="37">
        <v>5425</v>
      </c>
      <c r="K336" s="37">
        <f t="shared" ref="K336:K345" si="137">I336*J336</f>
        <v>0</v>
      </c>
      <c r="L336" s="62" t="s">
        <v>627</v>
      </c>
    </row>
    <row r="337" spans="1:12" ht="24" customHeight="1" x14ac:dyDescent="0.5">
      <c r="A337" s="92">
        <v>305</v>
      </c>
      <c r="B337" s="91" t="s">
        <v>358</v>
      </c>
      <c r="C337" s="59" t="s">
        <v>604</v>
      </c>
      <c r="D337" s="36">
        <v>0</v>
      </c>
      <c r="E337" s="36">
        <v>370</v>
      </c>
      <c r="F337" s="36">
        <f t="shared" si="134"/>
        <v>370</v>
      </c>
      <c r="G337" s="37">
        <f t="shared" si="135"/>
        <v>1230250</v>
      </c>
      <c r="H337" s="36">
        <f t="shared" si="136"/>
        <v>370</v>
      </c>
      <c r="I337" s="36">
        <v>0</v>
      </c>
      <c r="J337" s="37">
        <v>3325</v>
      </c>
      <c r="K337" s="37">
        <f t="shared" si="137"/>
        <v>0</v>
      </c>
      <c r="L337" s="90" t="s">
        <v>731</v>
      </c>
    </row>
    <row r="338" spans="1:12" ht="24" customHeight="1" x14ac:dyDescent="0.5">
      <c r="A338" s="92">
        <v>306</v>
      </c>
      <c r="B338" s="91" t="s">
        <v>422</v>
      </c>
      <c r="C338" s="59" t="s">
        <v>604</v>
      </c>
      <c r="D338" s="36">
        <v>0</v>
      </c>
      <c r="E338" s="36">
        <v>30</v>
      </c>
      <c r="F338" s="36">
        <f t="shared" si="134"/>
        <v>30</v>
      </c>
      <c r="G338" s="37">
        <f t="shared" si="135"/>
        <v>59250</v>
      </c>
      <c r="H338" s="36">
        <f t="shared" si="136"/>
        <v>30</v>
      </c>
      <c r="I338" s="36">
        <v>0</v>
      </c>
      <c r="J338" s="37">
        <v>1975</v>
      </c>
      <c r="K338" s="37">
        <f t="shared" si="137"/>
        <v>0</v>
      </c>
      <c r="L338" s="90" t="s">
        <v>16</v>
      </c>
    </row>
    <row r="339" spans="1:12" ht="24" customHeight="1" x14ac:dyDescent="0.5">
      <c r="A339" s="92">
        <v>307</v>
      </c>
      <c r="B339" s="91" t="s">
        <v>359</v>
      </c>
      <c r="C339" s="59" t="s">
        <v>604</v>
      </c>
      <c r="D339" s="36">
        <v>0</v>
      </c>
      <c r="E339" s="36">
        <v>115</v>
      </c>
      <c r="F339" s="36">
        <f t="shared" si="134"/>
        <v>115</v>
      </c>
      <c r="G339" s="37">
        <f t="shared" si="135"/>
        <v>276000</v>
      </c>
      <c r="H339" s="36">
        <f t="shared" si="136"/>
        <v>115</v>
      </c>
      <c r="I339" s="36">
        <v>0</v>
      </c>
      <c r="J339" s="37">
        <v>2400</v>
      </c>
      <c r="K339" s="37">
        <f t="shared" si="137"/>
        <v>0</v>
      </c>
      <c r="L339" s="90"/>
    </row>
    <row r="340" spans="1:12" ht="24" customHeight="1" x14ac:dyDescent="0.5">
      <c r="A340" s="92">
        <v>308</v>
      </c>
      <c r="B340" s="91" t="s">
        <v>563</v>
      </c>
      <c r="C340" s="59" t="s">
        <v>604</v>
      </c>
      <c r="D340" s="36">
        <v>0</v>
      </c>
      <c r="E340" s="36">
        <v>55</v>
      </c>
      <c r="F340" s="36">
        <f t="shared" si="134"/>
        <v>55</v>
      </c>
      <c r="G340" s="37">
        <f t="shared" si="135"/>
        <v>265265</v>
      </c>
      <c r="H340" s="36">
        <f t="shared" si="136"/>
        <v>55</v>
      </c>
      <c r="I340" s="36">
        <v>0</v>
      </c>
      <c r="J340" s="37">
        <v>4823</v>
      </c>
      <c r="K340" s="37">
        <f t="shared" si="137"/>
        <v>0</v>
      </c>
      <c r="L340" s="62" t="s">
        <v>627</v>
      </c>
    </row>
    <row r="341" spans="1:12" ht="24" customHeight="1" x14ac:dyDescent="0.5">
      <c r="A341" s="92">
        <v>309</v>
      </c>
      <c r="B341" s="91" t="s">
        <v>360</v>
      </c>
      <c r="C341" s="59" t="s">
        <v>604</v>
      </c>
      <c r="D341" s="36">
        <v>0</v>
      </c>
      <c r="E341" s="36">
        <v>1800</v>
      </c>
      <c r="F341" s="36">
        <f t="shared" si="134"/>
        <v>1800</v>
      </c>
      <c r="G341" s="37">
        <f t="shared" si="135"/>
        <v>391600</v>
      </c>
      <c r="H341" s="36">
        <f t="shared" si="136"/>
        <v>1780</v>
      </c>
      <c r="I341" s="36">
        <v>20</v>
      </c>
      <c r="J341" s="37">
        <v>220</v>
      </c>
      <c r="K341" s="37">
        <f t="shared" si="137"/>
        <v>4400</v>
      </c>
      <c r="L341" s="83" t="s">
        <v>463</v>
      </c>
    </row>
    <row r="342" spans="1:12" ht="23.85" customHeight="1" x14ac:dyDescent="0.5">
      <c r="A342" s="92">
        <v>310</v>
      </c>
      <c r="B342" s="91" t="s">
        <v>713</v>
      </c>
      <c r="C342" s="59" t="s">
        <v>604</v>
      </c>
      <c r="D342" s="36">
        <v>0</v>
      </c>
      <c r="E342" s="36">
        <v>500</v>
      </c>
      <c r="F342" s="36">
        <f t="shared" si="134"/>
        <v>500</v>
      </c>
      <c r="G342" s="37">
        <f t="shared" si="135"/>
        <v>28500</v>
      </c>
      <c r="H342" s="36">
        <f t="shared" si="136"/>
        <v>500</v>
      </c>
      <c r="I342" s="36">
        <v>0</v>
      </c>
      <c r="J342" s="37">
        <v>57</v>
      </c>
      <c r="K342" s="37">
        <f t="shared" si="137"/>
        <v>0</v>
      </c>
      <c r="L342" s="90" t="s">
        <v>17</v>
      </c>
    </row>
    <row r="343" spans="1:12" ht="23.85" customHeight="1" x14ac:dyDescent="0.5">
      <c r="A343" s="92">
        <v>311</v>
      </c>
      <c r="B343" s="91" t="s">
        <v>565</v>
      </c>
      <c r="C343" s="59" t="s">
        <v>606</v>
      </c>
      <c r="D343" s="36">
        <v>3</v>
      </c>
      <c r="E343" s="36">
        <v>5</v>
      </c>
      <c r="F343" s="36">
        <f t="shared" si="134"/>
        <v>8</v>
      </c>
      <c r="G343" s="37">
        <f t="shared" si="135"/>
        <v>34240</v>
      </c>
      <c r="H343" s="36">
        <f t="shared" si="136"/>
        <v>8</v>
      </c>
      <c r="I343" s="36">
        <v>0</v>
      </c>
      <c r="J343" s="37">
        <v>4280</v>
      </c>
      <c r="K343" s="37">
        <f t="shared" si="137"/>
        <v>0</v>
      </c>
      <c r="L343" s="90"/>
    </row>
    <row r="344" spans="1:12" ht="23.85" customHeight="1" x14ac:dyDescent="0.5">
      <c r="A344" s="92">
        <v>312</v>
      </c>
      <c r="B344" s="91" t="s">
        <v>566</v>
      </c>
      <c r="C344" s="59" t="s">
        <v>606</v>
      </c>
      <c r="D344" s="36">
        <v>0</v>
      </c>
      <c r="E344" s="36">
        <v>20</v>
      </c>
      <c r="F344" s="36">
        <f t="shared" si="134"/>
        <v>20</v>
      </c>
      <c r="G344" s="37">
        <f t="shared" si="135"/>
        <v>41730</v>
      </c>
      <c r="H344" s="36">
        <f t="shared" si="136"/>
        <v>13</v>
      </c>
      <c r="I344" s="36">
        <v>7</v>
      </c>
      <c r="J344" s="37">
        <v>3210</v>
      </c>
      <c r="K344" s="37">
        <f t="shared" si="137"/>
        <v>22470</v>
      </c>
      <c r="L344" s="62" t="s">
        <v>627</v>
      </c>
    </row>
    <row r="345" spans="1:12" ht="23.85" customHeight="1" x14ac:dyDescent="0.5">
      <c r="A345" s="92">
        <v>313</v>
      </c>
      <c r="B345" s="91" t="s">
        <v>564</v>
      </c>
      <c r="C345" s="59" t="s">
        <v>606</v>
      </c>
      <c r="D345" s="31">
        <v>2</v>
      </c>
      <c r="E345" s="36">
        <v>18</v>
      </c>
      <c r="F345" s="36">
        <f t="shared" si="134"/>
        <v>20</v>
      </c>
      <c r="G345" s="37">
        <f t="shared" si="135"/>
        <v>64200</v>
      </c>
      <c r="H345" s="36">
        <f t="shared" si="136"/>
        <v>20</v>
      </c>
      <c r="I345" s="36">
        <v>0</v>
      </c>
      <c r="J345" s="52">
        <v>3210</v>
      </c>
      <c r="K345" s="37">
        <f t="shared" si="137"/>
        <v>0</v>
      </c>
      <c r="L345" s="83" t="s">
        <v>462</v>
      </c>
    </row>
    <row r="346" spans="1:12" ht="23.85" customHeight="1" x14ac:dyDescent="0.5">
      <c r="A346" s="92">
        <v>314</v>
      </c>
      <c r="B346" s="91" t="s">
        <v>385</v>
      </c>
      <c r="C346" s="59" t="s">
        <v>606</v>
      </c>
      <c r="D346" s="31">
        <v>23</v>
      </c>
      <c r="E346" s="36">
        <v>50</v>
      </c>
      <c r="F346" s="36">
        <f t="shared" ref="F346:F352" si="138">D346+E346</f>
        <v>73</v>
      </c>
      <c r="G346" s="37">
        <f t="shared" ref="G346:G352" si="139">H346*J346</f>
        <v>6400</v>
      </c>
      <c r="H346" s="36">
        <f t="shared" ref="H346:H352" si="140">F346-I346</f>
        <v>32</v>
      </c>
      <c r="I346" s="36">
        <v>41</v>
      </c>
      <c r="J346" s="52">
        <v>200</v>
      </c>
      <c r="K346" s="37"/>
      <c r="L346" s="83" t="s">
        <v>18</v>
      </c>
    </row>
    <row r="347" spans="1:12" ht="23.85" customHeight="1" x14ac:dyDescent="0.5">
      <c r="A347" s="92">
        <v>315</v>
      </c>
      <c r="B347" s="91" t="s">
        <v>714</v>
      </c>
      <c r="C347" s="59" t="s">
        <v>606</v>
      </c>
      <c r="D347" s="36">
        <v>0</v>
      </c>
      <c r="E347" s="36">
        <v>50</v>
      </c>
      <c r="F347" s="36">
        <f t="shared" si="138"/>
        <v>50</v>
      </c>
      <c r="G347" s="37">
        <f t="shared" si="139"/>
        <v>3250</v>
      </c>
      <c r="H347" s="36">
        <f t="shared" si="140"/>
        <v>50</v>
      </c>
      <c r="I347" s="36">
        <v>0</v>
      </c>
      <c r="J347" s="52">
        <v>65</v>
      </c>
      <c r="K347" s="37"/>
      <c r="L347" s="78"/>
    </row>
    <row r="348" spans="1:12" ht="23.85" customHeight="1" x14ac:dyDescent="0.5">
      <c r="A348" s="92">
        <v>316</v>
      </c>
      <c r="B348" s="91" t="s">
        <v>386</v>
      </c>
      <c r="C348" s="59" t="s">
        <v>611</v>
      </c>
      <c r="D348" s="31">
        <v>6</v>
      </c>
      <c r="E348" s="36">
        <v>0</v>
      </c>
      <c r="F348" s="36">
        <f t="shared" si="138"/>
        <v>6</v>
      </c>
      <c r="G348" s="37">
        <f t="shared" si="139"/>
        <v>930</v>
      </c>
      <c r="H348" s="36">
        <f t="shared" si="140"/>
        <v>3</v>
      </c>
      <c r="I348" s="36">
        <v>3</v>
      </c>
      <c r="J348" s="52">
        <v>310</v>
      </c>
      <c r="K348" s="37"/>
      <c r="L348" s="62" t="s">
        <v>627</v>
      </c>
    </row>
    <row r="349" spans="1:12" ht="23.85" customHeight="1" x14ac:dyDescent="0.5">
      <c r="A349" s="92">
        <v>317</v>
      </c>
      <c r="B349" s="91" t="s">
        <v>361</v>
      </c>
      <c r="C349" s="59" t="s">
        <v>625</v>
      </c>
      <c r="D349" s="31">
        <v>138</v>
      </c>
      <c r="E349" s="36">
        <v>0</v>
      </c>
      <c r="F349" s="36">
        <f t="shared" si="138"/>
        <v>138</v>
      </c>
      <c r="G349" s="37">
        <f t="shared" si="139"/>
        <v>9828</v>
      </c>
      <c r="H349" s="36">
        <f t="shared" si="140"/>
        <v>126</v>
      </c>
      <c r="I349" s="36">
        <v>12</v>
      </c>
      <c r="J349" s="52">
        <v>78</v>
      </c>
      <c r="K349" s="37"/>
      <c r="L349" s="78" t="s">
        <v>434</v>
      </c>
    </row>
    <row r="350" spans="1:12" ht="23.85" customHeight="1" x14ac:dyDescent="0.5">
      <c r="A350" s="92">
        <v>318</v>
      </c>
      <c r="B350" s="91" t="s">
        <v>567</v>
      </c>
      <c r="C350" s="59" t="s">
        <v>625</v>
      </c>
      <c r="D350" s="36">
        <v>0</v>
      </c>
      <c r="E350" s="36">
        <v>4000</v>
      </c>
      <c r="F350" s="36">
        <f t="shared" si="138"/>
        <v>4000</v>
      </c>
      <c r="G350" s="37">
        <f t="shared" si="139"/>
        <v>296000</v>
      </c>
      <c r="H350" s="36">
        <f t="shared" si="140"/>
        <v>4000</v>
      </c>
      <c r="I350" s="36">
        <v>0</v>
      </c>
      <c r="J350" s="52">
        <v>74</v>
      </c>
      <c r="K350" s="37"/>
      <c r="L350" s="83" t="s">
        <v>433</v>
      </c>
    </row>
    <row r="351" spans="1:12" ht="23.85" customHeight="1" x14ac:dyDescent="0.5">
      <c r="A351" s="92">
        <v>319</v>
      </c>
      <c r="B351" s="91" t="s">
        <v>380</v>
      </c>
      <c r="C351" s="59" t="s">
        <v>611</v>
      </c>
      <c r="D351" s="31">
        <v>17</v>
      </c>
      <c r="E351" s="36">
        <v>0</v>
      </c>
      <c r="F351" s="36">
        <f t="shared" si="138"/>
        <v>17</v>
      </c>
      <c r="G351" s="37">
        <f t="shared" si="139"/>
        <v>3740</v>
      </c>
      <c r="H351" s="36">
        <f t="shared" si="140"/>
        <v>17</v>
      </c>
      <c r="I351" s="36">
        <v>0</v>
      </c>
      <c r="J351" s="52">
        <v>220</v>
      </c>
      <c r="K351" s="37"/>
      <c r="L351" s="78"/>
    </row>
    <row r="352" spans="1:12" ht="23.85" customHeight="1" x14ac:dyDescent="0.5">
      <c r="A352" s="92">
        <v>320</v>
      </c>
      <c r="B352" s="91" t="s">
        <v>362</v>
      </c>
      <c r="C352" s="59" t="s">
        <v>191</v>
      </c>
      <c r="D352" s="36">
        <v>0</v>
      </c>
      <c r="E352" s="36">
        <v>350</v>
      </c>
      <c r="F352" s="36">
        <f t="shared" si="138"/>
        <v>350</v>
      </c>
      <c r="G352" s="37">
        <f t="shared" si="139"/>
        <v>55900</v>
      </c>
      <c r="H352" s="36">
        <f t="shared" si="140"/>
        <v>215</v>
      </c>
      <c r="I352" s="36">
        <v>135</v>
      </c>
      <c r="J352" s="52">
        <v>260</v>
      </c>
      <c r="K352" s="37"/>
      <c r="L352" s="62" t="s">
        <v>627</v>
      </c>
    </row>
    <row r="353" spans="1:12" ht="23.85" customHeight="1" x14ac:dyDescent="0.5">
      <c r="A353" s="92"/>
      <c r="B353" s="53" t="s">
        <v>432</v>
      </c>
      <c r="C353" s="65"/>
      <c r="D353" s="38"/>
      <c r="E353" s="38"/>
      <c r="F353" s="38"/>
      <c r="G353" s="39">
        <f>SUM(G333:G352)</f>
        <v>5276308</v>
      </c>
      <c r="H353" s="38"/>
      <c r="I353" s="38"/>
      <c r="J353" s="39"/>
      <c r="K353" s="39">
        <f>SUM(K333:K352)</f>
        <v>26870</v>
      </c>
      <c r="L353" s="78" t="s">
        <v>503</v>
      </c>
    </row>
    <row r="354" spans="1:12" ht="23.85" customHeight="1" x14ac:dyDescent="0.5">
      <c r="A354" s="93"/>
      <c r="B354" s="93"/>
      <c r="C354" s="79"/>
      <c r="D354" s="40"/>
      <c r="E354" s="40"/>
      <c r="F354" s="40"/>
      <c r="G354" s="41"/>
      <c r="H354" s="40"/>
      <c r="I354" s="40"/>
      <c r="J354" s="41"/>
      <c r="K354" s="41"/>
      <c r="L354" s="83" t="s">
        <v>435</v>
      </c>
    </row>
    <row r="355" spans="1:12" ht="24" customHeight="1" x14ac:dyDescent="0.5">
      <c r="A355" s="92">
        <v>321</v>
      </c>
      <c r="B355" s="91" t="s">
        <v>568</v>
      </c>
      <c r="C355" s="59" t="s">
        <v>614</v>
      </c>
      <c r="D355" s="36">
        <v>40000</v>
      </c>
      <c r="E355" s="36">
        <v>0</v>
      </c>
      <c r="F355" s="36">
        <f t="shared" ref="F355:F356" si="141">D355+E355</f>
        <v>40000</v>
      </c>
      <c r="G355" s="37">
        <f t="shared" ref="G355:G356" si="142">H355*J355</f>
        <v>36000</v>
      </c>
      <c r="H355" s="36">
        <f t="shared" ref="H355:H356" si="143">F355-I355</f>
        <v>40000</v>
      </c>
      <c r="I355" s="36">
        <v>0</v>
      </c>
      <c r="J355" s="37">
        <v>0.9</v>
      </c>
      <c r="K355" s="37">
        <f t="shared" ref="K355:K356" si="144">I355*J355</f>
        <v>0</v>
      </c>
      <c r="L355" s="83" t="s">
        <v>15</v>
      </c>
    </row>
    <row r="356" spans="1:12" ht="24" customHeight="1" x14ac:dyDescent="0.5">
      <c r="A356" s="92">
        <v>322</v>
      </c>
      <c r="B356" s="91" t="s">
        <v>569</v>
      </c>
      <c r="C356" s="59" t="s">
        <v>614</v>
      </c>
      <c r="D356" s="36">
        <v>0</v>
      </c>
      <c r="E356" s="36">
        <v>1050000</v>
      </c>
      <c r="F356" s="36">
        <f t="shared" si="141"/>
        <v>1050000</v>
      </c>
      <c r="G356" s="37">
        <f t="shared" si="142"/>
        <v>1260000</v>
      </c>
      <c r="H356" s="36">
        <f t="shared" si="143"/>
        <v>1050000</v>
      </c>
      <c r="I356" s="36">
        <v>0</v>
      </c>
      <c r="J356" s="37">
        <v>1.2</v>
      </c>
      <c r="K356" s="37">
        <f t="shared" si="144"/>
        <v>0</v>
      </c>
      <c r="L356" s="78" t="s">
        <v>716</v>
      </c>
    </row>
    <row r="357" spans="1:12" ht="24" customHeight="1" x14ac:dyDescent="0.5">
      <c r="A357" s="92">
        <v>323</v>
      </c>
      <c r="B357" s="91" t="s">
        <v>570</v>
      </c>
      <c r="C357" s="59" t="s">
        <v>614</v>
      </c>
      <c r="D357" s="36">
        <v>0</v>
      </c>
      <c r="E357" s="36">
        <v>10000</v>
      </c>
      <c r="F357" s="36">
        <f>D357+E357</f>
        <v>10000</v>
      </c>
      <c r="G357" s="37">
        <f>H357*J357</f>
        <v>21000</v>
      </c>
      <c r="H357" s="36">
        <f>F357-I357</f>
        <v>10000</v>
      </c>
      <c r="I357" s="36">
        <v>0</v>
      </c>
      <c r="J357" s="37">
        <v>2.1</v>
      </c>
      <c r="K357" s="37">
        <f>I357*J357</f>
        <v>0</v>
      </c>
      <c r="L357" s="83"/>
    </row>
    <row r="358" spans="1:12" ht="24" customHeight="1" x14ac:dyDescent="0.5">
      <c r="A358" s="92">
        <v>324</v>
      </c>
      <c r="B358" s="91" t="s">
        <v>369</v>
      </c>
      <c r="C358" s="59" t="s">
        <v>611</v>
      </c>
      <c r="D358" s="36">
        <v>15</v>
      </c>
      <c r="E358" s="36">
        <v>20</v>
      </c>
      <c r="F358" s="36">
        <f t="shared" ref="F358:F374" si="145">D358+E358</f>
        <v>35</v>
      </c>
      <c r="G358" s="37">
        <f t="shared" ref="G358:G374" si="146">H358*J358</f>
        <v>4320</v>
      </c>
      <c r="H358" s="36">
        <f t="shared" ref="H358:H374" si="147">F358-I358</f>
        <v>27</v>
      </c>
      <c r="I358" s="36">
        <v>8</v>
      </c>
      <c r="J358" s="37">
        <v>160</v>
      </c>
      <c r="K358" s="37">
        <f t="shared" ref="K358:K374" si="148">I358*J358</f>
        <v>1280</v>
      </c>
      <c r="L358" s="62" t="s">
        <v>627</v>
      </c>
    </row>
    <row r="359" spans="1:12" ht="24" customHeight="1" x14ac:dyDescent="0.5">
      <c r="A359" s="92">
        <v>325</v>
      </c>
      <c r="B359" s="91" t="s">
        <v>370</v>
      </c>
      <c r="C359" s="59" t="s">
        <v>611</v>
      </c>
      <c r="D359" s="36">
        <v>3</v>
      </c>
      <c r="E359" s="36">
        <v>0</v>
      </c>
      <c r="F359" s="36">
        <f t="shared" si="145"/>
        <v>3</v>
      </c>
      <c r="G359" s="37">
        <f t="shared" si="146"/>
        <v>160</v>
      </c>
      <c r="H359" s="36">
        <f t="shared" si="147"/>
        <v>1</v>
      </c>
      <c r="I359" s="36">
        <v>2</v>
      </c>
      <c r="J359" s="37">
        <v>160</v>
      </c>
      <c r="K359" s="37">
        <f t="shared" si="148"/>
        <v>320</v>
      </c>
      <c r="L359" s="90" t="s">
        <v>731</v>
      </c>
    </row>
    <row r="360" spans="1:12" ht="24" customHeight="1" x14ac:dyDescent="0.5">
      <c r="A360" s="92">
        <v>326</v>
      </c>
      <c r="B360" s="91" t="s">
        <v>371</v>
      </c>
      <c r="C360" s="59" t="s">
        <v>611</v>
      </c>
      <c r="D360" s="36">
        <v>35</v>
      </c>
      <c r="E360" s="36">
        <v>140</v>
      </c>
      <c r="F360" s="36">
        <f t="shared" si="145"/>
        <v>175</v>
      </c>
      <c r="G360" s="37">
        <f t="shared" si="146"/>
        <v>18125</v>
      </c>
      <c r="H360" s="36">
        <f t="shared" si="147"/>
        <v>125</v>
      </c>
      <c r="I360" s="36">
        <v>50</v>
      </c>
      <c r="J360" s="37">
        <v>145</v>
      </c>
      <c r="K360" s="37">
        <f t="shared" si="148"/>
        <v>7250</v>
      </c>
      <c r="L360" s="90" t="s">
        <v>16</v>
      </c>
    </row>
    <row r="361" spans="1:12" ht="24" customHeight="1" x14ac:dyDescent="0.5">
      <c r="A361" s="92">
        <v>327</v>
      </c>
      <c r="B361" s="91" t="s">
        <v>363</v>
      </c>
      <c r="C361" s="59" t="s">
        <v>191</v>
      </c>
      <c r="D361" s="36">
        <v>0</v>
      </c>
      <c r="E361" s="36">
        <v>50</v>
      </c>
      <c r="F361" s="36">
        <f t="shared" si="145"/>
        <v>50</v>
      </c>
      <c r="G361" s="37">
        <f t="shared" si="146"/>
        <v>69750</v>
      </c>
      <c r="H361" s="36">
        <f t="shared" si="147"/>
        <v>50</v>
      </c>
      <c r="I361" s="36">
        <v>0</v>
      </c>
      <c r="J361" s="37">
        <v>1395</v>
      </c>
      <c r="K361" s="37">
        <f t="shared" si="148"/>
        <v>0</v>
      </c>
      <c r="L361" s="90"/>
    </row>
    <row r="362" spans="1:12" ht="24" customHeight="1" x14ac:dyDescent="0.5">
      <c r="A362" s="92">
        <v>328</v>
      </c>
      <c r="B362" s="91" t="s">
        <v>364</v>
      </c>
      <c r="C362" s="59" t="s">
        <v>606</v>
      </c>
      <c r="D362" s="36">
        <v>2</v>
      </c>
      <c r="E362" s="36">
        <v>30</v>
      </c>
      <c r="F362" s="36">
        <f t="shared" si="145"/>
        <v>32</v>
      </c>
      <c r="G362" s="37">
        <f t="shared" si="146"/>
        <v>7750</v>
      </c>
      <c r="H362" s="36">
        <f t="shared" si="147"/>
        <v>25</v>
      </c>
      <c r="I362" s="36">
        <v>7</v>
      </c>
      <c r="J362" s="37">
        <v>310</v>
      </c>
      <c r="K362" s="37">
        <f t="shared" si="148"/>
        <v>2170</v>
      </c>
      <c r="L362" s="62" t="s">
        <v>627</v>
      </c>
    </row>
    <row r="363" spans="1:12" ht="24" customHeight="1" x14ac:dyDescent="0.5">
      <c r="A363" s="92">
        <v>329</v>
      </c>
      <c r="B363" s="91" t="s">
        <v>365</v>
      </c>
      <c r="C363" s="59" t="s">
        <v>606</v>
      </c>
      <c r="D363" s="36">
        <v>33</v>
      </c>
      <c r="E363" s="36">
        <v>24</v>
      </c>
      <c r="F363" s="36">
        <f t="shared" si="145"/>
        <v>57</v>
      </c>
      <c r="G363" s="37">
        <f t="shared" si="146"/>
        <v>21450</v>
      </c>
      <c r="H363" s="36">
        <f t="shared" si="147"/>
        <v>33</v>
      </c>
      <c r="I363" s="36">
        <v>24</v>
      </c>
      <c r="J363" s="37">
        <v>650</v>
      </c>
      <c r="K363" s="37">
        <f t="shared" si="148"/>
        <v>15600</v>
      </c>
      <c r="L363" s="83" t="s">
        <v>463</v>
      </c>
    </row>
    <row r="364" spans="1:12" ht="24" customHeight="1" x14ac:dyDescent="0.5">
      <c r="A364" s="92">
        <v>330</v>
      </c>
      <c r="B364" s="91" t="s">
        <v>501</v>
      </c>
      <c r="C364" s="59" t="s">
        <v>191</v>
      </c>
      <c r="D364" s="36">
        <v>0</v>
      </c>
      <c r="E364" s="36">
        <v>440</v>
      </c>
      <c r="F364" s="36">
        <f t="shared" si="145"/>
        <v>440</v>
      </c>
      <c r="G364" s="37">
        <f t="shared" si="146"/>
        <v>184200</v>
      </c>
      <c r="H364" s="36">
        <f t="shared" si="147"/>
        <v>307</v>
      </c>
      <c r="I364" s="36">
        <v>133</v>
      </c>
      <c r="J364" s="37">
        <v>600</v>
      </c>
      <c r="K364" s="37">
        <f t="shared" si="148"/>
        <v>79800</v>
      </c>
      <c r="L364" s="90" t="s">
        <v>17</v>
      </c>
    </row>
    <row r="365" spans="1:12" ht="24" customHeight="1" x14ac:dyDescent="0.5">
      <c r="A365" s="92">
        <v>331</v>
      </c>
      <c r="B365" s="91" t="s">
        <v>366</v>
      </c>
      <c r="C365" s="59" t="s">
        <v>38</v>
      </c>
      <c r="D365" s="36">
        <v>0</v>
      </c>
      <c r="E365" s="36">
        <v>8500</v>
      </c>
      <c r="F365" s="36">
        <f t="shared" si="145"/>
        <v>8500</v>
      </c>
      <c r="G365" s="37">
        <f t="shared" si="146"/>
        <v>204000</v>
      </c>
      <c r="H365" s="36">
        <f t="shared" si="147"/>
        <v>8500</v>
      </c>
      <c r="I365" s="36">
        <v>0</v>
      </c>
      <c r="J365" s="37">
        <v>24</v>
      </c>
      <c r="K365" s="37">
        <f t="shared" si="148"/>
        <v>0</v>
      </c>
      <c r="L365" s="90"/>
    </row>
    <row r="366" spans="1:12" ht="24" customHeight="1" x14ac:dyDescent="0.5">
      <c r="A366" s="92">
        <v>332</v>
      </c>
      <c r="B366" s="91" t="s">
        <v>571</v>
      </c>
      <c r="C366" s="59" t="s">
        <v>38</v>
      </c>
      <c r="D366" s="36">
        <v>0</v>
      </c>
      <c r="E366" s="36">
        <v>8000</v>
      </c>
      <c r="F366" s="36">
        <f t="shared" si="145"/>
        <v>8000</v>
      </c>
      <c r="G366" s="37">
        <f t="shared" si="146"/>
        <v>192000</v>
      </c>
      <c r="H366" s="36">
        <f t="shared" si="147"/>
        <v>8000</v>
      </c>
      <c r="I366" s="36">
        <v>0</v>
      </c>
      <c r="J366" s="37">
        <v>24</v>
      </c>
      <c r="K366" s="37">
        <f t="shared" si="148"/>
        <v>0</v>
      </c>
      <c r="L366" s="62" t="s">
        <v>627</v>
      </c>
    </row>
    <row r="367" spans="1:12" ht="24" customHeight="1" x14ac:dyDescent="0.5">
      <c r="A367" s="92">
        <v>333</v>
      </c>
      <c r="B367" s="91" t="s">
        <v>367</v>
      </c>
      <c r="C367" s="59" t="s">
        <v>607</v>
      </c>
      <c r="D367" s="36">
        <v>0</v>
      </c>
      <c r="E367" s="36">
        <v>192</v>
      </c>
      <c r="F367" s="36">
        <f t="shared" si="145"/>
        <v>192</v>
      </c>
      <c r="G367" s="37">
        <f t="shared" si="146"/>
        <v>163200</v>
      </c>
      <c r="H367" s="36">
        <f t="shared" si="147"/>
        <v>192</v>
      </c>
      <c r="I367" s="36">
        <v>0</v>
      </c>
      <c r="J367" s="37">
        <v>850</v>
      </c>
      <c r="K367" s="37">
        <f t="shared" si="148"/>
        <v>0</v>
      </c>
      <c r="L367" s="83" t="s">
        <v>462</v>
      </c>
    </row>
    <row r="368" spans="1:12" ht="24" customHeight="1" x14ac:dyDescent="0.5">
      <c r="A368" s="92">
        <v>334</v>
      </c>
      <c r="B368" s="91" t="s">
        <v>368</v>
      </c>
      <c r="C368" s="59" t="s">
        <v>606</v>
      </c>
      <c r="D368" s="36">
        <v>0</v>
      </c>
      <c r="E368" s="36">
        <v>1050</v>
      </c>
      <c r="F368" s="36">
        <f t="shared" si="145"/>
        <v>1050</v>
      </c>
      <c r="G368" s="37">
        <f t="shared" si="146"/>
        <v>1512000</v>
      </c>
      <c r="H368" s="36">
        <f t="shared" si="147"/>
        <v>1050</v>
      </c>
      <c r="I368" s="36">
        <v>0</v>
      </c>
      <c r="J368" s="37">
        <v>1440</v>
      </c>
      <c r="K368" s="37">
        <f t="shared" si="148"/>
        <v>0</v>
      </c>
      <c r="L368" s="83" t="s">
        <v>18</v>
      </c>
    </row>
    <row r="369" spans="1:12" ht="24" customHeight="1" x14ac:dyDescent="0.5">
      <c r="A369" s="92">
        <v>335</v>
      </c>
      <c r="B369" s="91" t="s">
        <v>378</v>
      </c>
      <c r="C369" s="59" t="s">
        <v>626</v>
      </c>
      <c r="D369" s="36">
        <v>0</v>
      </c>
      <c r="E369" s="36">
        <v>34000</v>
      </c>
      <c r="F369" s="36">
        <f t="shared" si="145"/>
        <v>34000</v>
      </c>
      <c r="G369" s="37">
        <f t="shared" si="146"/>
        <v>272000</v>
      </c>
      <c r="H369" s="36">
        <f t="shared" si="147"/>
        <v>34000</v>
      </c>
      <c r="I369" s="36">
        <v>0</v>
      </c>
      <c r="J369" s="37">
        <v>8</v>
      </c>
      <c r="K369" s="37">
        <f t="shared" si="148"/>
        <v>0</v>
      </c>
      <c r="L369" s="78"/>
    </row>
    <row r="370" spans="1:12" ht="24" customHeight="1" x14ac:dyDescent="0.5">
      <c r="A370" s="92">
        <v>336</v>
      </c>
      <c r="B370" s="91" t="s">
        <v>423</v>
      </c>
      <c r="C370" s="59" t="s">
        <v>606</v>
      </c>
      <c r="D370" s="36">
        <v>82</v>
      </c>
      <c r="E370" s="36">
        <v>300</v>
      </c>
      <c r="F370" s="36">
        <f t="shared" si="145"/>
        <v>382</v>
      </c>
      <c r="G370" s="37">
        <f t="shared" si="146"/>
        <v>449614</v>
      </c>
      <c r="H370" s="36">
        <f t="shared" si="147"/>
        <v>382</v>
      </c>
      <c r="I370" s="36">
        <v>0</v>
      </c>
      <c r="J370" s="37">
        <v>1177</v>
      </c>
      <c r="K370" s="37">
        <f t="shared" si="148"/>
        <v>0</v>
      </c>
      <c r="L370" s="62" t="s">
        <v>627</v>
      </c>
    </row>
    <row r="371" spans="1:12" ht="24" customHeight="1" x14ac:dyDescent="0.5">
      <c r="A371" s="92">
        <v>337</v>
      </c>
      <c r="B371" s="91" t="s">
        <v>372</v>
      </c>
      <c r="C371" s="59" t="s">
        <v>604</v>
      </c>
      <c r="D371" s="36">
        <v>0</v>
      </c>
      <c r="E371" s="36">
        <v>1400</v>
      </c>
      <c r="F371" s="36">
        <f t="shared" si="145"/>
        <v>1400</v>
      </c>
      <c r="G371" s="37">
        <f t="shared" si="146"/>
        <v>98000</v>
      </c>
      <c r="H371" s="36">
        <f t="shared" si="147"/>
        <v>1400</v>
      </c>
      <c r="I371" s="36">
        <v>0</v>
      </c>
      <c r="J371" s="37">
        <v>70</v>
      </c>
      <c r="K371" s="37">
        <f t="shared" si="148"/>
        <v>0</v>
      </c>
      <c r="L371" s="78" t="s">
        <v>434</v>
      </c>
    </row>
    <row r="372" spans="1:12" ht="24" customHeight="1" x14ac:dyDescent="0.5">
      <c r="A372" s="92">
        <v>338</v>
      </c>
      <c r="B372" s="91" t="s">
        <v>373</v>
      </c>
      <c r="C372" s="59" t="s">
        <v>610</v>
      </c>
      <c r="D372" s="36">
        <v>0</v>
      </c>
      <c r="E372" s="36">
        <v>5000</v>
      </c>
      <c r="F372" s="36">
        <f t="shared" si="145"/>
        <v>5000</v>
      </c>
      <c r="G372" s="37">
        <f t="shared" si="146"/>
        <v>10200</v>
      </c>
      <c r="H372" s="36">
        <f t="shared" si="147"/>
        <v>3400</v>
      </c>
      <c r="I372" s="36">
        <v>1600</v>
      </c>
      <c r="J372" s="37">
        <v>3</v>
      </c>
      <c r="K372" s="37">
        <f t="shared" si="148"/>
        <v>4800</v>
      </c>
      <c r="L372" s="83" t="s">
        <v>433</v>
      </c>
    </row>
    <row r="373" spans="1:12" ht="24" customHeight="1" x14ac:dyDescent="0.5">
      <c r="A373" s="92">
        <v>339</v>
      </c>
      <c r="B373" s="91" t="s">
        <v>374</v>
      </c>
      <c r="C373" s="59" t="s">
        <v>606</v>
      </c>
      <c r="D373" s="36">
        <v>0</v>
      </c>
      <c r="E373" s="36">
        <v>52</v>
      </c>
      <c r="F373" s="36">
        <f t="shared" si="145"/>
        <v>52</v>
      </c>
      <c r="G373" s="37">
        <f t="shared" si="146"/>
        <v>306020</v>
      </c>
      <c r="H373" s="36">
        <f t="shared" si="147"/>
        <v>52</v>
      </c>
      <c r="I373" s="36">
        <v>0</v>
      </c>
      <c r="J373" s="37">
        <v>5885</v>
      </c>
      <c r="K373" s="37">
        <f t="shared" si="148"/>
        <v>0</v>
      </c>
      <c r="L373" s="78"/>
    </row>
    <row r="374" spans="1:12" ht="24" customHeight="1" x14ac:dyDescent="0.5">
      <c r="A374" s="92">
        <v>340</v>
      </c>
      <c r="B374" s="91" t="s">
        <v>715</v>
      </c>
      <c r="C374" s="59" t="s">
        <v>50</v>
      </c>
      <c r="D374" s="36">
        <v>0</v>
      </c>
      <c r="E374" s="36">
        <v>30</v>
      </c>
      <c r="F374" s="36">
        <f t="shared" si="145"/>
        <v>30</v>
      </c>
      <c r="G374" s="37">
        <f t="shared" si="146"/>
        <v>11100</v>
      </c>
      <c r="H374" s="36">
        <f t="shared" si="147"/>
        <v>30</v>
      </c>
      <c r="I374" s="36">
        <v>0</v>
      </c>
      <c r="J374" s="37">
        <v>370</v>
      </c>
      <c r="K374" s="37">
        <f t="shared" si="148"/>
        <v>0</v>
      </c>
      <c r="L374" s="62" t="s">
        <v>627</v>
      </c>
    </row>
    <row r="375" spans="1:12" ht="24" customHeight="1" x14ac:dyDescent="0.5">
      <c r="A375" s="92"/>
      <c r="B375" s="53" t="s">
        <v>432</v>
      </c>
      <c r="C375" s="65"/>
      <c r="D375" s="38"/>
      <c r="E375" s="38"/>
      <c r="F375" s="38"/>
      <c r="G375" s="39">
        <f>SUM(G355:G374)</f>
        <v>4840889</v>
      </c>
      <c r="H375" s="38"/>
      <c r="I375" s="38"/>
      <c r="J375" s="39"/>
      <c r="K375" s="39">
        <f>SUM(K355:K374)</f>
        <v>111220</v>
      </c>
      <c r="L375" s="78" t="s">
        <v>503</v>
      </c>
    </row>
    <row r="376" spans="1:12" ht="24" customHeight="1" x14ac:dyDescent="0.5">
      <c r="A376" s="93"/>
      <c r="B376" s="93"/>
      <c r="C376" s="79"/>
      <c r="D376" s="40"/>
      <c r="E376" s="40"/>
      <c r="F376" s="40"/>
      <c r="G376" s="41"/>
      <c r="H376" s="40"/>
      <c r="I376" s="40"/>
      <c r="J376" s="41"/>
      <c r="K376" s="41"/>
      <c r="L376" s="83" t="s">
        <v>435</v>
      </c>
    </row>
    <row r="377" spans="1:12" ht="24" customHeight="1" x14ac:dyDescent="0.5">
      <c r="A377" s="92">
        <v>341</v>
      </c>
      <c r="B377" s="91" t="s">
        <v>572</v>
      </c>
      <c r="C377" s="59" t="s">
        <v>604</v>
      </c>
      <c r="D377" s="36">
        <v>150</v>
      </c>
      <c r="E377" s="36">
        <v>300</v>
      </c>
      <c r="F377" s="36">
        <f t="shared" ref="F377:F378" si="149">D377+E377</f>
        <v>450</v>
      </c>
      <c r="G377" s="37">
        <f t="shared" ref="G377:G378" si="150">H377*J377</f>
        <v>57780</v>
      </c>
      <c r="H377" s="36">
        <f t="shared" ref="H377:H378" si="151">F377-I377</f>
        <v>300</v>
      </c>
      <c r="I377" s="36">
        <v>150</v>
      </c>
      <c r="J377" s="37">
        <v>192.6</v>
      </c>
      <c r="K377" s="37">
        <f t="shared" ref="K377:K378" si="152">I377*J377</f>
        <v>28890</v>
      </c>
      <c r="L377" s="83" t="s">
        <v>15</v>
      </c>
    </row>
    <row r="378" spans="1:12" ht="24" customHeight="1" x14ac:dyDescent="0.5">
      <c r="A378" s="92">
        <v>342</v>
      </c>
      <c r="B378" s="91" t="s">
        <v>375</v>
      </c>
      <c r="C378" s="59" t="s">
        <v>606</v>
      </c>
      <c r="D378" s="36">
        <v>0</v>
      </c>
      <c r="E378" s="36">
        <v>296</v>
      </c>
      <c r="F378" s="36">
        <f t="shared" si="149"/>
        <v>296</v>
      </c>
      <c r="G378" s="37">
        <f t="shared" si="150"/>
        <v>3008840</v>
      </c>
      <c r="H378" s="36">
        <f t="shared" si="151"/>
        <v>296</v>
      </c>
      <c r="I378" s="36">
        <v>0</v>
      </c>
      <c r="J378" s="37">
        <v>10165</v>
      </c>
      <c r="K378" s="37">
        <f t="shared" si="152"/>
        <v>0</v>
      </c>
      <c r="L378" s="78" t="s">
        <v>716</v>
      </c>
    </row>
    <row r="379" spans="1:12" ht="24" customHeight="1" x14ac:dyDescent="0.5">
      <c r="A379" s="92"/>
      <c r="B379" s="53" t="s">
        <v>432</v>
      </c>
      <c r="C379" s="65"/>
      <c r="D379" s="38"/>
      <c r="E379" s="38"/>
      <c r="F379" s="38"/>
      <c r="G379" s="39">
        <f>SUM(G377:G378)</f>
        <v>3066620</v>
      </c>
      <c r="H379" s="38"/>
      <c r="I379" s="38"/>
      <c r="J379" s="39"/>
      <c r="K379" s="39">
        <f>SUM(K377:K378)</f>
        <v>28890</v>
      </c>
      <c r="L379" s="83"/>
    </row>
    <row r="380" spans="1:12" ht="24" customHeight="1" x14ac:dyDescent="0.5">
      <c r="A380" s="92"/>
      <c r="B380" s="53" t="s">
        <v>628</v>
      </c>
      <c r="C380" s="86"/>
      <c r="D380" s="29"/>
      <c r="E380" s="30"/>
      <c r="F380" s="31"/>
      <c r="G380" s="32">
        <f>SUM(G379+G375+G353+G331+G309+G287+G265+G243+G221+G199+G177+G155+G133+G111+G89+G67+G45+G23)</f>
        <v>61851100.159999996</v>
      </c>
      <c r="H380" s="29"/>
      <c r="I380" s="29"/>
      <c r="J380" s="32"/>
      <c r="K380" s="32">
        <f>SUM(K379+K375+K353+K331+K309+K287+K265+K243+K221+K199+K177+K155+K133+K111+K89+K67+K45+K23)</f>
        <v>2752509.48</v>
      </c>
      <c r="L380" s="62" t="s">
        <v>627</v>
      </c>
    </row>
    <row r="381" spans="1:12" ht="24" customHeight="1" x14ac:dyDescent="0.5">
      <c r="A381" s="94"/>
      <c r="L381" s="90" t="s">
        <v>731</v>
      </c>
    </row>
    <row r="382" spans="1:12" ht="24" customHeight="1" x14ac:dyDescent="0.5">
      <c r="A382" s="94"/>
      <c r="L382" s="90" t="s">
        <v>16</v>
      </c>
    </row>
    <row r="383" spans="1:12" ht="24" customHeight="1" x14ac:dyDescent="0.5">
      <c r="L383" s="90"/>
    </row>
    <row r="384" spans="1:12" ht="24" customHeight="1" x14ac:dyDescent="0.5">
      <c r="L384" s="62" t="s">
        <v>627</v>
      </c>
    </row>
    <row r="385" spans="12:12" ht="24" customHeight="1" x14ac:dyDescent="0.5">
      <c r="L385" s="83" t="s">
        <v>463</v>
      </c>
    </row>
    <row r="386" spans="12:12" ht="24" customHeight="1" x14ac:dyDescent="0.5">
      <c r="L386" s="90" t="s">
        <v>17</v>
      </c>
    </row>
    <row r="387" spans="12:12" ht="24" customHeight="1" x14ac:dyDescent="0.5">
      <c r="L387" s="90"/>
    </row>
    <row r="388" spans="12:12" ht="24" customHeight="1" x14ac:dyDescent="0.5">
      <c r="L388" s="62" t="s">
        <v>627</v>
      </c>
    </row>
    <row r="389" spans="12:12" ht="24" customHeight="1" x14ac:dyDescent="0.5">
      <c r="L389" s="83" t="s">
        <v>462</v>
      </c>
    </row>
    <row r="390" spans="12:12" ht="24" customHeight="1" x14ac:dyDescent="0.5">
      <c r="L390" s="83" t="s">
        <v>18</v>
      </c>
    </row>
    <row r="391" spans="12:12" ht="24" customHeight="1" x14ac:dyDescent="0.5">
      <c r="L391" s="78"/>
    </row>
    <row r="392" spans="12:12" ht="24" customHeight="1" x14ac:dyDescent="0.5">
      <c r="L392" s="62" t="s">
        <v>627</v>
      </c>
    </row>
    <row r="393" spans="12:12" ht="24" customHeight="1" x14ac:dyDescent="0.5">
      <c r="L393" s="78" t="s">
        <v>434</v>
      </c>
    </row>
    <row r="394" spans="12:12" ht="24" customHeight="1" x14ac:dyDescent="0.5">
      <c r="L394" s="83" t="s">
        <v>433</v>
      </c>
    </row>
    <row r="395" spans="12:12" ht="24" customHeight="1" x14ac:dyDescent="0.5">
      <c r="L395" s="78"/>
    </row>
    <row r="396" spans="12:12" ht="24" customHeight="1" x14ac:dyDescent="0.5">
      <c r="L396" s="62" t="s">
        <v>627</v>
      </c>
    </row>
    <row r="397" spans="12:12" ht="24" customHeight="1" x14ac:dyDescent="0.5">
      <c r="L397" s="78" t="s">
        <v>503</v>
      </c>
    </row>
    <row r="398" spans="12:12" ht="24" customHeight="1" x14ac:dyDescent="0.5">
      <c r="L398" s="83" t="s">
        <v>435</v>
      </c>
    </row>
  </sheetData>
  <mergeCells count="5">
    <mergeCell ref="A1:A2"/>
    <mergeCell ref="B1:B2"/>
    <mergeCell ref="C1:C2"/>
    <mergeCell ref="D1:F1"/>
    <mergeCell ref="I1:K1"/>
  </mergeCells>
  <pageMargins left="0.70866141732283472" right="0.19685039370078741" top="0.94488188976377963" bottom="0.15748031496062992" header="0.19685039370078741" footer="0.19685039370078741"/>
  <pageSetup paperSize="9" scale="95" firstPageNumber="11" orientation="landscape" useFirstPageNumber="1" r:id="rId1"/>
  <headerFooter scaleWithDoc="0" alignWithMargins="0">
    <oddHeader>&amp;C&amp;"TH SarabunPSK,ตัวหนา"&amp;20รายงานรับ -จ่ายพัสดุ
ประจำปีงบประมาณ 2568&amp;R&amp;"Angsana New,ธรรมดา"หน้า &amp;P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879CF-49EF-48A5-85FC-BF47E4BD4B92}">
  <sheetPr>
    <tabColor rgb="FF7030A0"/>
  </sheetPr>
  <dimension ref="A1:P211"/>
  <sheetViews>
    <sheetView topLeftCell="A83" zoomScaleSheetLayoutView="95" zoomScalePageLayoutView="98" workbookViewId="0">
      <selection activeCell="B84" sqref="B84"/>
    </sheetView>
  </sheetViews>
  <sheetFormatPr defaultColWidth="9.140625" defaultRowHeight="21" customHeight="1" x14ac:dyDescent="0.5"/>
  <cols>
    <col min="1" max="1" width="4.28515625" style="66" customWidth="1"/>
    <col min="2" max="2" width="43.5703125" style="76" customWidth="1"/>
    <col min="3" max="3" width="8.42578125" style="66" customWidth="1"/>
    <col min="4" max="4" width="8.42578125" style="3" customWidth="1"/>
    <col min="5" max="5" width="9" style="3" customWidth="1"/>
    <col min="6" max="6" width="8.85546875" style="12" customWidth="1"/>
    <col min="7" max="7" width="13.28515625" style="16" customWidth="1"/>
    <col min="8" max="8" width="9.5703125" style="12" customWidth="1"/>
    <col min="9" max="9" width="8.28515625" style="12" customWidth="1"/>
    <col min="10" max="10" width="10" style="16" customWidth="1"/>
    <col min="11" max="11" width="11.7109375" style="16" customWidth="1"/>
    <col min="12" max="12" width="23.42578125" style="77" customWidth="1"/>
    <col min="13" max="16384" width="9.140625" style="60"/>
  </cols>
  <sheetData>
    <row r="1" spans="1:12" s="55" customFormat="1" ht="21" customHeight="1" x14ac:dyDescent="0.5">
      <c r="A1" s="95" t="s">
        <v>0</v>
      </c>
      <c r="B1" s="95" t="s">
        <v>1</v>
      </c>
      <c r="C1" s="95" t="s">
        <v>430</v>
      </c>
      <c r="D1" s="103" t="s">
        <v>2</v>
      </c>
      <c r="E1" s="103"/>
      <c r="F1" s="103"/>
      <c r="G1" s="13" t="s">
        <v>3</v>
      </c>
      <c r="H1" s="1" t="s">
        <v>4</v>
      </c>
      <c r="I1" s="103" t="s">
        <v>5</v>
      </c>
      <c r="J1" s="103"/>
      <c r="K1" s="103"/>
      <c r="L1" s="54" t="s">
        <v>13</v>
      </c>
    </row>
    <row r="2" spans="1:12" s="56" customFormat="1" ht="21" customHeight="1" x14ac:dyDescent="0.5">
      <c r="A2" s="95"/>
      <c r="B2" s="95"/>
      <c r="C2" s="95"/>
      <c r="D2" s="1" t="s">
        <v>6</v>
      </c>
      <c r="E2" s="1" t="s">
        <v>7</v>
      </c>
      <c r="F2" s="1" t="s">
        <v>8</v>
      </c>
      <c r="G2" s="13" t="s">
        <v>9</v>
      </c>
      <c r="H2" s="1" t="s">
        <v>10</v>
      </c>
      <c r="I2" s="1" t="s">
        <v>11</v>
      </c>
      <c r="J2" s="13" t="s">
        <v>12</v>
      </c>
      <c r="K2" s="13" t="s">
        <v>431</v>
      </c>
      <c r="L2" s="54" t="s">
        <v>14</v>
      </c>
    </row>
    <row r="3" spans="1:12" ht="24" customHeight="1" x14ac:dyDescent="0.5">
      <c r="A3" s="57">
        <v>1</v>
      </c>
      <c r="B3" s="58" t="s">
        <v>468</v>
      </c>
      <c r="C3" s="59" t="s">
        <v>24</v>
      </c>
      <c r="D3" s="20">
        <v>0</v>
      </c>
      <c r="E3" s="20">
        <v>620</v>
      </c>
      <c r="F3" s="20">
        <f>D3+E3</f>
        <v>620</v>
      </c>
      <c r="G3" s="21">
        <f>H3*J3</f>
        <v>465000</v>
      </c>
      <c r="H3" s="20">
        <f>F3-I3</f>
        <v>620</v>
      </c>
      <c r="I3" s="20">
        <v>0</v>
      </c>
      <c r="J3" s="21">
        <v>750</v>
      </c>
      <c r="K3" s="21">
        <f>I3*J3</f>
        <v>0</v>
      </c>
      <c r="L3" s="54" t="s">
        <v>15</v>
      </c>
    </row>
    <row r="4" spans="1:12" ht="24" customHeight="1" x14ac:dyDescent="0.5">
      <c r="A4" s="57">
        <v>2</v>
      </c>
      <c r="B4" s="58" t="s">
        <v>587</v>
      </c>
      <c r="C4" s="59" t="s">
        <v>607</v>
      </c>
      <c r="D4" s="20">
        <v>0</v>
      </c>
      <c r="E4" s="20">
        <v>84</v>
      </c>
      <c r="F4" s="20">
        <f t="shared" ref="F4:F22" si="0">D4+E4</f>
        <v>84</v>
      </c>
      <c r="G4" s="21">
        <f t="shared" ref="G4:G22" si="1">H4*J4</f>
        <v>3507</v>
      </c>
      <c r="H4" s="20">
        <f t="shared" ref="H4:H22" si="2">F4-I4</f>
        <v>84</v>
      </c>
      <c r="I4" s="20">
        <v>0</v>
      </c>
      <c r="J4" s="21">
        <v>41.75</v>
      </c>
      <c r="K4" s="21">
        <f t="shared" ref="K4:K22" si="3">I4*J4</f>
        <v>0</v>
      </c>
      <c r="L4" s="54" t="s">
        <v>716</v>
      </c>
    </row>
    <row r="5" spans="1:12" ht="24" customHeight="1" x14ac:dyDescent="0.5">
      <c r="A5" s="57">
        <v>3</v>
      </c>
      <c r="B5" s="58" t="s">
        <v>21</v>
      </c>
      <c r="C5" s="59" t="s">
        <v>606</v>
      </c>
      <c r="D5" s="20">
        <v>0</v>
      </c>
      <c r="E5" s="20">
        <v>25</v>
      </c>
      <c r="F5" s="20">
        <f t="shared" si="0"/>
        <v>25</v>
      </c>
      <c r="G5" s="21">
        <f t="shared" si="1"/>
        <v>4815</v>
      </c>
      <c r="H5" s="20">
        <f t="shared" si="2"/>
        <v>25</v>
      </c>
      <c r="I5" s="20">
        <v>0</v>
      </c>
      <c r="J5" s="21">
        <v>192.6</v>
      </c>
      <c r="K5" s="21">
        <f t="shared" si="3"/>
        <v>0</v>
      </c>
      <c r="L5" s="61"/>
    </row>
    <row r="6" spans="1:12" ht="24" customHeight="1" x14ac:dyDescent="0.5">
      <c r="A6" s="57">
        <v>4</v>
      </c>
      <c r="B6" s="58" t="s">
        <v>22</v>
      </c>
      <c r="C6" s="59" t="s">
        <v>606</v>
      </c>
      <c r="D6" s="20">
        <v>0</v>
      </c>
      <c r="E6" s="20">
        <v>16</v>
      </c>
      <c r="F6" s="20">
        <f t="shared" si="0"/>
        <v>16</v>
      </c>
      <c r="G6" s="21">
        <f t="shared" si="1"/>
        <v>10256</v>
      </c>
      <c r="H6" s="20">
        <f t="shared" si="2"/>
        <v>16</v>
      </c>
      <c r="I6" s="20">
        <v>0</v>
      </c>
      <c r="J6" s="21">
        <v>641</v>
      </c>
      <c r="K6" s="21">
        <f t="shared" si="3"/>
        <v>0</v>
      </c>
      <c r="L6" s="62" t="s">
        <v>627</v>
      </c>
    </row>
    <row r="7" spans="1:12" ht="24" customHeight="1" x14ac:dyDescent="0.5">
      <c r="A7" s="57">
        <v>5</v>
      </c>
      <c r="B7" s="58" t="s">
        <v>454</v>
      </c>
      <c r="C7" s="59" t="s">
        <v>606</v>
      </c>
      <c r="D7" s="20">
        <v>0</v>
      </c>
      <c r="E7" s="20">
        <v>3</v>
      </c>
      <c r="F7" s="20">
        <f t="shared" si="0"/>
        <v>3</v>
      </c>
      <c r="G7" s="21">
        <f t="shared" si="1"/>
        <v>20865</v>
      </c>
      <c r="H7" s="20">
        <f t="shared" si="2"/>
        <v>3</v>
      </c>
      <c r="I7" s="20">
        <v>0</v>
      </c>
      <c r="J7" s="21">
        <v>6955</v>
      </c>
      <c r="K7" s="21">
        <f t="shared" si="3"/>
        <v>0</v>
      </c>
      <c r="L7" s="54" t="s">
        <v>732</v>
      </c>
    </row>
    <row r="8" spans="1:12" ht="24" customHeight="1" x14ac:dyDescent="0.5">
      <c r="A8" s="57">
        <v>6</v>
      </c>
      <c r="B8" s="58" t="s">
        <v>470</v>
      </c>
      <c r="C8" s="59" t="s">
        <v>608</v>
      </c>
      <c r="D8" s="20">
        <v>0</v>
      </c>
      <c r="E8" s="20">
        <v>300</v>
      </c>
      <c r="F8" s="20">
        <f t="shared" si="0"/>
        <v>300</v>
      </c>
      <c r="G8" s="21">
        <f t="shared" si="1"/>
        <v>75000</v>
      </c>
      <c r="H8" s="20">
        <f t="shared" si="2"/>
        <v>300</v>
      </c>
      <c r="I8" s="20">
        <v>0</v>
      </c>
      <c r="J8" s="21">
        <v>250</v>
      </c>
      <c r="K8" s="21">
        <f t="shared" si="3"/>
        <v>0</v>
      </c>
      <c r="L8" s="54" t="s">
        <v>19</v>
      </c>
    </row>
    <row r="9" spans="1:12" ht="24" customHeight="1" x14ac:dyDescent="0.5">
      <c r="A9" s="57">
        <v>7</v>
      </c>
      <c r="B9" s="58" t="s">
        <v>23</v>
      </c>
      <c r="C9" s="59" t="s">
        <v>24</v>
      </c>
      <c r="D9" s="20">
        <v>0</v>
      </c>
      <c r="E9" s="20">
        <v>60</v>
      </c>
      <c r="F9" s="20">
        <f t="shared" si="0"/>
        <v>60</v>
      </c>
      <c r="G9" s="21">
        <f t="shared" si="1"/>
        <v>150000</v>
      </c>
      <c r="H9" s="20">
        <f t="shared" si="2"/>
        <v>60</v>
      </c>
      <c r="I9" s="20">
        <v>0</v>
      </c>
      <c r="J9" s="21">
        <v>2500</v>
      </c>
      <c r="K9" s="21">
        <f t="shared" si="3"/>
        <v>0</v>
      </c>
      <c r="L9" s="63"/>
    </row>
    <row r="10" spans="1:12" ht="24" customHeight="1" x14ac:dyDescent="0.5">
      <c r="A10" s="57">
        <v>8</v>
      </c>
      <c r="B10" s="58" t="s">
        <v>25</v>
      </c>
      <c r="C10" s="59" t="s">
        <v>609</v>
      </c>
      <c r="D10" s="20">
        <v>0</v>
      </c>
      <c r="E10" s="20">
        <v>13</v>
      </c>
      <c r="F10" s="20">
        <f t="shared" si="0"/>
        <v>13</v>
      </c>
      <c r="G10" s="21">
        <f t="shared" si="1"/>
        <v>1808.3</v>
      </c>
      <c r="H10" s="20">
        <f t="shared" si="2"/>
        <v>13</v>
      </c>
      <c r="I10" s="20">
        <v>0</v>
      </c>
      <c r="J10" s="21">
        <v>139.1</v>
      </c>
      <c r="K10" s="21">
        <f t="shared" si="3"/>
        <v>0</v>
      </c>
      <c r="L10" s="62" t="s">
        <v>627</v>
      </c>
    </row>
    <row r="11" spans="1:12" ht="24" customHeight="1" x14ac:dyDescent="0.5">
      <c r="A11" s="57">
        <v>9</v>
      </c>
      <c r="B11" s="58" t="s">
        <v>469</v>
      </c>
      <c r="C11" s="59" t="s">
        <v>606</v>
      </c>
      <c r="D11" s="20">
        <v>0</v>
      </c>
      <c r="E11" s="20">
        <v>1</v>
      </c>
      <c r="F11" s="20">
        <f t="shared" si="0"/>
        <v>1</v>
      </c>
      <c r="G11" s="21">
        <f t="shared" si="1"/>
        <v>353.1</v>
      </c>
      <c r="H11" s="20">
        <f t="shared" si="2"/>
        <v>1</v>
      </c>
      <c r="I11" s="20">
        <v>0</v>
      </c>
      <c r="J11" s="21">
        <v>353.1</v>
      </c>
      <c r="K11" s="21">
        <f t="shared" si="3"/>
        <v>0</v>
      </c>
      <c r="L11" s="54" t="s">
        <v>733</v>
      </c>
    </row>
    <row r="12" spans="1:12" ht="24" customHeight="1" x14ac:dyDescent="0.5">
      <c r="A12" s="57">
        <v>10</v>
      </c>
      <c r="B12" s="58" t="s">
        <v>588</v>
      </c>
      <c r="C12" s="59" t="s">
        <v>607</v>
      </c>
      <c r="D12" s="20">
        <v>0</v>
      </c>
      <c r="E12" s="20">
        <v>20</v>
      </c>
      <c r="F12" s="20">
        <f t="shared" si="0"/>
        <v>20</v>
      </c>
      <c r="G12" s="21">
        <f t="shared" si="1"/>
        <v>19260</v>
      </c>
      <c r="H12" s="20">
        <f t="shared" si="2"/>
        <v>20</v>
      </c>
      <c r="I12" s="20">
        <v>0</v>
      </c>
      <c r="J12" s="21">
        <v>963</v>
      </c>
      <c r="K12" s="21">
        <f t="shared" si="3"/>
        <v>0</v>
      </c>
      <c r="L12" s="64" t="s">
        <v>20</v>
      </c>
    </row>
    <row r="13" spans="1:12" ht="24" customHeight="1" x14ac:dyDescent="0.5">
      <c r="A13" s="57">
        <v>11</v>
      </c>
      <c r="B13" s="58" t="s">
        <v>471</v>
      </c>
      <c r="C13" s="59" t="s">
        <v>607</v>
      </c>
      <c r="D13" s="20">
        <v>0</v>
      </c>
      <c r="E13" s="20">
        <v>12</v>
      </c>
      <c r="F13" s="20">
        <f t="shared" si="0"/>
        <v>12</v>
      </c>
      <c r="G13" s="21">
        <f t="shared" si="1"/>
        <v>5958.24</v>
      </c>
      <c r="H13" s="20">
        <f t="shared" si="2"/>
        <v>12</v>
      </c>
      <c r="I13" s="20">
        <v>0</v>
      </c>
      <c r="J13" s="21">
        <v>496.52</v>
      </c>
      <c r="K13" s="21">
        <f t="shared" si="3"/>
        <v>0</v>
      </c>
      <c r="L13" s="61"/>
    </row>
    <row r="14" spans="1:12" ht="24" customHeight="1" x14ac:dyDescent="0.5">
      <c r="A14" s="57">
        <v>12</v>
      </c>
      <c r="B14" s="58" t="s">
        <v>26</v>
      </c>
      <c r="C14" s="59" t="s">
        <v>609</v>
      </c>
      <c r="D14" s="20">
        <v>0</v>
      </c>
      <c r="E14" s="20">
        <v>25</v>
      </c>
      <c r="F14" s="20">
        <f t="shared" si="0"/>
        <v>25</v>
      </c>
      <c r="G14" s="21">
        <f t="shared" si="1"/>
        <v>37257.15</v>
      </c>
      <c r="H14" s="20">
        <f t="shared" si="2"/>
        <v>25</v>
      </c>
      <c r="I14" s="20">
        <v>0</v>
      </c>
      <c r="J14" s="21">
        <v>1490.2860000000001</v>
      </c>
      <c r="K14" s="21">
        <f t="shared" si="3"/>
        <v>0</v>
      </c>
      <c r="L14" s="62" t="s">
        <v>627</v>
      </c>
    </row>
    <row r="15" spans="1:12" ht="24" customHeight="1" x14ac:dyDescent="0.5">
      <c r="A15" s="57">
        <v>13</v>
      </c>
      <c r="B15" s="58" t="s">
        <v>27</v>
      </c>
      <c r="C15" s="59" t="s">
        <v>24</v>
      </c>
      <c r="D15" s="20">
        <v>0</v>
      </c>
      <c r="E15" s="20">
        <v>30</v>
      </c>
      <c r="F15" s="20">
        <f t="shared" si="0"/>
        <v>30</v>
      </c>
      <c r="G15" s="21">
        <f t="shared" si="1"/>
        <v>14580</v>
      </c>
      <c r="H15" s="20">
        <f t="shared" si="2"/>
        <v>30</v>
      </c>
      <c r="I15" s="20">
        <v>0</v>
      </c>
      <c r="J15" s="21">
        <v>486</v>
      </c>
      <c r="K15" s="21">
        <f t="shared" si="3"/>
        <v>0</v>
      </c>
      <c r="L15" s="54" t="s">
        <v>734</v>
      </c>
    </row>
    <row r="16" spans="1:12" ht="24" customHeight="1" x14ac:dyDescent="0.5">
      <c r="A16" s="57">
        <v>14</v>
      </c>
      <c r="B16" s="58" t="s">
        <v>28</v>
      </c>
      <c r="C16" s="59" t="s">
        <v>24</v>
      </c>
      <c r="D16" s="20">
        <v>0</v>
      </c>
      <c r="E16" s="20">
        <v>17</v>
      </c>
      <c r="F16" s="20">
        <f t="shared" si="0"/>
        <v>17</v>
      </c>
      <c r="G16" s="21">
        <f t="shared" si="1"/>
        <v>8731.2000000000007</v>
      </c>
      <c r="H16" s="20">
        <f t="shared" si="2"/>
        <v>17</v>
      </c>
      <c r="I16" s="20">
        <v>0</v>
      </c>
      <c r="J16" s="21">
        <v>513.6</v>
      </c>
      <c r="K16" s="21">
        <f t="shared" si="3"/>
        <v>0</v>
      </c>
      <c r="L16" s="64" t="s">
        <v>18</v>
      </c>
    </row>
    <row r="17" spans="1:12" ht="24" customHeight="1" x14ac:dyDescent="0.5">
      <c r="A17" s="57">
        <v>15</v>
      </c>
      <c r="B17" s="58" t="s">
        <v>399</v>
      </c>
      <c r="C17" s="59" t="s">
        <v>606</v>
      </c>
      <c r="D17" s="20">
        <v>0</v>
      </c>
      <c r="E17" s="20">
        <v>30</v>
      </c>
      <c r="F17" s="20">
        <f t="shared" si="0"/>
        <v>30</v>
      </c>
      <c r="G17" s="21">
        <f t="shared" si="1"/>
        <v>89880</v>
      </c>
      <c r="H17" s="20">
        <f t="shared" si="2"/>
        <v>30</v>
      </c>
      <c r="I17" s="20">
        <v>0</v>
      </c>
      <c r="J17" s="21">
        <v>2996</v>
      </c>
      <c r="K17" s="21">
        <f t="shared" si="3"/>
        <v>0</v>
      </c>
      <c r="L17" s="64"/>
    </row>
    <row r="18" spans="1:12" ht="24" customHeight="1" x14ac:dyDescent="0.5">
      <c r="A18" s="57">
        <v>16</v>
      </c>
      <c r="B18" s="58" t="s">
        <v>455</v>
      </c>
      <c r="C18" s="59" t="s">
        <v>607</v>
      </c>
      <c r="D18" s="20">
        <v>0</v>
      </c>
      <c r="E18" s="20">
        <v>73</v>
      </c>
      <c r="F18" s="20">
        <f t="shared" si="0"/>
        <v>73</v>
      </c>
      <c r="G18" s="21">
        <f t="shared" si="1"/>
        <v>8826.43</v>
      </c>
      <c r="H18" s="20">
        <f t="shared" si="2"/>
        <v>73</v>
      </c>
      <c r="I18" s="20">
        <v>0</v>
      </c>
      <c r="J18" s="21">
        <v>120.91</v>
      </c>
      <c r="K18" s="21">
        <f t="shared" si="3"/>
        <v>0</v>
      </c>
      <c r="L18" s="62" t="s">
        <v>627</v>
      </c>
    </row>
    <row r="19" spans="1:12" ht="24" customHeight="1" x14ac:dyDescent="0.5">
      <c r="A19" s="57">
        <v>17</v>
      </c>
      <c r="B19" s="58" t="s">
        <v>29</v>
      </c>
      <c r="C19" s="59" t="s">
        <v>606</v>
      </c>
      <c r="D19" s="20">
        <v>0</v>
      </c>
      <c r="E19" s="20">
        <v>200</v>
      </c>
      <c r="F19" s="20">
        <f t="shared" si="0"/>
        <v>200</v>
      </c>
      <c r="G19" s="21">
        <f t="shared" si="1"/>
        <v>85600</v>
      </c>
      <c r="H19" s="20">
        <f t="shared" si="2"/>
        <v>200</v>
      </c>
      <c r="I19" s="20">
        <v>0</v>
      </c>
      <c r="J19" s="21">
        <v>428</v>
      </c>
      <c r="K19" s="21">
        <f t="shared" si="3"/>
        <v>0</v>
      </c>
      <c r="L19" s="54" t="s">
        <v>434</v>
      </c>
    </row>
    <row r="20" spans="1:12" ht="24" customHeight="1" x14ac:dyDescent="0.5">
      <c r="A20" s="57">
        <v>18</v>
      </c>
      <c r="B20" s="58" t="s">
        <v>400</v>
      </c>
      <c r="C20" s="59" t="s">
        <v>606</v>
      </c>
      <c r="D20" s="20">
        <v>0</v>
      </c>
      <c r="E20" s="20">
        <v>3</v>
      </c>
      <c r="F20" s="20">
        <f t="shared" si="0"/>
        <v>3</v>
      </c>
      <c r="G20" s="21">
        <f t="shared" si="1"/>
        <v>2728.5</v>
      </c>
      <c r="H20" s="20">
        <f t="shared" si="2"/>
        <v>3</v>
      </c>
      <c r="I20" s="20">
        <v>0</v>
      </c>
      <c r="J20" s="21">
        <v>909.5</v>
      </c>
      <c r="K20" s="21">
        <f t="shared" si="3"/>
        <v>0</v>
      </c>
      <c r="L20" s="64" t="s">
        <v>433</v>
      </c>
    </row>
    <row r="21" spans="1:12" ht="24" customHeight="1" x14ac:dyDescent="0.5">
      <c r="A21" s="57">
        <v>19</v>
      </c>
      <c r="B21" s="58" t="s">
        <v>589</v>
      </c>
      <c r="C21" s="59" t="s">
        <v>606</v>
      </c>
      <c r="D21" s="20">
        <v>0</v>
      </c>
      <c r="E21" s="20">
        <v>7</v>
      </c>
      <c r="F21" s="20">
        <f t="shared" si="0"/>
        <v>7</v>
      </c>
      <c r="G21" s="21">
        <f t="shared" si="1"/>
        <v>2396.7999999999997</v>
      </c>
      <c r="H21" s="20">
        <f t="shared" si="2"/>
        <v>7</v>
      </c>
      <c r="I21" s="20">
        <v>0</v>
      </c>
      <c r="J21" s="21">
        <v>342.4</v>
      </c>
      <c r="K21" s="21">
        <f t="shared" si="3"/>
        <v>0</v>
      </c>
      <c r="L21" s="54"/>
    </row>
    <row r="22" spans="1:12" ht="24" customHeight="1" x14ac:dyDescent="0.5">
      <c r="A22" s="57">
        <v>20</v>
      </c>
      <c r="B22" s="58" t="s">
        <v>590</v>
      </c>
      <c r="C22" s="59" t="s">
        <v>607</v>
      </c>
      <c r="D22" s="20">
        <v>0</v>
      </c>
      <c r="E22" s="20">
        <v>2</v>
      </c>
      <c r="F22" s="20">
        <f t="shared" si="0"/>
        <v>2</v>
      </c>
      <c r="G22" s="21">
        <f t="shared" si="1"/>
        <v>2246</v>
      </c>
      <c r="H22" s="20">
        <f t="shared" si="2"/>
        <v>2</v>
      </c>
      <c r="I22" s="20">
        <v>0</v>
      </c>
      <c r="J22" s="21">
        <v>1123</v>
      </c>
      <c r="K22" s="21">
        <f t="shared" si="3"/>
        <v>0</v>
      </c>
      <c r="L22" s="62" t="s">
        <v>627</v>
      </c>
    </row>
    <row r="23" spans="1:12" ht="24" customHeight="1" x14ac:dyDescent="0.5">
      <c r="A23" s="65"/>
      <c r="B23" s="65" t="s">
        <v>432</v>
      </c>
      <c r="C23" s="65"/>
      <c r="D23" s="22"/>
      <c r="E23" s="23"/>
      <c r="F23" s="22"/>
      <c r="G23" s="24">
        <f>SUM(G3:G22)</f>
        <v>1009068.7200000001</v>
      </c>
      <c r="H23" s="22"/>
      <c r="I23" s="22"/>
      <c r="J23" s="24"/>
      <c r="K23" s="24">
        <f>SUM(K3:K22)</f>
        <v>0</v>
      </c>
      <c r="L23" s="54" t="s">
        <v>503</v>
      </c>
    </row>
    <row r="24" spans="1:12" ht="24" customHeight="1" x14ac:dyDescent="0.5">
      <c r="A24" s="12"/>
      <c r="B24" s="12"/>
      <c r="C24" s="3"/>
      <c r="D24" s="12"/>
      <c r="E24" s="12"/>
      <c r="L24" s="64" t="s">
        <v>435</v>
      </c>
    </row>
    <row r="25" spans="1:12" ht="24" customHeight="1" x14ac:dyDescent="0.5">
      <c r="A25" s="57">
        <v>21</v>
      </c>
      <c r="B25" s="58" t="s">
        <v>737</v>
      </c>
      <c r="C25" s="59" t="s">
        <v>606</v>
      </c>
      <c r="D25" s="20">
        <v>0</v>
      </c>
      <c r="E25" s="20">
        <v>1</v>
      </c>
      <c r="F25" s="20">
        <f>D25+E25</f>
        <v>1</v>
      </c>
      <c r="G25" s="21">
        <f>H25*J25</f>
        <v>107</v>
      </c>
      <c r="H25" s="20">
        <f>F25-I25</f>
        <v>1</v>
      </c>
      <c r="I25" s="20">
        <v>0</v>
      </c>
      <c r="J25" s="21">
        <v>107</v>
      </c>
      <c r="K25" s="21">
        <f>I25*J25</f>
        <v>0</v>
      </c>
      <c r="L25" s="54" t="s">
        <v>15</v>
      </c>
    </row>
    <row r="26" spans="1:12" ht="24" customHeight="1" x14ac:dyDescent="0.5">
      <c r="A26" s="57">
        <v>22</v>
      </c>
      <c r="B26" s="58" t="s">
        <v>738</v>
      </c>
      <c r="C26" s="59" t="s">
        <v>606</v>
      </c>
      <c r="D26" s="20">
        <v>0</v>
      </c>
      <c r="E26" s="20">
        <v>1</v>
      </c>
      <c r="F26" s="20">
        <f t="shared" ref="F26:F44" si="4">D26+E26</f>
        <v>1</v>
      </c>
      <c r="G26" s="21">
        <f t="shared" ref="G26:G44" si="5">H26*J26</f>
        <v>2996</v>
      </c>
      <c r="H26" s="20">
        <f t="shared" ref="H26:H44" si="6">F26-I26</f>
        <v>1</v>
      </c>
      <c r="I26" s="20">
        <v>0</v>
      </c>
      <c r="J26" s="21">
        <v>2996</v>
      </c>
      <c r="K26" s="21">
        <f t="shared" ref="K26:K44" si="7">I26*J26</f>
        <v>0</v>
      </c>
      <c r="L26" s="54" t="s">
        <v>716</v>
      </c>
    </row>
    <row r="27" spans="1:12" ht="24" customHeight="1" x14ac:dyDescent="0.5">
      <c r="A27" s="57">
        <v>23</v>
      </c>
      <c r="B27" s="58" t="s">
        <v>591</v>
      </c>
      <c r="C27" s="59" t="s">
        <v>606</v>
      </c>
      <c r="D27" s="20">
        <v>0</v>
      </c>
      <c r="E27" s="20">
        <v>3</v>
      </c>
      <c r="F27" s="20">
        <f t="shared" si="4"/>
        <v>3</v>
      </c>
      <c r="G27" s="21">
        <f t="shared" si="5"/>
        <v>1123.5</v>
      </c>
      <c r="H27" s="20">
        <f t="shared" si="6"/>
        <v>3</v>
      </c>
      <c r="I27" s="20">
        <v>0</v>
      </c>
      <c r="J27" s="21">
        <v>374.5</v>
      </c>
      <c r="K27" s="21">
        <f t="shared" si="7"/>
        <v>0</v>
      </c>
      <c r="L27" s="61"/>
    </row>
    <row r="28" spans="1:12" ht="24" customHeight="1" x14ac:dyDescent="0.5">
      <c r="A28" s="57">
        <v>24</v>
      </c>
      <c r="B28" s="58" t="s">
        <v>30</v>
      </c>
      <c r="C28" s="59" t="s">
        <v>607</v>
      </c>
      <c r="D28" s="20">
        <v>0</v>
      </c>
      <c r="E28" s="20">
        <v>156</v>
      </c>
      <c r="F28" s="20">
        <f t="shared" si="4"/>
        <v>156</v>
      </c>
      <c r="G28" s="21">
        <f t="shared" si="5"/>
        <v>11684.400000000001</v>
      </c>
      <c r="H28" s="20">
        <f t="shared" si="6"/>
        <v>156</v>
      </c>
      <c r="I28" s="20">
        <v>0</v>
      </c>
      <c r="J28" s="21">
        <v>74.900000000000006</v>
      </c>
      <c r="K28" s="21">
        <f t="shared" si="7"/>
        <v>0</v>
      </c>
      <c r="L28" s="62" t="s">
        <v>627</v>
      </c>
    </row>
    <row r="29" spans="1:12" ht="24" customHeight="1" x14ac:dyDescent="0.5">
      <c r="A29" s="57">
        <v>25</v>
      </c>
      <c r="B29" s="58" t="s">
        <v>31</v>
      </c>
      <c r="C29" s="59" t="s">
        <v>607</v>
      </c>
      <c r="D29" s="20">
        <v>0</v>
      </c>
      <c r="E29" s="20">
        <v>5400</v>
      </c>
      <c r="F29" s="20">
        <f t="shared" si="4"/>
        <v>5400</v>
      </c>
      <c r="G29" s="21">
        <f t="shared" si="5"/>
        <v>810000</v>
      </c>
      <c r="H29" s="20">
        <f t="shared" si="6"/>
        <v>5400</v>
      </c>
      <c r="I29" s="20">
        <v>0</v>
      </c>
      <c r="J29" s="21">
        <v>150</v>
      </c>
      <c r="K29" s="21">
        <f t="shared" si="7"/>
        <v>0</v>
      </c>
      <c r="L29" s="54" t="s">
        <v>732</v>
      </c>
    </row>
    <row r="30" spans="1:12" ht="24" customHeight="1" x14ac:dyDescent="0.5">
      <c r="A30" s="57">
        <v>26</v>
      </c>
      <c r="B30" s="58" t="s">
        <v>424</v>
      </c>
      <c r="C30" s="59" t="s">
        <v>606</v>
      </c>
      <c r="D30" s="20">
        <v>0</v>
      </c>
      <c r="E30" s="20">
        <v>35</v>
      </c>
      <c r="F30" s="20">
        <f t="shared" si="4"/>
        <v>35</v>
      </c>
      <c r="G30" s="21">
        <f t="shared" si="5"/>
        <v>10486</v>
      </c>
      <c r="H30" s="20">
        <f t="shared" si="6"/>
        <v>35</v>
      </c>
      <c r="I30" s="20">
        <v>0</v>
      </c>
      <c r="J30" s="21">
        <v>299.60000000000002</v>
      </c>
      <c r="K30" s="21">
        <f t="shared" si="7"/>
        <v>0</v>
      </c>
      <c r="L30" s="54" t="s">
        <v>19</v>
      </c>
    </row>
    <row r="31" spans="1:12" ht="24" customHeight="1" x14ac:dyDescent="0.5">
      <c r="A31" s="57">
        <v>27</v>
      </c>
      <c r="B31" s="58" t="s">
        <v>739</v>
      </c>
      <c r="C31" s="59" t="s">
        <v>606</v>
      </c>
      <c r="D31" s="20">
        <v>0</v>
      </c>
      <c r="E31" s="20">
        <v>1</v>
      </c>
      <c r="F31" s="20">
        <f t="shared" si="4"/>
        <v>1</v>
      </c>
      <c r="G31" s="21">
        <f t="shared" si="5"/>
        <v>85.6</v>
      </c>
      <c r="H31" s="20">
        <f t="shared" si="6"/>
        <v>1</v>
      </c>
      <c r="I31" s="20">
        <v>0</v>
      </c>
      <c r="J31" s="21">
        <v>85.6</v>
      </c>
      <c r="K31" s="21">
        <f t="shared" si="7"/>
        <v>0</v>
      </c>
      <c r="L31" s="63"/>
    </row>
    <row r="32" spans="1:12" ht="24" customHeight="1" x14ac:dyDescent="0.5">
      <c r="A32" s="57">
        <v>28</v>
      </c>
      <c r="B32" s="58" t="s">
        <v>472</v>
      </c>
      <c r="C32" s="59" t="s">
        <v>606</v>
      </c>
      <c r="D32" s="20">
        <v>0</v>
      </c>
      <c r="E32" s="20">
        <v>11</v>
      </c>
      <c r="F32" s="20">
        <f t="shared" si="4"/>
        <v>11</v>
      </c>
      <c r="G32" s="21">
        <f t="shared" si="5"/>
        <v>1177</v>
      </c>
      <c r="H32" s="20">
        <f t="shared" si="6"/>
        <v>11</v>
      </c>
      <c r="I32" s="20">
        <v>0</v>
      </c>
      <c r="J32" s="21">
        <v>107</v>
      </c>
      <c r="K32" s="21">
        <f t="shared" si="7"/>
        <v>0</v>
      </c>
      <c r="L32" s="62" t="s">
        <v>627</v>
      </c>
    </row>
    <row r="33" spans="1:12" ht="24" customHeight="1" x14ac:dyDescent="0.5">
      <c r="A33" s="57">
        <v>29</v>
      </c>
      <c r="B33" s="58" t="s">
        <v>740</v>
      </c>
      <c r="C33" s="59" t="s">
        <v>609</v>
      </c>
      <c r="D33" s="20">
        <v>0</v>
      </c>
      <c r="E33" s="20">
        <v>2500</v>
      </c>
      <c r="F33" s="20">
        <f t="shared" si="4"/>
        <v>2500</v>
      </c>
      <c r="G33" s="21">
        <f t="shared" si="5"/>
        <v>17422</v>
      </c>
      <c r="H33" s="20">
        <f t="shared" si="6"/>
        <v>1124</v>
      </c>
      <c r="I33" s="20">
        <v>1376</v>
      </c>
      <c r="J33" s="21">
        <v>15.5</v>
      </c>
      <c r="K33" s="21">
        <f t="shared" si="7"/>
        <v>21328</v>
      </c>
      <c r="L33" s="54" t="s">
        <v>733</v>
      </c>
    </row>
    <row r="34" spans="1:12" ht="24" customHeight="1" x14ac:dyDescent="0.5">
      <c r="A34" s="57">
        <v>30</v>
      </c>
      <c r="B34" s="58" t="s">
        <v>389</v>
      </c>
      <c r="C34" s="59" t="s">
        <v>606</v>
      </c>
      <c r="D34" s="20">
        <v>0</v>
      </c>
      <c r="E34" s="20">
        <v>40</v>
      </c>
      <c r="F34" s="20">
        <f t="shared" si="4"/>
        <v>40</v>
      </c>
      <c r="G34" s="21">
        <f t="shared" si="5"/>
        <v>8560</v>
      </c>
      <c r="H34" s="20">
        <f t="shared" si="6"/>
        <v>40</v>
      </c>
      <c r="I34" s="20">
        <v>0</v>
      </c>
      <c r="J34" s="21">
        <v>214</v>
      </c>
      <c r="K34" s="21">
        <f t="shared" si="7"/>
        <v>0</v>
      </c>
      <c r="L34" s="64" t="s">
        <v>20</v>
      </c>
    </row>
    <row r="35" spans="1:12" ht="24" customHeight="1" x14ac:dyDescent="0.5">
      <c r="A35" s="57">
        <v>31</v>
      </c>
      <c r="B35" s="58" t="s">
        <v>473</v>
      </c>
      <c r="C35" s="59" t="s">
        <v>607</v>
      </c>
      <c r="D35" s="20">
        <v>0</v>
      </c>
      <c r="E35" s="20">
        <v>20</v>
      </c>
      <c r="F35" s="20">
        <f t="shared" si="4"/>
        <v>20</v>
      </c>
      <c r="G35" s="21">
        <f t="shared" si="5"/>
        <v>10000</v>
      </c>
      <c r="H35" s="20">
        <f t="shared" si="6"/>
        <v>20</v>
      </c>
      <c r="I35" s="20">
        <v>0</v>
      </c>
      <c r="J35" s="21">
        <v>500</v>
      </c>
      <c r="K35" s="21">
        <f t="shared" si="7"/>
        <v>0</v>
      </c>
      <c r="L35" s="61"/>
    </row>
    <row r="36" spans="1:12" ht="24" customHeight="1" x14ac:dyDescent="0.5">
      <c r="A36" s="57">
        <v>32</v>
      </c>
      <c r="B36" s="58" t="s">
        <v>741</v>
      </c>
      <c r="C36" s="59" t="s">
        <v>609</v>
      </c>
      <c r="D36" s="20">
        <v>0</v>
      </c>
      <c r="E36" s="20">
        <v>2000</v>
      </c>
      <c r="F36" s="20">
        <f t="shared" si="4"/>
        <v>2000</v>
      </c>
      <c r="G36" s="21">
        <f t="shared" si="5"/>
        <v>79200</v>
      </c>
      <c r="H36" s="20">
        <f t="shared" si="6"/>
        <v>1100</v>
      </c>
      <c r="I36" s="20">
        <v>900</v>
      </c>
      <c r="J36" s="21">
        <v>72</v>
      </c>
      <c r="K36" s="21">
        <f t="shared" si="7"/>
        <v>64800</v>
      </c>
      <c r="L36" s="62" t="s">
        <v>627</v>
      </c>
    </row>
    <row r="37" spans="1:12" ht="24" customHeight="1" x14ac:dyDescent="0.5">
      <c r="A37" s="57">
        <v>33</v>
      </c>
      <c r="B37" s="58" t="s">
        <v>742</v>
      </c>
      <c r="C37" s="59" t="s">
        <v>609</v>
      </c>
      <c r="D37" s="20">
        <v>0</v>
      </c>
      <c r="E37" s="20">
        <v>500</v>
      </c>
      <c r="F37" s="20">
        <f t="shared" si="4"/>
        <v>500</v>
      </c>
      <c r="G37" s="21">
        <f t="shared" si="5"/>
        <v>22800</v>
      </c>
      <c r="H37" s="20">
        <f t="shared" si="6"/>
        <v>300</v>
      </c>
      <c r="I37" s="20">
        <v>200</v>
      </c>
      <c r="J37" s="21">
        <v>76</v>
      </c>
      <c r="K37" s="21">
        <f t="shared" si="7"/>
        <v>15200</v>
      </c>
      <c r="L37" s="54" t="s">
        <v>734</v>
      </c>
    </row>
    <row r="38" spans="1:12" ht="24" customHeight="1" x14ac:dyDescent="0.5">
      <c r="A38" s="57">
        <v>34</v>
      </c>
      <c r="B38" s="58" t="s">
        <v>592</v>
      </c>
      <c r="C38" s="59" t="s">
        <v>607</v>
      </c>
      <c r="D38" s="20">
        <v>0</v>
      </c>
      <c r="E38" s="20">
        <v>1</v>
      </c>
      <c r="F38" s="20">
        <f t="shared" si="4"/>
        <v>1</v>
      </c>
      <c r="G38" s="21">
        <f t="shared" si="5"/>
        <v>588.5</v>
      </c>
      <c r="H38" s="20">
        <f t="shared" si="6"/>
        <v>1</v>
      </c>
      <c r="I38" s="20">
        <v>0</v>
      </c>
      <c r="J38" s="21">
        <v>588.5</v>
      </c>
      <c r="K38" s="21">
        <f t="shared" si="7"/>
        <v>0</v>
      </c>
      <c r="L38" s="64" t="s">
        <v>18</v>
      </c>
    </row>
    <row r="39" spans="1:12" ht="24" customHeight="1" x14ac:dyDescent="0.5">
      <c r="A39" s="57">
        <v>35</v>
      </c>
      <c r="B39" s="58" t="s">
        <v>743</v>
      </c>
      <c r="C39" s="59" t="s">
        <v>607</v>
      </c>
      <c r="D39" s="20">
        <v>0</v>
      </c>
      <c r="E39" s="20">
        <v>1</v>
      </c>
      <c r="F39" s="20">
        <f t="shared" si="4"/>
        <v>1</v>
      </c>
      <c r="G39" s="21">
        <f t="shared" si="5"/>
        <v>535</v>
      </c>
      <c r="H39" s="20">
        <f t="shared" si="6"/>
        <v>1</v>
      </c>
      <c r="I39" s="20">
        <v>0</v>
      </c>
      <c r="J39" s="21">
        <v>535</v>
      </c>
      <c r="K39" s="21">
        <f t="shared" si="7"/>
        <v>0</v>
      </c>
      <c r="L39" s="64"/>
    </row>
    <row r="40" spans="1:12" ht="24" customHeight="1" x14ac:dyDescent="0.5">
      <c r="A40" s="57">
        <v>36</v>
      </c>
      <c r="B40" s="58" t="s">
        <v>593</v>
      </c>
      <c r="C40" s="59" t="s">
        <v>607</v>
      </c>
      <c r="D40" s="20">
        <v>0</v>
      </c>
      <c r="E40" s="20">
        <v>20</v>
      </c>
      <c r="F40" s="20">
        <f t="shared" si="4"/>
        <v>20</v>
      </c>
      <c r="G40" s="21">
        <f t="shared" si="5"/>
        <v>19260</v>
      </c>
      <c r="H40" s="20">
        <f t="shared" si="6"/>
        <v>20</v>
      </c>
      <c r="I40" s="20">
        <v>0</v>
      </c>
      <c r="J40" s="21">
        <v>963</v>
      </c>
      <c r="K40" s="21">
        <f t="shared" si="7"/>
        <v>0</v>
      </c>
      <c r="L40" s="62" t="s">
        <v>627</v>
      </c>
    </row>
    <row r="41" spans="1:12" ht="24" customHeight="1" x14ac:dyDescent="0.5">
      <c r="A41" s="57">
        <v>37</v>
      </c>
      <c r="B41" s="58" t="s">
        <v>594</v>
      </c>
      <c r="C41" s="59" t="s">
        <v>606</v>
      </c>
      <c r="D41" s="20">
        <v>0</v>
      </c>
      <c r="E41" s="20">
        <v>5400</v>
      </c>
      <c r="F41" s="20">
        <f t="shared" si="4"/>
        <v>5400</v>
      </c>
      <c r="G41" s="21">
        <f t="shared" si="5"/>
        <v>422821.2</v>
      </c>
      <c r="H41" s="20">
        <f t="shared" si="6"/>
        <v>5340</v>
      </c>
      <c r="I41" s="20">
        <v>60</v>
      </c>
      <c r="J41" s="21">
        <v>79.180000000000007</v>
      </c>
      <c r="K41" s="21">
        <f t="shared" si="7"/>
        <v>4750.8</v>
      </c>
      <c r="L41" s="54" t="s">
        <v>434</v>
      </c>
    </row>
    <row r="42" spans="1:12" ht="24" customHeight="1" x14ac:dyDescent="0.5">
      <c r="A42" s="57">
        <v>38</v>
      </c>
      <c r="B42" s="58" t="s">
        <v>744</v>
      </c>
      <c r="C42" s="59" t="s">
        <v>191</v>
      </c>
      <c r="D42" s="20">
        <v>0</v>
      </c>
      <c r="E42" s="20">
        <v>14</v>
      </c>
      <c r="F42" s="20">
        <f t="shared" si="4"/>
        <v>14</v>
      </c>
      <c r="G42" s="21">
        <f t="shared" si="5"/>
        <v>32200</v>
      </c>
      <c r="H42" s="20">
        <f t="shared" si="6"/>
        <v>14</v>
      </c>
      <c r="I42" s="20">
        <v>0</v>
      </c>
      <c r="J42" s="21">
        <v>2300</v>
      </c>
      <c r="K42" s="21">
        <f t="shared" si="7"/>
        <v>0</v>
      </c>
      <c r="L42" s="64" t="s">
        <v>433</v>
      </c>
    </row>
    <row r="43" spans="1:12" ht="24" customHeight="1" x14ac:dyDescent="0.5">
      <c r="A43" s="57">
        <v>39</v>
      </c>
      <c r="B43" s="58" t="s">
        <v>595</v>
      </c>
      <c r="C43" s="59" t="s">
        <v>606</v>
      </c>
      <c r="D43" s="20">
        <v>0</v>
      </c>
      <c r="E43" s="20">
        <v>21</v>
      </c>
      <c r="F43" s="20">
        <f t="shared" si="4"/>
        <v>21</v>
      </c>
      <c r="G43" s="21">
        <f t="shared" si="5"/>
        <v>56175</v>
      </c>
      <c r="H43" s="20">
        <f t="shared" si="6"/>
        <v>21</v>
      </c>
      <c r="I43" s="20">
        <v>0</v>
      </c>
      <c r="J43" s="21">
        <v>2675</v>
      </c>
      <c r="K43" s="21">
        <f t="shared" si="7"/>
        <v>0</v>
      </c>
      <c r="L43" s="54"/>
    </row>
    <row r="44" spans="1:12" ht="24" customHeight="1" x14ac:dyDescent="0.5">
      <c r="A44" s="57">
        <v>40</v>
      </c>
      <c r="B44" s="58" t="s">
        <v>745</v>
      </c>
      <c r="C44" s="59" t="s">
        <v>610</v>
      </c>
      <c r="D44" s="20">
        <v>0</v>
      </c>
      <c r="E44" s="20">
        <v>10</v>
      </c>
      <c r="F44" s="20">
        <f t="shared" si="4"/>
        <v>10</v>
      </c>
      <c r="G44" s="21">
        <f t="shared" si="5"/>
        <v>9000</v>
      </c>
      <c r="H44" s="20">
        <f t="shared" si="6"/>
        <v>10</v>
      </c>
      <c r="I44" s="20">
        <v>0</v>
      </c>
      <c r="J44" s="21">
        <v>900</v>
      </c>
      <c r="K44" s="21">
        <f t="shared" si="7"/>
        <v>0</v>
      </c>
      <c r="L44" s="62" t="s">
        <v>627</v>
      </c>
    </row>
    <row r="45" spans="1:12" ht="24" customHeight="1" x14ac:dyDescent="0.5">
      <c r="A45" s="57"/>
      <c r="B45" s="65" t="s">
        <v>432</v>
      </c>
      <c r="C45" s="65"/>
      <c r="D45" s="22"/>
      <c r="E45" s="23"/>
      <c r="F45" s="22"/>
      <c r="G45" s="24">
        <f>SUM(G25:G44)</f>
        <v>1516221.2</v>
      </c>
      <c r="H45" s="22"/>
      <c r="I45" s="22"/>
      <c r="J45" s="24"/>
      <c r="K45" s="24">
        <f>SUM(K25:K44)</f>
        <v>106078.8</v>
      </c>
      <c r="L45" s="54" t="s">
        <v>503</v>
      </c>
    </row>
    <row r="46" spans="1:12" ht="24" customHeight="1" x14ac:dyDescent="0.5">
      <c r="B46" s="55"/>
      <c r="C46" s="55"/>
      <c r="D46" s="14"/>
      <c r="E46" s="15"/>
      <c r="F46" s="14"/>
      <c r="G46" s="17"/>
      <c r="H46" s="14"/>
      <c r="I46" s="14"/>
      <c r="J46" s="17"/>
      <c r="K46" s="17"/>
      <c r="L46" s="64" t="s">
        <v>435</v>
      </c>
    </row>
    <row r="47" spans="1:12" ht="24" customHeight="1" x14ac:dyDescent="0.5">
      <c r="A47" s="67">
        <v>41</v>
      </c>
      <c r="B47" s="68" t="s">
        <v>474</v>
      </c>
      <c r="C47" s="59" t="s">
        <v>610</v>
      </c>
      <c r="D47" s="4">
        <v>0</v>
      </c>
      <c r="E47" s="69">
        <v>10</v>
      </c>
      <c r="F47" s="4">
        <f>D47+E47</f>
        <v>10</v>
      </c>
      <c r="G47" s="5">
        <f>H47*J47</f>
        <v>5200</v>
      </c>
      <c r="H47" s="4">
        <f>F47-I47</f>
        <v>10</v>
      </c>
      <c r="I47" s="4">
        <v>0</v>
      </c>
      <c r="J47" s="5">
        <v>520</v>
      </c>
      <c r="K47" s="5">
        <f>I47*J47</f>
        <v>0</v>
      </c>
      <c r="L47" s="54" t="s">
        <v>15</v>
      </c>
    </row>
    <row r="48" spans="1:12" ht="24" customHeight="1" x14ac:dyDescent="0.5">
      <c r="A48" s="67">
        <v>42</v>
      </c>
      <c r="B48" s="68" t="s">
        <v>32</v>
      </c>
      <c r="C48" s="59" t="s">
        <v>610</v>
      </c>
      <c r="D48" s="4">
        <v>1600</v>
      </c>
      <c r="E48" s="69">
        <v>6000</v>
      </c>
      <c r="F48" s="4">
        <f t="shared" ref="F48:F66" si="8">D48+E48</f>
        <v>7600</v>
      </c>
      <c r="G48" s="5">
        <f t="shared" ref="G48:G66" si="9">H48*J48</f>
        <v>54000</v>
      </c>
      <c r="H48" s="4">
        <f t="shared" ref="H48:H66" si="10">F48-I48</f>
        <v>6000</v>
      </c>
      <c r="I48" s="4">
        <v>1600</v>
      </c>
      <c r="J48" s="5">
        <v>9</v>
      </c>
      <c r="K48" s="5">
        <f t="shared" ref="K48:K66" si="11">I48*J48</f>
        <v>14400</v>
      </c>
      <c r="L48" s="54" t="s">
        <v>716</v>
      </c>
    </row>
    <row r="49" spans="1:16" ht="24" customHeight="1" x14ac:dyDescent="0.5">
      <c r="A49" s="67">
        <v>43</v>
      </c>
      <c r="B49" s="68" t="s">
        <v>401</v>
      </c>
      <c r="C49" s="59" t="s">
        <v>610</v>
      </c>
      <c r="D49" s="4">
        <v>0</v>
      </c>
      <c r="E49" s="69">
        <v>1500</v>
      </c>
      <c r="F49" s="4">
        <f t="shared" si="8"/>
        <v>1500</v>
      </c>
      <c r="G49" s="5">
        <f t="shared" si="9"/>
        <v>21000</v>
      </c>
      <c r="H49" s="4">
        <f t="shared" si="10"/>
        <v>1500</v>
      </c>
      <c r="I49" s="4">
        <v>0</v>
      </c>
      <c r="J49" s="5">
        <v>14</v>
      </c>
      <c r="K49" s="5">
        <f t="shared" si="11"/>
        <v>0</v>
      </c>
      <c r="L49" s="61"/>
    </row>
    <row r="50" spans="1:16" ht="24" customHeight="1" x14ac:dyDescent="0.5">
      <c r="A50" s="67">
        <v>44</v>
      </c>
      <c r="B50" s="68" t="s">
        <v>746</v>
      </c>
      <c r="C50" s="59" t="s">
        <v>610</v>
      </c>
      <c r="D50" s="4">
        <v>0</v>
      </c>
      <c r="E50" s="69">
        <v>1600</v>
      </c>
      <c r="F50" s="4">
        <f t="shared" si="8"/>
        <v>1600</v>
      </c>
      <c r="G50" s="5">
        <f t="shared" si="9"/>
        <v>5760</v>
      </c>
      <c r="H50" s="4">
        <f t="shared" si="10"/>
        <v>1600</v>
      </c>
      <c r="I50" s="4">
        <v>0</v>
      </c>
      <c r="J50" s="5">
        <v>3.6</v>
      </c>
      <c r="K50" s="5">
        <f t="shared" si="11"/>
        <v>0</v>
      </c>
      <c r="L50" s="62" t="s">
        <v>627</v>
      </c>
    </row>
    <row r="51" spans="1:16" ht="24" customHeight="1" x14ac:dyDescent="0.5">
      <c r="A51" s="67">
        <v>45</v>
      </c>
      <c r="B51" s="68" t="s">
        <v>39</v>
      </c>
      <c r="C51" s="59" t="s">
        <v>610</v>
      </c>
      <c r="D51" s="4">
        <v>0</v>
      </c>
      <c r="E51" s="69">
        <v>2168</v>
      </c>
      <c r="F51" s="4">
        <f t="shared" si="8"/>
        <v>2168</v>
      </c>
      <c r="G51" s="5">
        <f t="shared" si="9"/>
        <v>8672</v>
      </c>
      <c r="H51" s="4">
        <f t="shared" si="10"/>
        <v>2168</v>
      </c>
      <c r="I51" s="4">
        <v>0</v>
      </c>
      <c r="J51" s="5">
        <v>4</v>
      </c>
      <c r="K51" s="5">
        <f t="shared" si="11"/>
        <v>0</v>
      </c>
      <c r="L51" s="54" t="s">
        <v>732</v>
      </c>
    </row>
    <row r="52" spans="1:16" ht="24" customHeight="1" x14ac:dyDescent="0.5">
      <c r="A52" s="67">
        <v>46</v>
      </c>
      <c r="B52" s="68" t="s">
        <v>33</v>
      </c>
      <c r="C52" s="59" t="s">
        <v>610</v>
      </c>
      <c r="D52" s="4">
        <v>8600</v>
      </c>
      <c r="E52" s="69">
        <v>0</v>
      </c>
      <c r="F52" s="4">
        <f t="shared" si="8"/>
        <v>8600</v>
      </c>
      <c r="G52" s="5">
        <f t="shared" si="9"/>
        <v>4060</v>
      </c>
      <c r="H52" s="4">
        <f t="shared" si="10"/>
        <v>2800</v>
      </c>
      <c r="I52" s="4">
        <v>5800</v>
      </c>
      <c r="J52" s="5">
        <v>1.45</v>
      </c>
      <c r="K52" s="5">
        <f t="shared" si="11"/>
        <v>8410</v>
      </c>
      <c r="L52" s="54" t="s">
        <v>19</v>
      </c>
    </row>
    <row r="53" spans="1:16" ht="24" customHeight="1" x14ac:dyDescent="0.5">
      <c r="A53" s="67">
        <v>47</v>
      </c>
      <c r="B53" s="68" t="s">
        <v>34</v>
      </c>
      <c r="C53" s="59" t="s">
        <v>610</v>
      </c>
      <c r="D53" s="4">
        <v>0</v>
      </c>
      <c r="E53" s="69">
        <v>35000</v>
      </c>
      <c r="F53" s="4">
        <f t="shared" si="8"/>
        <v>35000</v>
      </c>
      <c r="G53" s="5">
        <f t="shared" si="9"/>
        <v>98000</v>
      </c>
      <c r="H53" s="4">
        <f t="shared" si="10"/>
        <v>35000</v>
      </c>
      <c r="I53" s="4">
        <v>0</v>
      </c>
      <c r="J53" s="5">
        <v>2.8</v>
      </c>
      <c r="K53" s="5">
        <f t="shared" si="11"/>
        <v>0</v>
      </c>
      <c r="L53" s="63"/>
    </row>
    <row r="54" spans="1:16" ht="24" customHeight="1" x14ac:dyDescent="0.5">
      <c r="A54" s="67">
        <v>48</v>
      </c>
      <c r="B54" s="68" t="s">
        <v>35</v>
      </c>
      <c r="C54" s="59" t="s">
        <v>610</v>
      </c>
      <c r="D54" s="4">
        <v>0</v>
      </c>
      <c r="E54" s="69">
        <v>100000</v>
      </c>
      <c r="F54" s="4">
        <f t="shared" si="8"/>
        <v>100000</v>
      </c>
      <c r="G54" s="5">
        <f t="shared" si="9"/>
        <v>120000</v>
      </c>
      <c r="H54" s="4">
        <f t="shared" si="10"/>
        <v>100000</v>
      </c>
      <c r="I54" s="4">
        <v>0</v>
      </c>
      <c r="J54" s="5">
        <v>1.2</v>
      </c>
      <c r="K54" s="5">
        <f t="shared" si="11"/>
        <v>0</v>
      </c>
      <c r="L54" s="62" t="s">
        <v>627</v>
      </c>
    </row>
    <row r="55" spans="1:16" ht="24" customHeight="1" x14ac:dyDescent="0.5">
      <c r="A55" s="67">
        <v>49</v>
      </c>
      <c r="B55" s="68" t="s">
        <v>36</v>
      </c>
      <c r="C55" s="59" t="s">
        <v>610</v>
      </c>
      <c r="D55" s="4">
        <v>0</v>
      </c>
      <c r="E55" s="69">
        <v>30000</v>
      </c>
      <c r="F55" s="4">
        <f t="shared" si="8"/>
        <v>30000</v>
      </c>
      <c r="G55" s="5">
        <f t="shared" si="9"/>
        <v>42000</v>
      </c>
      <c r="H55" s="4">
        <f t="shared" si="10"/>
        <v>30000</v>
      </c>
      <c r="I55" s="4">
        <v>0</v>
      </c>
      <c r="J55" s="5">
        <v>1.4</v>
      </c>
      <c r="K55" s="5">
        <f t="shared" si="11"/>
        <v>0</v>
      </c>
      <c r="L55" s="54" t="s">
        <v>733</v>
      </c>
    </row>
    <row r="56" spans="1:16" ht="24" customHeight="1" x14ac:dyDescent="0.5">
      <c r="A56" s="67">
        <v>50</v>
      </c>
      <c r="B56" s="68" t="s">
        <v>37</v>
      </c>
      <c r="C56" s="70" t="s">
        <v>604</v>
      </c>
      <c r="D56" s="4">
        <v>0</v>
      </c>
      <c r="E56" s="69">
        <v>20</v>
      </c>
      <c r="F56" s="4">
        <f t="shared" si="8"/>
        <v>20</v>
      </c>
      <c r="G56" s="5">
        <f t="shared" si="9"/>
        <v>9800</v>
      </c>
      <c r="H56" s="4">
        <f t="shared" si="10"/>
        <v>20</v>
      </c>
      <c r="I56" s="4">
        <v>0</v>
      </c>
      <c r="J56" s="5">
        <v>490</v>
      </c>
      <c r="K56" s="5">
        <f t="shared" si="11"/>
        <v>0</v>
      </c>
      <c r="L56" s="64" t="s">
        <v>20</v>
      </c>
    </row>
    <row r="57" spans="1:16" ht="24" customHeight="1" x14ac:dyDescent="0.5">
      <c r="A57" s="67">
        <v>51</v>
      </c>
      <c r="B57" s="68" t="s">
        <v>425</v>
      </c>
      <c r="C57" s="70" t="s">
        <v>38</v>
      </c>
      <c r="D57" s="4">
        <v>0</v>
      </c>
      <c r="E57" s="69">
        <v>20300</v>
      </c>
      <c r="F57" s="4">
        <f t="shared" si="8"/>
        <v>20300</v>
      </c>
      <c r="G57" s="5">
        <f t="shared" si="9"/>
        <v>172550</v>
      </c>
      <c r="H57" s="4">
        <f t="shared" si="10"/>
        <v>20300</v>
      </c>
      <c r="I57" s="4">
        <v>0</v>
      </c>
      <c r="J57" s="5">
        <v>8.5</v>
      </c>
      <c r="K57" s="5">
        <f t="shared" si="11"/>
        <v>0</v>
      </c>
      <c r="L57" s="61"/>
    </row>
    <row r="58" spans="1:16" ht="24" customHeight="1" x14ac:dyDescent="0.5">
      <c r="A58" s="67">
        <v>52</v>
      </c>
      <c r="B58" s="68" t="s">
        <v>596</v>
      </c>
      <c r="C58" s="70" t="s">
        <v>607</v>
      </c>
      <c r="D58" s="4">
        <v>0</v>
      </c>
      <c r="E58" s="69">
        <v>600</v>
      </c>
      <c r="F58" s="4">
        <f t="shared" si="8"/>
        <v>600</v>
      </c>
      <c r="G58" s="5">
        <f t="shared" si="9"/>
        <v>16170</v>
      </c>
      <c r="H58" s="4">
        <f t="shared" si="10"/>
        <v>600</v>
      </c>
      <c r="I58" s="4">
        <v>0</v>
      </c>
      <c r="J58" s="5">
        <v>26.95</v>
      </c>
      <c r="K58" s="5">
        <f t="shared" si="11"/>
        <v>0</v>
      </c>
      <c r="L58" s="62" t="s">
        <v>627</v>
      </c>
    </row>
    <row r="59" spans="1:16" ht="24" customHeight="1" x14ac:dyDescent="0.5">
      <c r="A59" s="67">
        <v>53</v>
      </c>
      <c r="B59" s="68" t="s">
        <v>597</v>
      </c>
      <c r="C59" s="70" t="s">
        <v>611</v>
      </c>
      <c r="D59" s="4">
        <v>0</v>
      </c>
      <c r="E59" s="69">
        <v>1000</v>
      </c>
      <c r="F59" s="4">
        <f t="shared" si="8"/>
        <v>1000</v>
      </c>
      <c r="G59" s="5">
        <f t="shared" si="9"/>
        <v>1100</v>
      </c>
      <c r="H59" s="4">
        <f t="shared" si="10"/>
        <v>1000</v>
      </c>
      <c r="I59" s="4">
        <v>0</v>
      </c>
      <c r="J59" s="5">
        <v>1.1000000000000001</v>
      </c>
      <c r="K59" s="5">
        <f t="shared" si="11"/>
        <v>0</v>
      </c>
      <c r="L59" s="54" t="s">
        <v>734</v>
      </c>
    </row>
    <row r="60" spans="1:16" ht="24" customHeight="1" x14ac:dyDescent="0.5">
      <c r="A60" s="67">
        <v>54</v>
      </c>
      <c r="B60" s="68" t="s">
        <v>598</v>
      </c>
      <c r="C60" s="70" t="s">
        <v>604</v>
      </c>
      <c r="D60" s="4">
        <v>2</v>
      </c>
      <c r="E60" s="69">
        <v>0</v>
      </c>
      <c r="F60" s="4">
        <f t="shared" si="8"/>
        <v>2</v>
      </c>
      <c r="G60" s="5">
        <f t="shared" si="9"/>
        <v>8500</v>
      </c>
      <c r="H60" s="4">
        <f t="shared" si="10"/>
        <v>2</v>
      </c>
      <c r="I60" s="4">
        <v>0</v>
      </c>
      <c r="J60" s="5">
        <v>4250</v>
      </c>
      <c r="K60" s="5">
        <f t="shared" si="11"/>
        <v>0</v>
      </c>
      <c r="L60" s="64" t="s">
        <v>18</v>
      </c>
    </row>
    <row r="61" spans="1:16" ht="24" customHeight="1" x14ac:dyDescent="0.5">
      <c r="A61" s="67">
        <v>55</v>
      </c>
      <c r="B61" s="68" t="s">
        <v>40</v>
      </c>
      <c r="C61" s="70" t="s">
        <v>604</v>
      </c>
      <c r="D61" s="4">
        <v>6</v>
      </c>
      <c r="E61" s="69">
        <v>0</v>
      </c>
      <c r="F61" s="4">
        <f t="shared" si="8"/>
        <v>6</v>
      </c>
      <c r="G61" s="5">
        <f t="shared" si="9"/>
        <v>0</v>
      </c>
      <c r="H61" s="4">
        <f t="shared" si="10"/>
        <v>0</v>
      </c>
      <c r="I61" s="4">
        <v>6</v>
      </c>
      <c r="J61" s="5">
        <v>2950</v>
      </c>
      <c r="K61" s="5">
        <f t="shared" si="11"/>
        <v>17700</v>
      </c>
      <c r="L61" s="64"/>
      <c r="N61" s="71"/>
      <c r="O61" s="71"/>
      <c r="P61" s="71"/>
    </row>
    <row r="62" spans="1:16" ht="24" customHeight="1" x14ac:dyDescent="0.5">
      <c r="A62" s="67">
        <v>56</v>
      </c>
      <c r="B62" s="68" t="s">
        <v>41</v>
      </c>
      <c r="C62" s="70" t="s">
        <v>604</v>
      </c>
      <c r="D62" s="4">
        <v>0</v>
      </c>
      <c r="E62" s="69">
        <v>70</v>
      </c>
      <c r="F62" s="4">
        <f t="shared" si="8"/>
        <v>70</v>
      </c>
      <c r="G62" s="5">
        <f t="shared" si="9"/>
        <v>154000</v>
      </c>
      <c r="H62" s="4">
        <f t="shared" si="10"/>
        <v>70</v>
      </c>
      <c r="I62" s="4">
        <v>0</v>
      </c>
      <c r="J62" s="5">
        <v>2200</v>
      </c>
      <c r="K62" s="5">
        <f t="shared" si="11"/>
        <v>0</v>
      </c>
      <c r="L62" s="62" t="s">
        <v>627</v>
      </c>
    </row>
    <row r="63" spans="1:16" ht="24" customHeight="1" x14ac:dyDescent="0.5">
      <c r="A63" s="67">
        <v>57</v>
      </c>
      <c r="B63" s="68" t="s">
        <v>475</v>
      </c>
      <c r="C63" s="70" t="s">
        <v>604</v>
      </c>
      <c r="D63" s="4">
        <v>3</v>
      </c>
      <c r="E63" s="69">
        <v>10</v>
      </c>
      <c r="F63" s="4">
        <f t="shared" si="8"/>
        <v>13</v>
      </c>
      <c r="G63" s="5">
        <f t="shared" si="9"/>
        <v>28600</v>
      </c>
      <c r="H63" s="4">
        <f t="shared" si="10"/>
        <v>13</v>
      </c>
      <c r="I63" s="4">
        <v>0</v>
      </c>
      <c r="J63" s="5">
        <v>2200</v>
      </c>
      <c r="K63" s="5">
        <f t="shared" si="11"/>
        <v>0</v>
      </c>
      <c r="L63" s="54" t="s">
        <v>434</v>
      </c>
    </row>
    <row r="64" spans="1:16" ht="24" customHeight="1" x14ac:dyDescent="0.5">
      <c r="A64" s="67">
        <v>58</v>
      </c>
      <c r="B64" s="68" t="s">
        <v>42</v>
      </c>
      <c r="C64" s="70" t="s">
        <v>604</v>
      </c>
      <c r="D64" s="4">
        <v>14</v>
      </c>
      <c r="E64" s="69">
        <v>0</v>
      </c>
      <c r="F64" s="4">
        <f t="shared" si="8"/>
        <v>14</v>
      </c>
      <c r="G64" s="5">
        <f t="shared" si="9"/>
        <v>24300</v>
      </c>
      <c r="H64" s="4">
        <f t="shared" si="10"/>
        <v>9</v>
      </c>
      <c r="I64" s="4">
        <v>5</v>
      </c>
      <c r="J64" s="5">
        <v>2700</v>
      </c>
      <c r="K64" s="5">
        <f t="shared" si="11"/>
        <v>13500</v>
      </c>
      <c r="L64" s="64" t="s">
        <v>433</v>
      </c>
    </row>
    <row r="65" spans="1:12" ht="24" customHeight="1" x14ac:dyDescent="0.5">
      <c r="A65" s="67">
        <v>59</v>
      </c>
      <c r="B65" s="68" t="s">
        <v>43</v>
      </c>
      <c r="C65" s="70" t="s">
        <v>604</v>
      </c>
      <c r="D65" s="4">
        <v>1</v>
      </c>
      <c r="E65" s="69">
        <v>5</v>
      </c>
      <c r="F65" s="4">
        <f t="shared" si="8"/>
        <v>6</v>
      </c>
      <c r="G65" s="5">
        <f t="shared" si="9"/>
        <v>14250</v>
      </c>
      <c r="H65" s="4">
        <f t="shared" si="10"/>
        <v>3</v>
      </c>
      <c r="I65" s="4">
        <v>3</v>
      </c>
      <c r="J65" s="5">
        <v>4750</v>
      </c>
      <c r="K65" s="5">
        <f t="shared" si="11"/>
        <v>14250</v>
      </c>
      <c r="L65" s="54"/>
    </row>
    <row r="66" spans="1:12" ht="24" customHeight="1" x14ac:dyDescent="0.5">
      <c r="A66" s="67">
        <v>60</v>
      </c>
      <c r="B66" s="68" t="s">
        <v>44</v>
      </c>
      <c r="C66" s="70" t="s">
        <v>604</v>
      </c>
      <c r="D66" s="4">
        <v>11</v>
      </c>
      <c r="E66" s="69">
        <v>170</v>
      </c>
      <c r="F66" s="4">
        <f t="shared" si="8"/>
        <v>181</v>
      </c>
      <c r="G66" s="5">
        <f t="shared" si="9"/>
        <v>299460</v>
      </c>
      <c r="H66" s="4">
        <f t="shared" si="10"/>
        <v>161</v>
      </c>
      <c r="I66" s="4">
        <v>20</v>
      </c>
      <c r="J66" s="5">
        <v>1860</v>
      </c>
      <c r="K66" s="5">
        <f t="shared" si="11"/>
        <v>37200</v>
      </c>
      <c r="L66" s="62" t="s">
        <v>627</v>
      </c>
    </row>
    <row r="67" spans="1:12" ht="24" customHeight="1" x14ac:dyDescent="0.5">
      <c r="A67" s="67"/>
      <c r="B67" s="72" t="s">
        <v>432</v>
      </c>
      <c r="C67" s="72"/>
      <c r="D67" s="6"/>
      <c r="E67" s="10"/>
      <c r="F67" s="6"/>
      <c r="G67" s="11">
        <f>SUM(G47:G66)</f>
        <v>1087422</v>
      </c>
      <c r="H67" s="6"/>
      <c r="I67" s="6"/>
      <c r="J67" s="11"/>
      <c r="K67" s="11">
        <f>SUM(K47:K66)</f>
        <v>105460</v>
      </c>
      <c r="L67" s="54" t="s">
        <v>503</v>
      </c>
    </row>
    <row r="68" spans="1:12" ht="24" customHeight="1" x14ac:dyDescent="0.5">
      <c r="B68" s="55"/>
      <c r="C68" s="55"/>
      <c r="D68" s="14"/>
      <c r="E68" s="15"/>
      <c r="F68" s="14"/>
      <c r="G68" s="17"/>
      <c r="H68" s="14"/>
      <c r="I68" s="14"/>
      <c r="J68" s="17"/>
      <c r="K68" s="17"/>
      <c r="L68" s="64" t="s">
        <v>435</v>
      </c>
    </row>
    <row r="69" spans="1:12" ht="24" customHeight="1" x14ac:dyDescent="0.5">
      <c r="A69" s="67">
        <v>61</v>
      </c>
      <c r="B69" s="68" t="s">
        <v>456</v>
      </c>
      <c r="C69" s="70" t="s">
        <v>604</v>
      </c>
      <c r="D69" s="4">
        <v>9</v>
      </c>
      <c r="E69" s="73">
        <v>0</v>
      </c>
      <c r="F69" s="4">
        <f>D69+E69</f>
        <v>9</v>
      </c>
      <c r="G69" s="5">
        <f>H69*J69</f>
        <v>11884.619999999999</v>
      </c>
      <c r="H69" s="4">
        <f>F69-I69</f>
        <v>3</v>
      </c>
      <c r="I69" s="4">
        <v>6</v>
      </c>
      <c r="J69" s="5">
        <v>3961.54</v>
      </c>
      <c r="K69" s="5">
        <f>I69*J69</f>
        <v>23769.239999999998</v>
      </c>
      <c r="L69" s="54" t="s">
        <v>15</v>
      </c>
    </row>
    <row r="70" spans="1:12" ht="24" customHeight="1" x14ac:dyDescent="0.5">
      <c r="A70" s="67">
        <v>62</v>
      </c>
      <c r="B70" s="68" t="s">
        <v>402</v>
      </c>
      <c r="C70" s="70" t="s">
        <v>604</v>
      </c>
      <c r="D70" s="4">
        <v>7</v>
      </c>
      <c r="E70" s="73">
        <v>0</v>
      </c>
      <c r="F70" s="4">
        <f t="shared" ref="F70:F76" si="12">D70+E70</f>
        <v>7</v>
      </c>
      <c r="G70" s="5">
        <f t="shared" ref="G70:G76" si="13">H70*J70</f>
        <v>14863.64</v>
      </c>
      <c r="H70" s="4">
        <f t="shared" ref="H70:H76" si="14">F70-I70</f>
        <v>2</v>
      </c>
      <c r="I70" s="4">
        <v>5</v>
      </c>
      <c r="J70" s="5">
        <v>7431.82</v>
      </c>
      <c r="K70" s="5">
        <f t="shared" ref="K70:K81" si="15">I70*J70</f>
        <v>37159.1</v>
      </c>
      <c r="L70" s="54" t="s">
        <v>716</v>
      </c>
    </row>
    <row r="71" spans="1:12" ht="24" customHeight="1" x14ac:dyDescent="0.5">
      <c r="A71" s="67">
        <v>63</v>
      </c>
      <c r="B71" s="68" t="s">
        <v>747</v>
      </c>
      <c r="C71" s="70" t="s">
        <v>604</v>
      </c>
      <c r="D71" s="4">
        <v>0</v>
      </c>
      <c r="E71" s="73">
        <v>5</v>
      </c>
      <c r="F71" s="4">
        <f t="shared" si="12"/>
        <v>5</v>
      </c>
      <c r="G71" s="5">
        <f t="shared" si="13"/>
        <v>38500</v>
      </c>
      <c r="H71" s="4">
        <f t="shared" si="14"/>
        <v>5</v>
      </c>
      <c r="I71" s="4">
        <v>0</v>
      </c>
      <c r="J71" s="5">
        <v>7700</v>
      </c>
      <c r="K71" s="5">
        <f t="shared" si="15"/>
        <v>0</v>
      </c>
      <c r="L71" s="61"/>
    </row>
    <row r="72" spans="1:12" ht="24" customHeight="1" x14ac:dyDescent="0.5">
      <c r="A72" s="67">
        <v>64</v>
      </c>
      <c r="B72" s="68" t="s">
        <v>599</v>
      </c>
      <c r="C72" s="70" t="s">
        <v>604</v>
      </c>
      <c r="D72" s="4">
        <v>1</v>
      </c>
      <c r="E72" s="73">
        <v>230</v>
      </c>
      <c r="F72" s="4">
        <f t="shared" si="12"/>
        <v>231</v>
      </c>
      <c r="G72" s="5">
        <f t="shared" si="13"/>
        <v>411060</v>
      </c>
      <c r="H72" s="4">
        <f t="shared" si="14"/>
        <v>221</v>
      </c>
      <c r="I72" s="4">
        <v>10</v>
      </c>
      <c r="J72" s="5">
        <v>1860</v>
      </c>
      <c r="K72" s="5">
        <f t="shared" si="15"/>
        <v>18600</v>
      </c>
      <c r="L72" s="62" t="s">
        <v>627</v>
      </c>
    </row>
    <row r="73" spans="1:12" ht="24" customHeight="1" x14ac:dyDescent="0.5">
      <c r="A73" s="67">
        <v>65</v>
      </c>
      <c r="B73" s="68" t="s">
        <v>390</v>
      </c>
      <c r="C73" s="70" t="s">
        <v>604</v>
      </c>
      <c r="D73" s="4">
        <v>0</v>
      </c>
      <c r="E73" s="73">
        <v>10</v>
      </c>
      <c r="F73" s="4">
        <f t="shared" si="12"/>
        <v>10</v>
      </c>
      <c r="G73" s="5">
        <f t="shared" si="13"/>
        <v>77000</v>
      </c>
      <c r="H73" s="4">
        <f t="shared" si="14"/>
        <v>10</v>
      </c>
      <c r="I73" s="4">
        <v>0</v>
      </c>
      <c r="J73" s="5">
        <v>7700</v>
      </c>
      <c r="K73" s="5">
        <f t="shared" si="15"/>
        <v>0</v>
      </c>
      <c r="L73" s="54" t="s">
        <v>732</v>
      </c>
    </row>
    <row r="74" spans="1:12" ht="24" customHeight="1" x14ac:dyDescent="0.5">
      <c r="A74" s="67">
        <v>66</v>
      </c>
      <c r="B74" s="68" t="s">
        <v>748</v>
      </c>
      <c r="C74" s="70" t="s">
        <v>604</v>
      </c>
      <c r="D74" s="4">
        <v>0</v>
      </c>
      <c r="E74" s="73">
        <v>5</v>
      </c>
      <c r="F74" s="4">
        <f t="shared" si="12"/>
        <v>5</v>
      </c>
      <c r="G74" s="5">
        <f t="shared" si="13"/>
        <v>11000</v>
      </c>
      <c r="H74" s="4">
        <f t="shared" si="14"/>
        <v>5</v>
      </c>
      <c r="I74" s="4">
        <v>0</v>
      </c>
      <c r="J74" s="5">
        <v>2200</v>
      </c>
      <c r="K74" s="5">
        <f t="shared" si="15"/>
        <v>0</v>
      </c>
      <c r="L74" s="54" t="s">
        <v>19</v>
      </c>
    </row>
    <row r="75" spans="1:12" ht="24" customHeight="1" x14ac:dyDescent="0.5">
      <c r="A75" s="67">
        <v>67</v>
      </c>
      <c r="B75" s="68" t="s">
        <v>45</v>
      </c>
      <c r="C75" s="70" t="s">
        <v>604</v>
      </c>
      <c r="D75" s="4">
        <v>22</v>
      </c>
      <c r="E75" s="73">
        <v>155</v>
      </c>
      <c r="F75" s="4">
        <f t="shared" si="12"/>
        <v>177</v>
      </c>
      <c r="G75" s="5">
        <f t="shared" si="13"/>
        <v>163680</v>
      </c>
      <c r="H75" s="4">
        <f t="shared" si="14"/>
        <v>176</v>
      </c>
      <c r="I75" s="4">
        <v>1</v>
      </c>
      <c r="J75" s="5">
        <v>930</v>
      </c>
      <c r="K75" s="5">
        <f t="shared" si="15"/>
        <v>930</v>
      </c>
      <c r="L75" s="63"/>
    </row>
    <row r="76" spans="1:12" ht="24" customHeight="1" x14ac:dyDescent="0.5">
      <c r="A76" s="67">
        <v>68</v>
      </c>
      <c r="B76" s="68" t="s">
        <v>46</v>
      </c>
      <c r="C76" s="70" t="s">
        <v>604</v>
      </c>
      <c r="D76" s="4">
        <v>27</v>
      </c>
      <c r="E76" s="73">
        <v>150</v>
      </c>
      <c r="F76" s="4">
        <f t="shared" si="12"/>
        <v>177</v>
      </c>
      <c r="G76" s="5">
        <f t="shared" si="13"/>
        <v>157170</v>
      </c>
      <c r="H76" s="4">
        <f t="shared" si="14"/>
        <v>169</v>
      </c>
      <c r="I76" s="4">
        <v>8</v>
      </c>
      <c r="J76" s="5">
        <v>930</v>
      </c>
      <c r="K76" s="5">
        <f t="shared" si="15"/>
        <v>7440</v>
      </c>
      <c r="L76" s="62" t="s">
        <v>627</v>
      </c>
    </row>
    <row r="77" spans="1:12" ht="24" customHeight="1" x14ac:dyDescent="0.5">
      <c r="A77" s="67">
        <v>69</v>
      </c>
      <c r="B77" s="68" t="s">
        <v>391</v>
      </c>
      <c r="C77" s="70" t="s">
        <v>604</v>
      </c>
      <c r="D77" s="4">
        <v>3</v>
      </c>
      <c r="E77" s="73">
        <v>15</v>
      </c>
      <c r="F77" s="4">
        <f t="shared" ref="F77:F82" si="16">D77+E77</f>
        <v>18</v>
      </c>
      <c r="G77" s="5">
        <f t="shared" ref="G77:G82" si="17">H77*J77</f>
        <v>29760</v>
      </c>
      <c r="H77" s="4">
        <f t="shared" ref="H77:H82" si="18">F77-I77</f>
        <v>16</v>
      </c>
      <c r="I77" s="4">
        <v>2</v>
      </c>
      <c r="J77" s="5">
        <v>1860</v>
      </c>
      <c r="K77" s="5">
        <f t="shared" si="15"/>
        <v>3720</v>
      </c>
      <c r="L77" s="54" t="s">
        <v>733</v>
      </c>
    </row>
    <row r="78" spans="1:12" ht="24" customHeight="1" x14ac:dyDescent="0.5">
      <c r="A78" s="67">
        <v>70</v>
      </c>
      <c r="B78" s="68" t="s">
        <v>47</v>
      </c>
      <c r="C78" s="70" t="s">
        <v>604</v>
      </c>
      <c r="D78" s="4">
        <v>0</v>
      </c>
      <c r="E78" s="73">
        <v>130</v>
      </c>
      <c r="F78" s="4">
        <f t="shared" si="16"/>
        <v>130</v>
      </c>
      <c r="G78" s="5">
        <f t="shared" si="17"/>
        <v>228780</v>
      </c>
      <c r="H78" s="4">
        <f t="shared" si="18"/>
        <v>123</v>
      </c>
      <c r="I78" s="4">
        <v>7</v>
      </c>
      <c r="J78" s="5">
        <v>1860</v>
      </c>
      <c r="K78" s="5">
        <f t="shared" si="15"/>
        <v>13020</v>
      </c>
      <c r="L78" s="64" t="s">
        <v>20</v>
      </c>
    </row>
    <row r="79" spans="1:12" ht="24" customHeight="1" x14ac:dyDescent="0.5">
      <c r="A79" s="67">
        <v>71</v>
      </c>
      <c r="B79" s="68" t="s">
        <v>600</v>
      </c>
      <c r="C79" s="70" t="s">
        <v>191</v>
      </c>
      <c r="D79" s="4">
        <v>0</v>
      </c>
      <c r="E79" s="73">
        <v>162</v>
      </c>
      <c r="F79" s="4">
        <f t="shared" si="16"/>
        <v>162</v>
      </c>
      <c r="G79" s="5">
        <f t="shared" si="17"/>
        <v>510300</v>
      </c>
      <c r="H79" s="4">
        <f t="shared" si="18"/>
        <v>162</v>
      </c>
      <c r="I79" s="4">
        <v>0</v>
      </c>
      <c r="J79" s="5">
        <v>3150</v>
      </c>
      <c r="K79" s="5">
        <f t="shared" si="15"/>
        <v>0</v>
      </c>
      <c r="L79" s="61"/>
    </row>
    <row r="80" spans="1:12" ht="24" customHeight="1" x14ac:dyDescent="0.5">
      <c r="A80" s="67">
        <v>72</v>
      </c>
      <c r="B80" s="68" t="s">
        <v>476</v>
      </c>
      <c r="C80" s="70" t="s">
        <v>612</v>
      </c>
      <c r="D80" s="4">
        <v>0</v>
      </c>
      <c r="E80" s="73">
        <v>1</v>
      </c>
      <c r="F80" s="4">
        <f t="shared" si="16"/>
        <v>1</v>
      </c>
      <c r="G80" s="5">
        <f t="shared" si="17"/>
        <v>750</v>
      </c>
      <c r="H80" s="4">
        <f t="shared" si="18"/>
        <v>1</v>
      </c>
      <c r="I80" s="4">
        <v>0</v>
      </c>
      <c r="J80" s="5">
        <v>750</v>
      </c>
      <c r="K80" s="5">
        <f t="shared" si="15"/>
        <v>0</v>
      </c>
      <c r="L80" s="62" t="s">
        <v>627</v>
      </c>
    </row>
    <row r="81" spans="1:12" ht="24" customHeight="1" x14ac:dyDescent="0.5">
      <c r="A81" s="67">
        <v>73</v>
      </c>
      <c r="B81" s="68" t="s">
        <v>601</v>
      </c>
      <c r="C81" s="70" t="s">
        <v>612</v>
      </c>
      <c r="D81" s="4">
        <v>0</v>
      </c>
      <c r="E81" s="73">
        <v>6</v>
      </c>
      <c r="F81" s="4">
        <f t="shared" si="16"/>
        <v>6</v>
      </c>
      <c r="G81" s="5">
        <f t="shared" si="17"/>
        <v>4500</v>
      </c>
      <c r="H81" s="4">
        <f t="shared" si="18"/>
        <v>6</v>
      </c>
      <c r="I81" s="4">
        <v>0</v>
      </c>
      <c r="J81" s="5">
        <v>750</v>
      </c>
      <c r="K81" s="5">
        <f t="shared" si="15"/>
        <v>0</v>
      </c>
      <c r="L81" s="54" t="s">
        <v>734</v>
      </c>
    </row>
    <row r="82" spans="1:12" ht="24" customHeight="1" x14ac:dyDescent="0.5">
      <c r="A82" s="67">
        <v>74</v>
      </c>
      <c r="B82" s="68" t="s">
        <v>48</v>
      </c>
      <c r="C82" s="70" t="s">
        <v>613</v>
      </c>
      <c r="D82" s="4">
        <v>0</v>
      </c>
      <c r="E82" s="73">
        <v>2000</v>
      </c>
      <c r="F82" s="4">
        <f t="shared" si="16"/>
        <v>2000</v>
      </c>
      <c r="G82" s="5">
        <f t="shared" si="17"/>
        <v>2850</v>
      </c>
      <c r="H82" s="4">
        <f t="shared" si="18"/>
        <v>1500</v>
      </c>
      <c r="I82" s="4">
        <v>500</v>
      </c>
      <c r="J82" s="5">
        <v>1.9</v>
      </c>
      <c r="K82" s="5">
        <f>I82*J82</f>
        <v>950</v>
      </c>
      <c r="L82" s="64" t="s">
        <v>18</v>
      </c>
    </row>
    <row r="83" spans="1:12" ht="24" customHeight="1" x14ac:dyDescent="0.5">
      <c r="A83" s="67">
        <v>75</v>
      </c>
      <c r="B83" s="68" t="s">
        <v>49</v>
      </c>
      <c r="C83" s="70" t="s">
        <v>613</v>
      </c>
      <c r="D83" s="4">
        <v>3100</v>
      </c>
      <c r="E83" s="73">
        <v>109000</v>
      </c>
      <c r="F83" s="4">
        <f t="shared" ref="F83:F88" si="19">D83+E83</f>
        <v>112100</v>
      </c>
      <c r="G83" s="5">
        <f t="shared" ref="G83:G88" si="20">H83*J83</f>
        <v>289240</v>
      </c>
      <c r="H83" s="4">
        <f t="shared" ref="H83:H88" si="21">F83-I83</f>
        <v>103300</v>
      </c>
      <c r="I83" s="4">
        <v>8800</v>
      </c>
      <c r="J83" s="5">
        <v>2.8</v>
      </c>
      <c r="K83" s="5">
        <f t="shared" ref="K83:K93" si="22">I83*J83</f>
        <v>24640</v>
      </c>
      <c r="L83" s="64"/>
    </row>
    <row r="84" spans="1:12" ht="24" customHeight="1" x14ac:dyDescent="0.5">
      <c r="A84" s="67">
        <v>76</v>
      </c>
      <c r="B84" s="68" t="s">
        <v>749</v>
      </c>
      <c r="C84" s="70" t="s">
        <v>604</v>
      </c>
      <c r="D84" s="4">
        <v>4</v>
      </c>
      <c r="E84" s="73">
        <v>0</v>
      </c>
      <c r="F84" s="4">
        <f t="shared" si="19"/>
        <v>4</v>
      </c>
      <c r="G84" s="5">
        <f t="shared" si="20"/>
        <v>0</v>
      </c>
      <c r="H84" s="4">
        <f t="shared" si="21"/>
        <v>0</v>
      </c>
      <c r="I84" s="4">
        <v>4</v>
      </c>
      <c r="J84" s="46">
        <v>2900</v>
      </c>
      <c r="K84" s="5">
        <f t="shared" si="22"/>
        <v>11600</v>
      </c>
      <c r="L84" s="62" t="s">
        <v>627</v>
      </c>
    </row>
    <row r="85" spans="1:12" ht="24" customHeight="1" x14ac:dyDescent="0.5">
      <c r="A85" s="67">
        <v>77</v>
      </c>
      <c r="B85" s="68" t="s">
        <v>603</v>
      </c>
      <c r="C85" s="70" t="s">
        <v>606</v>
      </c>
      <c r="D85" s="4">
        <v>0</v>
      </c>
      <c r="E85" s="73">
        <v>4</v>
      </c>
      <c r="F85" s="4">
        <f t="shared" si="19"/>
        <v>4</v>
      </c>
      <c r="G85" s="5">
        <f t="shared" si="20"/>
        <v>12840</v>
      </c>
      <c r="H85" s="4">
        <f t="shared" si="21"/>
        <v>4</v>
      </c>
      <c r="I85" s="4">
        <v>0</v>
      </c>
      <c r="J85" s="47">
        <v>3210</v>
      </c>
      <c r="K85" s="5">
        <f t="shared" si="22"/>
        <v>0</v>
      </c>
      <c r="L85" s="54" t="s">
        <v>434</v>
      </c>
    </row>
    <row r="86" spans="1:12" ht="24" customHeight="1" x14ac:dyDescent="0.5">
      <c r="A86" s="67">
        <v>78</v>
      </c>
      <c r="B86" s="68" t="s">
        <v>52</v>
      </c>
      <c r="C86" s="70" t="s">
        <v>614</v>
      </c>
      <c r="D86" s="4">
        <v>80000</v>
      </c>
      <c r="E86" s="73">
        <v>0</v>
      </c>
      <c r="F86" s="4">
        <f t="shared" si="19"/>
        <v>80000</v>
      </c>
      <c r="G86" s="5">
        <f t="shared" si="20"/>
        <v>19200</v>
      </c>
      <c r="H86" s="4">
        <f t="shared" si="21"/>
        <v>80000</v>
      </c>
      <c r="I86" s="4">
        <v>0</v>
      </c>
      <c r="J86" s="47">
        <v>0.24</v>
      </c>
      <c r="K86" s="5">
        <f t="shared" si="22"/>
        <v>0</v>
      </c>
      <c r="L86" s="64" t="s">
        <v>433</v>
      </c>
    </row>
    <row r="87" spans="1:12" ht="24" customHeight="1" x14ac:dyDescent="0.5">
      <c r="A87" s="67">
        <v>79</v>
      </c>
      <c r="B87" s="68" t="s">
        <v>750</v>
      </c>
      <c r="C87" s="70" t="s">
        <v>606</v>
      </c>
      <c r="D87" s="4">
        <v>0</v>
      </c>
      <c r="E87" s="73">
        <v>15</v>
      </c>
      <c r="F87" s="4">
        <f t="shared" si="19"/>
        <v>15</v>
      </c>
      <c r="G87" s="5">
        <f t="shared" si="20"/>
        <v>39600</v>
      </c>
      <c r="H87" s="4">
        <f t="shared" si="21"/>
        <v>11</v>
      </c>
      <c r="I87" s="4">
        <v>4</v>
      </c>
      <c r="J87" s="47">
        <v>3600</v>
      </c>
      <c r="K87" s="5">
        <f t="shared" si="22"/>
        <v>14400</v>
      </c>
      <c r="L87" s="54"/>
    </row>
    <row r="88" spans="1:12" ht="24" customHeight="1" x14ac:dyDescent="0.5">
      <c r="A88" s="67">
        <v>80</v>
      </c>
      <c r="B88" s="68" t="s">
        <v>51</v>
      </c>
      <c r="C88" s="70" t="s">
        <v>606</v>
      </c>
      <c r="D88" s="4">
        <v>70</v>
      </c>
      <c r="E88" s="73">
        <v>260</v>
      </c>
      <c r="F88" s="4">
        <f t="shared" si="19"/>
        <v>330</v>
      </c>
      <c r="G88" s="5">
        <f t="shared" si="20"/>
        <v>1210560</v>
      </c>
      <c r="H88" s="4">
        <f t="shared" si="21"/>
        <v>291</v>
      </c>
      <c r="I88" s="4">
        <v>39</v>
      </c>
      <c r="J88" s="47">
        <v>4160</v>
      </c>
      <c r="K88" s="5">
        <f t="shared" si="22"/>
        <v>162240</v>
      </c>
      <c r="L88" s="62" t="s">
        <v>627</v>
      </c>
    </row>
    <row r="89" spans="1:12" ht="24" customHeight="1" x14ac:dyDescent="0.5">
      <c r="A89" s="67"/>
      <c r="B89" s="72" t="s">
        <v>432</v>
      </c>
      <c r="C89" s="72"/>
      <c r="D89" s="6"/>
      <c r="E89" s="10"/>
      <c r="F89" s="6"/>
      <c r="G89" s="11">
        <f>SUM(G69:G88)</f>
        <v>3233538.26</v>
      </c>
      <c r="H89" s="6"/>
      <c r="I89" s="6"/>
      <c r="J89" s="11"/>
      <c r="K89" s="11">
        <f>SUM(K69:K88)</f>
        <v>318468.33999999997</v>
      </c>
      <c r="L89" s="54" t="s">
        <v>503</v>
      </c>
    </row>
    <row r="90" spans="1:12" ht="24" customHeight="1" x14ac:dyDescent="0.5">
      <c r="B90" s="55"/>
      <c r="C90" s="55"/>
      <c r="D90" s="14"/>
      <c r="E90" s="15"/>
      <c r="F90" s="14"/>
      <c r="G90" s="17"/>
      <c r="H90" s="14"/>
      <c r="I90" s="14"/>
      <c r="J90" s="17"/>
      <c r="K90" s="17"/>
      <c r="L90" s="64" t="s">
        <v>435</v>
      </c>
    </row>
    <row r="91" spans="1:12" ht="24" customHeight="1" x14ac:dyDescent="0.5">
      <c r="A91" s="67">
        <v>81</v>
      </c>
      <c r="B91" s="68" t="s">
        <v>751</v>
      </c>
      <c r="C91" s="70" t="s">
        <v>614</v>
      </c>
      <c r="D91" s="4">
        <v>0</v>
      </c>
      <c r="E91" s="73">
        <v>100000</v>
      </c>
      <c r="F91" s="4">
        <f t="shared" ref="F91:F93" si="23">D91+E91</f>
        <v>100000</v>
      </c>
      <c r="G91" s="5">
        <f t="shared" ref="G91:G93" si="24">H91*J91</f>
        <v>9000</v>
      </c>
      <c r="H91" s="4">
        <f t="shared" ref="H91:H93" si="25">F91-I91</f>
        <v>100000</v>
      </c>
      <c r="I91" s="4">
        <v>0</v>
      </c>
      <c r="J91" s="47">
        <v>0.09</v>
      </c>
      <c r="K91" s="5">
        <f>I91*J91</f>
        <v>0</v>
      </c>
      <c r="L91" s="54" t="s">
        <v>15</v>
      </c>
    </row>
    <row r="92" spans="1:12" ht="24" customHeight="1" x14ac:dyDescent="0.5">
      <c r="A92" s="67">
        <v>82</v>
      </c>
      <c r="B92" s="68" t="s">
        <v>53</v>
      </c>
      <c r="C92" s="70" t="s">
        <v>24</v>
      </c>
      <c r="D92" s="4">
        <v>0</v>
      </c>
      <c r="E92" s="73">
        <v>750</v>
      </c>
      <c r="F92" s="4">
        <f t="shared" si="23"/>
        <v>750</v>
      </c>
      <c r="G92" s="5">
        <f t="shared" si="24"/>
        <v>292500</v>
      </c>
      <c r="H92" s="4">
        <f t="shared" si="25"/>
        <v>750</v>
      </c>
      <c r="I92" s="4">
        <v>0</v>
      </c>
      <c r="J92" s="47">
        <v>390</v>
      </c>
      <c r="K92" s="5">
        <f t="shared" si="22"/>
        <v>0</v>
      </c>
      <c r="L92" s="54" t="s">
        <v>716</v>
      </c>
    </row>
    <row r="93" spans="1:12" ht="24" customHeight="1" x14ac:dyDescent="0.5">
      <c r="A93" s="67">
        <v>83</v>
      </c>
      <c r="B93" s="68" t="s">
        <v>602</v>
      </c>
      <c r="C93" s="70" t="s">
        <v>611</v>
      </c>
      <c r="D93" s="4">
        <v>0</v>
      </c>
      <c r="E93" s="73">
        <v>300</v>
      </c>
      <c r="F93" s="4">
        <f t="shared" si="23"/>
        <v>300</v>
      </c>
      <c r="G93" s="5">
        <f t="shared" si="24"/>
        <v>4185</v>
      </c>
      <c r="H93" s="4">
        <f t="shared" si="25"/>
        <v>300</v>
      </c>
      <c r="I93" s="4">
        <v>0</v>
      </c>
      <c r="J93" s="47">
        <v>13.95</v>
      </c>
      <c r="K93" s="5">
        <f t="shared" si="22"/>
        <v>0</v>
      </c>
      <c r="L93" s="61"/>
    </row>
    <row r="94" spans="1:12" ht="24" customHeight="1" x14ac:dyDescent="0.5">
      <c r="A94" s="67"/>
      <c r="B94" s="72" t="s">
        <v>432</v>
      </c>
      <c r="C94" s="72"/>
      <c r="D94" s="6"/>
      <c r="E94" s="10"/>
      <c r="F94" s="6"/>
      <c r="G94" s="11">
        <f>SUM(G91:G93)</f>
        <v>305685</v>
      </c>
      <c r="H94" s="6"/>
      <c r="I94" s="6"/>
      <c r="J94" s="11"/>
      <c r="K94" s="11">
        <f>SUM(K91:K93)</f>
        <v>0</v>
      </c>
      <c r="L94" s="62" t="s">
        <v>627</v>
      </c>
    </row>
    <row r="95" spans="1:12" ht="24" customHeight="1" x14ac:dyDescent="0.5">
      <c r="A95" s="67"/>
      <c r="B95" s="74" t="s">
        <v>628</v>
      </c>
      <c r="C95" s="75"/>
      <c r="D95" s="2"/>
      <c r="E95" s="7"/>
      <c r="F95" s="8"/>
      <c r="G95" s="9">
        <f>SUM(G94+G89+G67+G45+G23)</f>
        <v>7151935.1799999997</v>
      </c>
      <c r="H95" s="2"/>
      <c r="I95" s="2"/>
      <c r="J95" s="9"/>
      <c r="K95" s="9">
        <f>SUM(K94+K89+K67+K45+K23)</f>
        <v>530007.14</v>
      </c>
      <c r="L95" s="54" t="s">
        <v>732</v>
      </c>
    </row>
    <row r="96" spans="1:12" ht="24" customHeight="1" x14ac:dyDescent="0.5">
      <c r="L96" s="54" t="s">
        <v>19</v>
      </c>
    </row>
    <row r="97" spans="2:12" ht="24" customHeight="1" x14ac:dyDescent="0.5">
      <c r="L97" s="63"/>
    </row>
    <row r="98" spans="2:12" ht="24" customHeight="1" x14ac:dyDescent="0.5">
      <c r="B98" s="44"/>
      <c r="L98" s="62" t="s">
        <v>627</v>
      </c>
    </row>
    <row r="99" spans="2:12" ht="24" customHeight="1" x14ac:dyDescent="0.5">
      <c r="L99" s="54" t="s">
        <v>733</v>
      </c>
    </row>
    <row r="100" spans="2:12" ht="24" customHeight="1" x14ac:dyDescent="0.5">
      <c r="L100" s="64" t="s">
        <v>20</v>
      </c>
    </row>
    <row r="101" spans="2:12" ht="24" customHeight="1" x14ac:dyDescent="0.5">
      <c r="L101" s="61"/>
    </row>
    <row r="102" spans="2:12" ht="24" customHeight="1" x14ac:dyDescent="0.5">
      <c r="L102" s="62" t="s">
        <v>627</v>
      </c>
    </row>
    <row r="103" spans="2:12" ht="24" customHeight="1" x14ac:dyDescent="0.5">
      <c r="L103" s="54" t="s">
        <v>734</v>
      </c>
    </row>
    <row r="104" spans="2:12" ht="24" customHeight="1" x14ac:dyDescent="0.5">
      <c r="L104" s="64" t="s">
        <v>18</v>
      </c>
    </row>
    <row r="105" spans="2:12" ht="24" customHeight="1" x14ac:dyDescent="0.5">
      <c r="L105" s="64"/>
    </row>
    <row r="106" spans="2:12" ht="24" customHeight="1" x14ac:dyDescent="0.5">
      <c r="L106" s="62" t="s">
        <v>627</v>
      </c>
    </row>
    <row r="107" spans="2:12" ht="24" customHeight="1" x14ac:dyDescent="0.5">
      <c r="L107" s="54" t="s">
        <v>434</v>
      </c>
    </row>
    <row r="108" spans="2:12" ht="24" customHeight="1" x14ac:dyDescent="0.5">
      <c r="L108" s="64" t="s">
        <v>433</v>
      </c>
    </row>
    <row r="109" spans="2:12" ht="24" customHeight="1" x14ac:dyDescent="0.5">
      <c r="L109" s="54"/>
    </row>
    <row r="110" spans="2:12" ht="24" customHeight="1" x14ac:dyDescent="0.5">
      <c r="L110" s="62" t="s">
        <v>627</v>
      </c>
    </row>
    <row r="111" spans="2:12" ht="24" customHeight="1" x14ac:dyDescent="0.5">
      <c r="L111" s="54" t="s">
        <v>503</v>
      </c>
    </row>
    <row r="112" spans="2:12" ht="24" customHeight="1" x14ac:dyDescent="0.5">
      <c r="L112" s="64" t="s">
        <v>435</v>
      </c>
    </row>
    <row r="113" ht="24" customHeight="1" x14ac:dyDescent="0.5"/>
    <row r="114" ht="24" customHeight="1" x14ac:dyDescent="0.5"/>
    <row r="115" ht="24" customHeight="1" x14ac:dyDescent="0.5"/>
    <row r="116" ht="24" customHeight="1" x14ac:dyDescent="0.5"/>
    <row r="117" ht="24" customHeight="1" x14ac:dyDescent="0.5"/>
    <row r="118" ht="24" customHeight="1" x14ac:dyDescent="0.5"/>
    <row r="119" ht="24" customHeight="1" x14ac:dyDescent="0.5"/>
    <row r="120" ht="24" customHeight="1" x14ac:dyDescent="0.5"/>
    <row r="121" ht="24" customHeight="1" x14ac:dyDescent="0.5"/>
    <row r="122" ht="24" customHeight="1" x14ac:dyDescent="0.5"/>
    <row r="123" ht="24" customHeight="1" x14ac:dyDescent="0.5"/>
    <row r="124" ht="24" customHeight="1" x14ac:dyDescent="0.5"/>
    <row r="125" ht="24" customHeight="1" x14ac:dyDescent="0.5"/>
    <row r="126" ht="24" customHeight="1" x14ac:dyDescent="0.5"/>
    <row r="127" ht="24" customHeight="1" x14ac:dyDescent="0.5"/>
    <row r="128" ht="24" customHeight="1" x14ac:dyDescent="0.5"/>
    <row r="129" ht="24" customHeight="1" x14ac:dyDescent="0.5"/>
    <row r="130" ht="24" customHeight="1" x14ac:dyDescent="0.5"/>
    <row r="131" ht="24" customHeight="1" x14ac:dyDescent="0.5"/>
    <row r="132" ht="24" customHeight="1" x14ac:dyDescent="0.5"/>
    <row r="133" ht="24" customHeight="1" x14ac:dyDescent="0.5"/>
    <row r="134" ht="24" customHeight="1" x14ac:dyDescent="0.5"/>
    <row r="135" ht="24" customHeight="1" x14ac:dyDescent="0.5"/>
    <row r="136" ht="24" customHeight="1" x14ac:dyDescent="0.5"/>
    <row r="137" ht="24" customHeight="1" x14ac:dyDescent="0.5"/>
    <row r="138" ht="24" customHeight="1" x14ac:dyDescent="0.5"/>
    <row r="139" ht="24" customHeight="1" x14ac:dyDescent="0.5"/>
    <row r="140" ht="24" customHeight="1" x14ac:dyDescent="0.5"/>
    <row r="141" ht="24" customHeight="1" x14ac:dyDescent="0.5"/>
    <row r="142" ht="24" customHeight="1" x14ac:dyDescent="0.5"/>
    <row r="143" ht="24" customHeight="1" x14ac:dyDescent="0.5"/>
    <row r="144" ht="24" customHeight="1" x14ac:dyDescent="0.5"/>
    <row r="145" ht="24" customHeight="1" x14ac:dyDescent="0.5"/>
    <row r="146" ht="24" customHeight="1" x14ac:dyDescent="0.5"/>
    <row r="147" ht="24" customHeight="1" x14ac:dyDescent="0.5"/>
    <row r="148" ht="24" customHeight="1" x14ac:dyDescent="0.5"/>
    <row r="149" ht="24" customHeight="1" x14ac:dyDescent="0.5"/>
    <row r="150" ht="24" customHeight="1" x14ac:dyDescent="0.5"/>
    <row r="151" ht="24" customHeight="1" x14ac:dyDescent="0.5"/>
    <row r="152" ht="24" customHeight="1" x14ac:dyDescent="0.5"/>
    <row r="153" ht="24" customHeight="1" x14ac:dyDescent="0.5"/>
    <row r="154" ht="24" customHeight="1" x14ac:dyDescent="0.5"/>
    <row r="155" ht="24" customHeight="1" x14ac:dyDescent="0.5"/>
    <row r="156" ht="24" customHeight="1" x14ac:dyDescent="0.5"/>
    <row r="157" ht="24" customHeight="1" x14ac:dyDescent="0.5"/>
    <row r="158" ht="24" customHeight="1" x14ac:dyDescent="0.5"/>
    <row r="159" ht="24" customHeight="1" x14ac:dyDescent="0.5"/>
    <row r="160" ht="24" customHeight="1" x14ac:dyDescent="0.5"/>
    <row r="161" ht="24" customHeight="1" x14ac:dyDescent="0.5"/>
    <row r="162" ht="24" customHeight="1" x14ac:dyDescent="0.5"/>
    <row r="163" ht="24" customHeight="1" x14ac:dyDescent="0.5"/>
    <row r="164" ht="24" customHeight="1" x14ac:dyDescent="0.5"/>
    <row r="165" ht="24" customHeight="1" x14ac:dyDescent="0.5"/>
    <row r="166" ht="24" customHeight="1" x14ac:dyDescent="0.5"/>
    <row r="167" ht="24" customHeight="1" x14ac:dyDescent="0.5"/>
    <row r="168" ht="24" customHeight="1" x14ac:dyDescent="0.5"/>
    <row r="169" ht="24" customHeight="1" x14ac:dyDescent="0.5"/>
    <row r="170" ht="24" customHeight="1" x14ac:dyDescent="0.5"/>
    <row r="171" ht="24" customHeight="1" x14ac:dyDescent="0.5"/>
    <row r="172" ht="24" customHeight="1" x14ac:dyDescent="0.5"/>
    <row r="173" ht="24" customHeight="1" x14ac:dyDescent="0.5"/>
    <row r="174" ht="24" customHeight="1" x14ac:dyDescent="0.5"/>
    <row r="175" ht="24" customHeight="1" x14ac:dyDescent="0.5"/>
    <row r="176" ht="24" customHeight="1" x14ac:dyDescent="0.5"/>
    <row r="177" spans="2:12" ht="24" customHeight="1" x14ac:dyDescent="0.5"/>
    <row r="178" spans="2:12" ht="24" customHeight="1" x14ac:dyDescent="0.5"/>
    <row r="179" spans="2:12" ht="24" customHeight="1" x14ac:dyDescent="0.5"/>
    <row r="180" spans="2:12" ht="24" customHeight="1" x14ac:dyDescent="0.5"/>
    <row r="181" spans="2:12" ht="24" customHeight="1" x14ac:dyDescent="0.5"/>
    <row r="182" spans="2:12" ht="24" customHeight="1" x14ac:dyDescent="0.5"/>
    <row r="183" spans="2:12" ht="24" customHeight="1" x14ac:dyDescent="0.5"/>
    <row r="184" spans="2:12" ht="24" customHeight="1" x14ac:dyDescent="0.5"/>
    <row r="185" spans="2:12" ht="24" customHeight="1" x14ac:dyDescent="0.5"/>
    <row r="186" spans="2:12" s="66" customFormat="1" ht="24" customHeight="1" x14ac:dyDescent="0.5">
      <c r="B186" s="76"/>
      <c r="D186" s="3"/>
      <c r="E186" s="3"/>
      <c r="F186" s="12"/>
      <c r="G186" s="16"/>
      <c r="H186" s="12"/>
      <c r="I186" s="12"/>
      <c r="J186" s="16"/>
      <c r="K186" s="16"/>
      <c r="L186" s="77"/>
    </row>
    <row r="187" spans="2:12" s="66" customFormat="1" ht="24" customHeight="1" x14ac:dyDescent="0.5">
      <c r="B187" s="76"/>
      <c r="D187" s="3"/>
      <c r="E187" s="3"/>
      <c r="F187" s="12"/>
      <c r="G187" s="16"/>
      <c r="H187" s="12"/>
      <c r="I187" s="12"/>
      <c r="J187" s="16"/>
      <c r="K187" s="16"/>
      <c r="L187" s="77"/>
    </row>
    <row r="188" spans="2:12" s="66" customFormat="1" ht="24" customHeight="1" x14ac:dyDescent="0.5">
      <c r="B188" s="76"/>
      <c r="D188" s="3"/>
      <c r="E188" s="3"/>
      <c r="F188" s="12"/>
      <c r="G188" s="16"/>
      <c r="H188" s="12"/>
      <c r="I188" s="12"/>
      <c r="J188" s="16"/>
      <c r="K188" s="16"/>
      <c r="L188" s="77"/>
    </row>
    <row r="189" spans="2:12" s="66" customFormat="1" ht="24" customHeight="1" x14ac:dyDescent="0.5">
      <c r="B189" s="76"/>
      <c r="D189" s="3"/>
      <c r="E189" s="3"/>
      <c r="F189" s="12"/>
      <c r="G189" s="16"/>
      <c r="H189" s="12"/>
      <c r="I189" s="12"/>
      <c r="J189" s="16"/>
      <c r="K189" s="16"/>
      <c r="L189" s="77"/>
    </row>
    <row r="190" spans="2:12" s="66" customFormat="1" ht="24" customHeight="1" x14ac:dyDescent="0.5">
      <c r="B190" s="76"/>
      <c r="D190" s="3"/>
      <c r="E190" s="3"/>
      <c r="F190" s="12"/>
      <c r="G190" s="16"/>
      <c r="H190" s="12"/>
      <c r="I190" s="12"/>
      <c r="J190" s="16"/>
      <c r="K190" s="16"/>
      <c r="L190" s="77"/>
    </row>
    <row r="191" spans="2:12" s="66" customFormat="1" ht="24" customHeight="1" x14ac:dyDescent="0.5">
      <c r="B191" s="76"/>
      <c r="D191" s="3"/>
      <c r="E191" s="3"/>
      <c r="F191" s="12"/>
      <c r="G191" s="16"/>
      <c r="H191" s="12"/>
      <c r="I191" s="12"/>
      <c r="J191" s="16"/>
      <c r="K191" s="16"/>
      <c r="L191" s="77"/>
    </row>
    <row r="192" spans="2:12" s="66" customFormat="1" ht="24" customHeight="1" x14ac:dyDescent="0.5">
      <c r="B192" s="76"/>
      <c r="D192" s="3"/>
      <c r="E192" s="3"/>
      <c r="F192" s="12"/>
      <c r="G192" s="16"/>
      <c r="H192" s="12"/>
      <c r="I192" s="12"/>
      <c r="J192" s="16"/>
      <c r="K192" s="16"/>
      <c r="L192" s="77"/>
    </row>
    <row r="193" spans="2:12" s="66" customFormat="1" ht="24" customHeight="1" x14ac:dyDescent="0.5">
      <c r="B193" s="76"/>
      <c r="D193" s="3"/>
      <c r="E193" s="3"/>
      <c r="F193" s="12"/>
      <c r="G193" s="16"/>
      <c r="H193" s="12"/>
      <c r="I193" s="12"/>
      <c r="J193" s="16"/>
      <c r="K193" s="16"/>
      <c r="L193" s="77"/>
    </row>
    <row r="194" spans="2:12" s="66" customFormat="1" ht="24" customHeight="1" x14ac:dyDescent="0.5">
      <c r="B194" s="76"/>
      <c r="D194" s="3"/>
      <c r="E194" s="3"/>
      <c r="F194" s="12"/>
      <c r="G194" s="16"/>
      <c r="H194" s="12"/>
      <c r="I194" s="12"/>
      <c r="J194" s="16"/>
      <c r="K194" s="16"/>
      <c r="L194" s="77"/>
    </row>
    <row r="195" spans="2:12" s="66" customFormat="1" ht="24" customHeight="1" x14ac:dyDescent="0.5">
      <c r="B195" s="76"/>
      <c r="D195" s="3"/>
      <c r="E195" s="3"/>
      <c r="F195" s="12"/>
      <c r="G195" s="16"/>
      <c r="H195" s="12"/>
      <c r="I195" s="12"/>
      <c r="J195" s="16"/>
      <c r="K195" s="16"/>
      <c r="L195" s="77"/>
    </row>
    <row r="196" spans="2:12" s="66" customFormat="1" ht="24" customHeight="1" x14ac:dyDescent="0.5">
      <c r="B196" s="76"/>
      <c r="D196" s="3"/>
      <c r="E196" s="3"/>
      <c r="F196" s="12"/>
      <c r="G196" s="16"/>
      <c r="H196" s="12"/>
      <c r="I196" s="12"/>
      <c r="J196" s="16"/>
      <c r="K196" s="16"/>
      <c r="L196" s="77"/>
    </row>
    <row r="197" spans="2:12" s="66" customFormat="1" ht="24" customHeight="1" x14ac:dyDescent="0.5">
      <c r="B197" s="76"/>
      <c r="D197" s="3"/>
      <c r="E197" s="3"/>
      <c r="F197" s="12"/>
      <c r="G197" s="16"/>
      <c r="H197" s="12"/>
      <c r="I197" s="12"/>
      <c r="J197" s="16"/>
      <c r="K197" s="16"/>
      <c r="L197" s="77"/>
    </row>
    <row r="198" spans="2:12" s="66" customFormat="1" ht="24" customHeight="1" x14ac:dyDescent="0.5">
      <c r="B198" s="76"/>
      <c r="D198" s="3"/>
      <c r="E198" s="3"/>
      <c r="F198" s="12"/>
      <c r="G198" s="16"/>
      <c r="H198" s="12"/>
      <c r="I198" s="12"/>
      <c r="J198" s="16"/>
      <c r="K198" s="16"/>
      <c r="L198" s="77"/>
    </row>
    <row r="199" spans="2:12" s="66" customFormat="1" ht="24" customHeight="1" x14ac:dyDescent="0.5">
      <c r="B199" s="76"/>
      <c r="D199" s="3"/>
      <c r="E199" s="3"/>
      <c r="F199" s="12"/>
      <c r="G199" s="16"/>
      <c r="H199" s="12"/>
      <c r="I199" s="12"/>
      <c r="J199" s="16"/>
      <c r="K199" s="16"/>
      <c r="L199" s="77"/>
    </row>
    <row r="200" spans="2:12" s="66" customFormat="1" ht="24" customHeight="1" x14ac:dyDescent="0.5">
      <c r="B200" s="76"/>
      <c r="D200" s="3"/>
      <c r="E200" s="3"/>
      <c r="F200" s="12"/>
      <c r="G200" s="16"/>
      <c r="H200" s="12"/>
      <c r="I200" s="12"/>
      <c r="J200" s="16"/>
      <c r="K200" s="16"/>
      <c r="L200" s="77"/>
    </row>
    <row r="201" spans="2:12" s="66" customFormat="1" ht="24" customHeight="1" x14ac:dyDescent="0.5">
      <c r="B201" s="76"/>
      <c r="D201" s="3"/>
      <c r="E201" s="3"/>
      <c r="F201" s="12"/>
      <c r="G201" s="16"/>
      <c r="H201" s="12"/>
      <c r="I201" s="12"/>
      <c r="J201" s="16"/>
      <c r="K201" s="16"/>
      <c r="L201" s="77"/>
    </row>
    <row r="202" spans="2:12" s="66" customFormat="1" ht="24" customHeight="1" x14ac:dyDescent="0.5">
      <c r="B202" s="76"/>
      <c r="D202" s="3"/>
      <c r="E202" s="3"/>
      <c r="F202" s="12"/>
      <c r="G202" s="16"/>
      <c r="H202" s="12"/>
      <c r="I202" s="12"/>
      <c r="J202" s="16"/>
      <c r="K202" s="16"/>
      <c r="L202" s="77"/>
    </row>
    <row r="203" spans="2:12" s="66" customFormat="1" ht="24" customHeight="1" x14ac:dyDescent="0.5">
      <c r="B203" s="76"/>
      <c r="D203" s="3"/>
      <c r="E203" s="3"/>
      <c r="F203" s="12"/>
      <c r="G203" s="16"/>
      <c r="H203" s="12"/>
      <c r="I203" s="12"/>
      <c r="J203" s="16"/>
      <c r="K203" s="16"/>
      <c r="L203" s="77"/>
    </row>
    <row r="204" spans="2:12" s="66" customFormat="1" ht="24" customHeight="1" x14ac:dyDescent="0.5">
      <c r="B204" s="76"/>
      <c r="D204" s="3"/>
      <c r="E204" s="3"/>
      <c r="F204" s="12"/>
      <c r="G204" s="16"/>
      <c r="H204" s="12"/>
      <c r="I204" s="12"/>
      <c r="J204" s="16"/>
      <c r="K204" s="16"/>
      <c r="L204" s="77"/>
    </row>
    <row r="205" spans="2:12" s="66" customFormat="1" ht="24" customHeight="1" x14ac:dyDescent="0.5">
      <c r="B205" s="76"/>
      <c r="D205" s="3"/>
      <c r="E205" s="3"/>
      <c r="F205" s="12"/>
      <c r="G205" s="16"/>
      <c r="H205" s="12"/>
      <c r="I205" s="12"/>
      <c r="J205" s="16"/>
      <c r="K205" s="16"/>
      <c r="L205" s="77"/>
    </row>
    <row r="206" spans="2:12" s="66" customFormat="1" ht="24" customHeight="1" x14ac:dyDescent="0.5">
      <c r="B206" s="76"/>
      <c r="D206" s="3"/>
      <c r="E206" s="3"/>
      <c r="F206" s="12"/>
      <c r="G206" s="16"/>
      <c r="H206" s="12"/>
      <c r="I206" s="12"/>
      <c r="J206" s="16"/>
      <c r="K206" s="16"/>
      <c r="L206" s="77"/>
    </row>
    <row r="207" spans="2:12" s="66" customFormat="1" ht="24" customHeight="1" x14ac:dyDescent="0.5">
      <c r="B207" s="76"/>
      <c r="D207" s="3"/>
      <c r="E207" s="3"/>
      <c r="F207" s="12"/>
      <c r="G207" s="16"/>
      <c r="H207" s="12"/>
      <c r="I207" s="12"/>
      <c r="J207" s="16"/>
      <c r="K207" s="16"/>
      <c r="L207" s="77"/>
    </row>
    <row r="208" spans="2:12" s="66" customFormat="1" ht="24" customHeight="1" x14ac:dyDescent="0.5">
      <c r="B208" s="76"/>
      <c r="D208" s="3"/>
      <c r="E208" s="3"/>
      <c r="F208" s="12"/>
      <c r="G208" s="16"/>
      <c r="H208" s="12"/>
      <c r="I208" s="12"/>
      <c r="J208" s="16"/>
      <c r="K208" s="16"/>
      <c r="L208" s="77"/>
    </row>
    <row r="209" spans="2:12" s="66" customFormat="1" ht="24" customHeight="1" x14ac:dyDescent="0.5">
      <c r="B209" s="76"/>
      <c r="D209" s="3"/>
      <c r="E209" s="3"/>
      <c r="F209" s="12"/>
      <c r="G209" s="16"/>
      <c r="H209" s="12"/>
      <c r="I209" s="12"/>
      <c r="J209" s="16"/>
      <c r="K209" s="16"/>
      <c r="L209" s="77"/>
    </row>
    <row r="210" spans="2:12" s="66" customFormat="1" ht="24" customHeight="1" x14ac:dyDescent="0.5">
      <c r="B210" s="76"/>
      <c r="D210" s="3"/>
      <c r="E210" s="3"/>
      <c r="F210" s="12"/>
      <c r="G210" s="16"/>
      <c r="H210" s="12"/>
      <c r="I210" s="12"/>
      <c r="J210" s="16"/>
      <c r="K210" s="16"/>
      <c r="L210" s="77"/>
    </row>
    <row r="211" spans="2:12" s="66" customFormat="1" ht="24" customHeight="1" x14ac:dyDescent="0.5">
      <c r="B211" s="76"/>
      <c r="D211" s="3"/>
      <c r="E211" s="3"/>
      <c r="F211" s="12"/>
      <c r="G211" s="16"/>
      <c r="H211" s="12"/>
      <c r="I211" s="12"/>
      <c r="J211" s="16"/>
      <c r="K211" s="16"/>
      <c r="L211" s="77"/>
    </row>
  </sheetData>
  <mergeCells count="5">
    <mergeCell ref="A1:A2"/>
    <mergeCell ref="B1:B2"/>
    <mergeCell ref="C1:C2"/>
    <mergeCell ref="D1:F1"/>
    <mergeCell ref="I1:K1"/>
  </mergeCells>
  <pageMargins left="0.6692913385826772" right="0.15748031496062992" top="0.98425196850393704" bottom="0.15748031496062992" header="0.19685039370078741" footer="0.19685039370078741"/>
  <pageSetup paperSize="9" scale="95" firstPageNumber="29" orientation="landscape" useFirstPageNumber="1" r:id="rId1"/>
  <headerFooter scaleWithDoc="0" alignWithMargins="0">
    <oddHeader>&amp;C&amp;"TH SarabunPSK,ตัวหนา"&amp;20รายงานรับ -จ่ายพัสดุ
ประจำปีงบประมาณ 2568&amp;R&amp;"Angsana New,ธรรมดา"หน้า &amp;P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A1:L90"/>
  <sheetViews>
    <sheetView topLeftCell="A59" zoomScaleNormal="100" zoomScaleSheetLayoutView="95" zoomScalePageLayoutView="98" workbookViewId="0">
      <selection activeCell="C80" sqref="C80"/>
    </sheetView>
  </sheetViews>
  <sheetFormatPr defaultColWidth="9.140625" defaultRowHeight="21" customHeight="1" x14ac:dyDescent="0.5"/>
  <cols>
    <col min="1" max="1" width="4.28515625" style="87" customWidth="1"/>
    <col min="2" max="2" width="46.28515625" style="88" customWidth="1"/>
    <col min="3" max="3" width="8.42578125" style="87" customWidth="1"/>
    <col min="4" max="4" width="7.28515625" style="33" customWidth="1"/>
    <col min="5" max="5" width="8.28515625" style="33" customWidth="1"/>
    <col min="6" max="6" width="8.140625" style="35" customWidth="1"/>
    <col min="7" max="7" width="13.140625" style="34" customWidth="1"/>
    <col min="8" max="8" width="9.5703125" style="35" customWidth="1"/>
    <col min="9" max="9" width="8.28515625" style="35" customWidth="1"/>
    <col min="10" max="10" width="10" style="34" customWidth="1"/>
    <col min="11" max="11" width="12.28515625" style="34" customWidth="1"/>
    <col min="12" max="12" width="22.140625" style="82" customWidth="1"/>
    <col min="13" max="16384" width="9.140625" style="81"/>
  </cols>
  <sheetData>
    <row r="1" spans="1:12" s="79" customFormat="1" ht="21" customHeight="1" x14ac:dyDescent="0.5">
      <c r="A1" s="96" t="s">
        <v>0</v>
      </c>
      <c r="B1" s="95" t="s">
        <v>1</v>
      </c>
      <c r="C1" s="96" t="s">
        <v>430</v>
      </c>
      <c r="D1" s="95" t="s">
        <v>2</v>
      </c>
      <c r="E1" s="95"/>
      <c r="F1" s="95"/>
      <c r="G1" s="26" t="s">
        <v>3</v>
      </c>
      <c r="H1" s="25" t="s">
        <v>4</v>
      </c>
      <c r="I1" s="104" t="s">
        <v>5</v>
      </c>
      <c r="J1" s="104"/>
      <c r="K1" s="104"/>
      <c r="L1" s="78" t="s">
        <v>13</v>
      </c>
    </row>
    <row r="2" spans="1:12" s="80" customFormat="1" ht="21" customHeight="1" x14ac:dyDescent="0.5">
      <c r="A2" s="97"/>
      <c r="B2" s="95"/>
      <c r="C2" s="97"/>
      <c r="D2" s="25" t="s">
        <v>6</v>
      </c>
      <c r="E2" s="25" t="s">
        <v>7</v>
      </c>
      <c r="F2" s="25" t="s">
        <v>8</v>
      </c>
      <c r="G2" s="26" t="s">
        <v>9</v>
      </c>
      <c r="H2" s="25" t="s">
        <v>10</v>
      </c>
      <c r="I2" s="25" t="s">
        <v>11</v>
      </c>
      <c r="J2" s="26" t="s">
        <v>12</v>
      </c>
      <c r="K2" s="26" t="s">
        <v>431</v>
      </c>
      <c r="L2" s="78" t="s">
        <v>14</v>
      </c>
    </row>
    <row r="3" spans="1:12" ht="24" customHeight="1" x14ac:dyDescent="0.5">
      <c r="A3" s="57">
        <v>1</v>
      </c>
      <c r="B3" s="58" t="s">
        <v>192</v>
      </c>
      <c r="C3" s="59" t="s">
        <v>38</v>
      </c>
      <c r="D3" s="20">
        <v>0</v>
      </c>
      <c r="E3" s="45">
        <v>10</v>
      </c>
      <c r="F3" s="20">
        <f>D3+E3</f>
        <v>10</v>
      </c>
      <c r="G3" s="21">
        <f>H3*J3</f>
        <v>10800</v>
      </c>
      <c r="H3" s="20">
        <f>F3-I3</f>
        <v>6</v>
      </c>
      <c r="I3" s="20">
        <v>4</v>
      </c>
      <c r="J3" s="21">
        <v>1800</v>
      </c>
      <c r="K3" s="21">
        <f>I3*J3</f>
        <v>7200</v>
      </c>
      <c r="L3" s="78" t="s">
        <v>15</v>
      </c>
    </row>
    <row r="4" spans="1:12" ht="24" customHeight="1" x14ac:dyDescent="0.5">
      <c r="A4" s="57">
        <v>2</v>
      </c>
      <c r="B4" s="58" t="s">
        <v>193</v>
      </c>
      <c r="C4" s="59" t="s">
        <v>38</v>
      </c>
      <c r="D4" s="20">
        <v>0</v>
      </c>
      <c r="E4" s="45">
        <v>10</v>
      </c>
      <c r="F4" s="20">
        <f t="shared" ref="F4:F22" si="0">D4+E4</f>
        <v>10</v>
      </c>
      <c r="G4" s="21">
        <f t="shared" ref="G4:G22" si="1">H4*J4</f>
        <v>18000</v>
      </c>
      <c r="H4" s="20">
        <f t="shared" ref="H4:H22" si="2">F4-I4</f>
        <v>10</v>
      </c>
      <c r="I4" s="20">
        <v>0</v>
      </c>
      <c r="J4" s="21">
        <v>1800</v>
      </c>
      <c r="K4" s="21">
        <f t="shared" ref="K4:K22" si="3">I4*J4</f>
        <v>0</v>
      </c>
      <c r="L4" s="78" t="s">
        <v>716</v>
      </c>
    </row>
    <row r="5" spans="1:12" ht="24" customHeight="1" x14ac:dyDescent="0.5">
      <c r="A5" s="57">
        <v>3</v>
      </c>
      <c r="B5" s="58" t="s">
        <v>466</v>
      </c>
      <c r="C5" s="59" t="s">
        <v>38</v>
      </c>
      <c r="D5" s="20">
        <v>0</v>
      </c>
      <c r="E5" s="45">
        <v>10</v>
      </c>
      <c r="F5" s="20">
        <f t="shared" si="0"/>
        <v>10</v>
      </c>
      <c r="G5" s="21">
        <f t="shared" si="1"/>
        <v>9000</v>
      </c>
      <c r="H5" s="20">
        <f t="shared" si="2"/>
        <v>5</v>
      </c>
      <c r="I5" s="20">
        <v>5</v>
      </c>
      <c r="J5" s="21">
        <v>1800</v>
      </c>
      <c r="K5" s="21">
        <f t="shared" si="3"/>
        <v>9000</v>
      </c>
    </row>
    <row r="6" spans="1:12" ht="24" customHeight="1" x14ac:dyDescent="0.5">
      <c r="A6" s="57">
        <v>4</v>
      </c>
      <c r="B6" s="58" t="s">
        <v>194</v>
      </c>
      <c r="C6" s="59" t="s">
        <v>50</v>
      </c>
      <c r="D6" s="20">
        <v>0</v>
      </c>
      <c r="E6" s="45">
        <v>20</v>
      </c>
      <c r="F6" s="20">
        <f t="shared" si="0"/>
        <v>20</v>
      </c>
      <c r="G6" s="21">
        <f t="shared" si="1"/>
        <v>8560</v>
      </c>
      <c r="H6" s="20">
        <f t="shared" si="2"/>
        <v>20</v>
      </c>
      <c r="I6" s="20">
        <v>0</v>
      </c>
      <c r="J6" s="21">
        <v>428</v>
      </c>
      <c r="K6" s="21">
        <f t="shared" si="3"/>
        <v>0</v>
      </c>
      <c r="L6" s="62" t="s">
        <v>627</v>
      </c>
    </row>
    <row r="7" spans="1:12" ht="24" customHeight="1" x14ac:dyDescent="0.5">
      <c r="A7" s="57">
        <v>5</v>
      </c>
      <c r="B7" s="58" t="s">
        <v>195</v>
      </c>
      <c r="C7" s="59" t="s">
        <v>50</v>
      </c>
      <c r="D7" s="20">
        <v>90</v>
      </c>
      <c r="E7" s="45">
        <v>0</v>
      </c>
      <c r="F7" s="20">
        <f t="shared" si="0"/>
        <v>90</v>
      </c>
      <c r="G7" s="21">
        <f t="shared" si="1"/>
        <v>7000</v>
      </c>
      <c r="H7" s="20">
        <f t="shared" si="2"/>
        <v>50</v>
      </c>
      <c r="I7" s="20">
        <v>40</v>
      </c>
      <c r="J7" s="21">
        <v>140</v>
      </c>
      <c r="K7" s="21">
        <f t="shared" si="3"/>
        <v>5600</v>
      </c>
      <c r="L7" s="78" t="s">
        <v>735</v>
      </c>
    </row>
    <row r="8" spans="1:12" ht="24" customHeight="1" x14ac:dyDescent="0.5">
      <c r="A8" s="57">
        <v>6</v>
      </c>
      <c r="B8" s="58" t="s">
        <v>196</v>
      </c>
      <c r="C8" s="59" t="s">
        <v>50</v>
      </c>
      <c r="D8" s="20">
        <v>20</v>
      </c>
      <c r="E8" s="45">
        <v>100</v>
      </c>
      <c r="F8" s="20">
        <f t="shared" si="0"/>
        <v>120</v>
      </c>
      <c r="G8" s="21">
        <f t="shared" si="1"/>
        <v>9800</v>
      </c>
      <c r="H8" s="20">
        <f t="shared" si="2"/>
        <v>70</v>
      </c>
      <c r="I8" s="20">
        <v>50</v>
      </c>
      <c r="J8" s="21">
        <v>140</v>
      </c>
      <c r="K8" s="21">
        <f t="shared" si="3"/>
        <v>7000</v>
      </c>
      <c r="L8" s="78" t="s">
        <v>19</v>
      </c>
    </row>
    <row r="9" spans="1:12" ht="24" customHeight="1" x14ac:dyDescent="0.5">
      <c r="A9" s="57">
        <v>7</v>
      </c>
      <c r="B9" s="58" t="s">
        <v>197</v>
      </c>
      <c r="C9" s="59" t="s">
        <v>50</v>
      </c>
      <c r="D9" s="20">
        <v>0</v>
      </c>
      <c r="E9" s="45">
        <v>50</v>
      </c>
      <c r="F9" s="20">
        <f t="shared" si="0"/>
        <v>50</v>
      </c>
      <c r="G9" s="21">
        <f t="shared" si="1"/>
        <v>4200</v>
      </c>
      <c r="H9" s="20">
        <f t="shared" si="2"/>
        <v>30</v>
      </c>
      <c r="I9" s="20">
        <v>20</v>
      </c>
      <c r="J9" s="21">
        <v>140</v>
      </c>
      <c r="K9" s="21">
        <f t="shared" si="3"/>
        <v>2800</v>
      </c>
    </row>
    <row r="10" spans="1:12" ht="24" customHeight="1" x14ac:dyDescent="0.5">
      <c r="A10" s="57">
        <v>8</v>
      </c>
      <c r="B10" s="58" t="s">
        <v>198</v>
      </c>
      <c r="C10" s="59" t="s">
        <v>50</v>
      </c>
      <c r="D10" s="20">
        <v>34</v>
      </c>
      <c r="E10" s="45">
        <v>100</v>
      </c>
      <c r="F10" s="20">
        <f t="shared" si="0"/>
        <v>134</v>
      </c>
      <c r="G10" s="21">
        <f t="shared" si="1"/>
        <v>3180</v>
      </c>
      <c r="H10" s="20">
        <f t="shared" si="2"/>
        <v>106</v>
      </c>
      <c r="I10" s="20">
        <v>28</v>
      </c>
      <c r="J10" s="21">
        <v>30</v>
      </c>
      <c r="K10" s="21">
        <f t="shared" si="3"/>
        <v>840</v>
      </c>
      <c r="L10" s="62" t="s">
        <v>627</v>
      </c>
    </row>
    <row r="11" spans="1:12" ht="24" customHeight="1" x14ac:dyDescent="0.5">
      <c r="A11" s="57">
        <v>9</v>
      </c>
      <c r="B11" s="58" t="s">
        <v>199</v>
      </c>
      <c r="C11" s="59" t="s">
        <v>50</v>
      </c>
      <c r="D11" s="20">
        <v>50</v>
      </c>
      <c r="E11" s="45">
        <v>100</v>
      </c>
      <c r="F11" s="20">
        <f t="shared" si="0"/>
        <v>150</v>
      </c>
      <c r="G11" s="21">
        <f t="shared" si="1"/>
        <v>2400</v>
      </c>
      <c r="H11" s="20">
        <f t="shared" si="2"/>
        <v>80</v>
      </c>
      <c r="I11" s="20">
        <v>70</v>
      </c>
      <c r="J11" s="21">
        <v>30</v>
      </c>
      <c r="K11" s="21">
        <f t="shared" si="3"/>
        <v>2100</v>
      </c>
      <c r="L11" s="78" t="s">
        <v>464</v>
      </c>
    </row>
    <row r="12" spans="1:12" ht="24" customHeight="1" x14ac:dyDescent="0.5">
      <c r="A12" s="57">
        <v>10</v>
      </c>
      <c r="B12" s="58" t="s">
        <v>200</v>
      </c>
      <c r="C12" s="59" t="s">
        <v>50</v>
      </c>
      <c r="D12" s="20">
        <v>36</v>
      </c>
      <c r="E12" s="45">
        <v>0</v>
      </c>
      <c r="F12" s="20">
        <f t="shared" si="0"/>
        <v>36</v>
      </c>
      <c r="G12" s="21">
        <f t="shared" si="1"/>
        <v>600</v>
      </c>
      <c r="H12" s="20">
        <f t="shared" si="2"/>
        <v>20</v>
      </c>
      <c r="I12" s="20">
        <v>16</v>
      </c>
      <c r="J12" s="21">
        <v>30</v>
      </c>
      <c r="K12" s="21">
        <f t="shared" si="3"/>
        <v>480</v>
      </c>
      <c r="L12" s="83" t="s">
        <v>20</v>
      </c>
    </row>
    <row r="13" spans="1:12" ht="24" customHeight="1" x14ac:dyDescent="0.5">
      <c r="A13" s="57">
        <v>11</v>
      </c>
      <c r="B13" s="58" t="s">
        <v>201</v>
      </c>
      <c r="C13" s="59" t="s">
        <v>38</v>
      </c>
      <c r="D13" s="20">
        <v>0</v>
      </c>
      <c r="E13" s="45">
        <v>1300</v>
      </c>
      <c r="F13" s="20">
        <f t="shared" si="0"/>
        <v>1300</v>
      </c>
      <c r="G13" s="21">
        <f t="shared" si="1"/>
        <v>26550</v>
      </c>
      <c r="H13" s="20">
        <f t="shared" si="2"/>
        <v>1062</v>
      </c>
      <c r="I13" s="20">
        <v>238</v>
      </c>
      <c r="J13" s="21">
        <v>25</v>
      </c>
      <c r="K13" s="21">
        <f t="shared" si="3"/>
        <v>5950</v>
      </c>
      <c r="L13" s="83"/>
    </row>
    <row r="14" spans="1:12" ht="24" customHeight="1" x14ac:dyDescent="0.5">
      <c r="A14" s="57">
        <v>12</v>
      </c>
      <c r="B14" s="58" t="s">
        <v>202</v>
      </c>
      <c r="C14" s="59" t="s">
        <v>38</v>
      </c>
      <c r="D14" s="20">
        <v>0</v>
      </c>
      <c r="E14" s="45">
        <v>1100</v>
      </c>
      <c r="F14" s="20">
        <f t="shared" si="0"/>
        <v>1100</v>
      </c>
      <c r="G14" s="21">
        <f t="shared" si="1"/>
        <v>19350</v>
      </c>
      <c r="H14" s="20">
        <f t="shared" si="2"/>
        <v>774</v>
      </c>
      <c r="I14" s="20">
        <v>326</v>
      </c>
      <c r="J14" s="21">
        <v>25</v>
      </c>
      <c r="K14" s="21">
        <f t="shared" si="3"/>
        <v>8150</v>
      </c>
      <c r="L14" s="62" t="s">
        <v>627</v>
      </c>
    </row>
    <row r="15" spans="1:12" ht="24" customHeight="1" x14ac:dyDescent="0.5">
      <c r="A15" s="57">
        <v>13</v>
      </c>
      <c r="B15" s="58" t="s">
        <v>247</v>
      </c>
      <c r="C15" s="59" t="s">
        <v>38</v>
      </c>
      <c r="D15" s="20">
        <v>0</v>
      </c>
      <c r="E15" s="45">
        <v>300</v>
      </c>
      <c r="F15" s="20">
        <f t="shared" si="0"/>
        <v>300</v>
      </c>
      <c r="G15" s="21">
        <f t="shared" si="1"/>
        <v>5625</v>
      </c>
      <c r="H15" s="20">
        <f t="shared" si="2"/>
        <v>225</v>
      </c>
      <c r="I15" s="20">
        <v>75</v>
      </c>
      <c r="J15" s="21">
        <v>25</v>
      </c>
      <c r="K15" s="21">
        <f t="shared" si="3"/>
        <v>1875</v>
      </c>
      <c r="L15" s="83" t="s">
        <v>465</v>
      </c>
    </row>
    <row r="16" spans="1:12" ht="24" customHeight="1" x14ac:dyDescent="0.5">
      <c r="A16" s="57">
        <v>14</v>
      </c>
      <c r="B16" s="58" t="s">
        <v>203</v>
      </c>
      <c r="C16" s="59" t="s">
        <v>38</v>
      </c>
      <c r="D16" s="20">
        <v>0</v>
      </c>
      <c r="E16" s="45">
        <v>100</v>
      </c>
      <c r="F16" s="20">
        <f t="shared" si="0"/>
        <v>100</v>
      </c>
      <c r="G16" s="21">
        <f t="shared" si="1"/>
        <v>2325</v>
      </c>
      <c r="H16" s="20">
        <f t="shared" si="2"/>
        <v>93</v>
      </c>
      <c r="I16" s="20">
        <v>7</v>
      </c>
      <c r="J16" s="21">
        <v>25</v>
      </c>
      <c r="K16" s="21">
        <f t="shared" si="3"/>
        <v>175</v>
      </c>
      <c r="L16" s="83" t="s">
        <v>18</v>
      </c>
    </row>
    <row r="17" spans="1:12" ht="24" customHeight="1" x14ac:dyDescent="0.5">
      <c r="A17" s="57">
        <v>15</v>
      </c>
      <c r="B17" s="58" t="s">
        <v>467</v>
      </c>
      <c r="C17" s="59" t="s">
        <v>204</v>
      </c>
      <c r="D17" s="20">
        <v>24</v>
      </c>
      <c r="E17" s="45">
        <v>24</v>
      </c>
      <c r="F17" s="20">
        <f t="shared" si="0"/>
        <v>48</v>
      </c>
      <c r="G17" s="21">
        <f t="shared" si="1"/>
        <v>11299.2</v>
      </c>
      <c r="H17" s="20">
        <f t="shared" si="2"/>
        <v>48</v>
      </c>
      <c r="I17" s="20">
        <v>0</v>
      </c>
      <c r="J17" s="21">
        <v>235.4</v>
      </c>
      <c r="K17" s="21">
        <f t="shared" si="3"/>
        <v>0</v>
      </c>
      <c r="L17" s="78"/>
    </row>
    <row r="18" spans="1:12" ht="24" customHeight="1" x14ac:dyDescent="0.5">
      <c r="A18" s="57">
        <v>16</v>
      </c>
      <c r="B18" s="58" t="s">
        <v>205</v>
      </c>
      <c r="C18" s="59" t="s">
        <v>38</v>
      </c>
      <c r="D18" s="20">
        <v>0</v>
      </c>
      <c r="E18" s="45">
        <v>50</v>
      </c>
      <c r="F18" s="20">
        <f t="shared" si="0"/>
        <v>50</v>
      </c>
      <c r="G18" s="21">
        <f t="shared" si="1"/>
        <v>6120</v>
      </c>
      <c r="H18" s="20">
        <f t="shared" si="2"/>
        <v>34</v>
      </c>
      <c r="I18" s="20">
        <v>16</v>
      </c>
      <c r="J18" s="21">
        <v>180</v>
      </c>
      <c r="K18" s="21">
        <f t="shared" si="3"/>
        <v>2880</v>
      </c>
      <c r="L18" s="62" t="s">
        <v>627</v>
      </c>
    </row>
    <row r="19" spans="1:12" ht="24" customHeight="1" x14ac:dyDescent="0.5">
      <c r="A19" s="57">
        <v>17</v>
      </c>
      <c r="B19" s="58" t="s">
        <v>206</v>
      </c>
      <c r="C19" s="59" t="s">
        <v>38</v>
      </c>
      <c r="D19" s="20">
        <v>43</v>
      </c>
      <c r="E19" s="45">
        <v>50</v>
      </c>
      <c r="F19" s="20">
        <f t="shared" si="0"/>
        <v>93</v>
      </c>
      <c r="G19" s="21">
        <f t="shared" si="1"/>
        <v>9720</v>
      </c>
      <c r="H19" s="20">
        <f t="shared" si="2"/>
        <v>54</v>
      </c>
      <c r="I19" s="20">
        <v>39</v>
      </c>
      <c r="J19" s="21">
        <v>180</v>
      </c>
      <c r="K19" s="21">
        <f t="shared" si="3"/>
        <v>7020</v>
      </c>
      <c r="L19" s="84" t="s">
        <v>434</v>
      </c>
    </row>
    <row r="20" spans="1:12" ht="24" customHeight="1" x14ac:dyDescent="0.5">
      <c r="A20" s="57">
        <v>18</v>
      </c>
      <c r="B20" s="58" t="s">
        <v>207</v>
      </c>
      <c r="C20" s="59" t="s">
        <v>38</v>
      </c>
      <c r="D20" s="20">
        <v>0</v>
      </c>
      <c r="E20" s="45">
        <v>50</v>
      </c>
      <c r="F20" s="20">
        <f t="shared" si="0"/>
        <v>50</v>
      </c>
      <c r="G20" s="21">
        <f t="shared" si="1"/>
        <v>4680</v>
      </c>
      <c r="H20" s="20">
        <f t="shared" si="2"/>
        <v>26</v>
      </c>
      <c r="I20" s="20">
        <v>24</v>
      </c>
      <c r="J20" s="21">
        <v>180</v>
      </c>
      <c r="K20" s="21">
        <f t="shared" si="3"/>
        <v>4320</v>
      </c>
      <c r="L20" s="83" t="s">
        <v>433</v>
      </c>
    </row>
    <row r="21" spans="1:12" ht="24" customHeight="1" x14ac:dyDescent="0.5">
      <c r="A21" s="57">
        <v>19</v>
      </c>
      <c r="B21" s="58" t="s">
        <v>208</v>
      </c>
      <c r="C21" s="59" t="s">
        <v>38</v>
      </c>
      <c r="D21" s="20">
        <v>4</v>
      </c>
      <c r="E21" s="45">
        <v>50</v>
      </c>
      <c r="F21" s="20">
        <f t="shared" si="0"/>
        <v>54</v>
      </c>
      <c r="G21" s="21">
        <f t="shared" si="1"/>
        <v>2700</v>
      </c>
      <c r="H21" s="20">
        <f t="shared" si="2"/>
        <v>15</v>
      </c>
      <c r="I21" s="20">
        <v>39</v>
      </c>
      <c r="J21" s="21">
        <v>180</v>
      </c>
      <c r="K21" s="21">
        <f t="shared" si="3"/>
        <v>7020</v>
      </c>
      <c r="L21" s="78"/>
    </row>
    <row r="22" spans="1:12" ht="24" customHeight="1" x14ac:dyDescent="0.5">
      <c r="A22" s="57">
        <v>20</v>
      </c>
      <c r="B22" s="58" t="s">
        <v>504</v>
      </c>
      <c r="C22" s="59" t="s">
        <v>50</v>
      </c>
      <c r="D22" s="20">
        <v>10</v>
      </c>
      <c r="E22" s="45">
        <v>0</v>
      </c>
      <c r="F22" s="20">
        <f t="shared" si="0"/>
        <v>10</v>
      </c>
      <c r="G22" s="21">
        <f t="shared" si="1"/>
        <v>0</v>
      </c>
      <c r="H22" s="20">
        <f t="shared" si="2"/>
        <v>0</v>
      </c>
      <c r="I22" s="20">
        <v>10</v>
      </c>
      <c r="J22" s="21">
        <v>3400</v>
      </c>
      <c r="K22" s="21">
        <f t="shared" si="3"/>
        <v>34000</v>
      </c>
      <c r="L22" s="62" t="s">
        <v>627</v>
      </c>
    </row>
    <row r="23" spans="1:12" ht="24" customHeight="1" x14ac:dyDescent="0.5">
      <c r="A23" s="65"/>
      <c r="B23" s="65" t="s">
        <v>432</v>
      </c>
      <c r="C23" s="65"/>
      <c r="D23" s="22"/>
      <c r="E23" s="23"/>
      <c r="F23" s="22"/>
      <c r="G23" s="24">
        <f>SUM(G3:G22)</f>
        <v>161909.20000000001</v>
      </c>
      <c r="H23" s="22"/>
      <c r="I23" s="22"/>
      <c r="J23" s="24"/>
      <c r="K23" s="24">
        <f>SUM(K3:K22)</f>
        <v>106410</v>
      </c>
      <c r="L23" s="78" t="s">
        <v>503</v>
      </c>
    </row>
    <row r="24" spans="1:12" ht="24" customHeight="1" x14ac:dyDescent="0.5">
      <c r="A24" s="79"/>
      <c r="B24" s="79"/>
      <c r="C24" s="79"/>
      <c r="D24" s="27"/>
      <c r="E24" s="28"/>
      <c r="F24" s="27"/>
      <c r="G24" s="85"/>
      <c r="H24" s="27"/>
      <c r="I24" s="27"/>
      <c r="J24" s="43"/>
      <c r="K24" s="85"/>
      <c r="L24" s="83" t="s">
        <v>435</v>
      </c>
    </row>
    <row r="25" spans="1:12" ht="24" customHeight="1" x14ac:dyDescent="0.5">
      <c r="A25" s="57">
        <v>21</v>
      </c>
      <c r="B25" s="58" t="s">
        <v>505</v>
      </c>
      <c r="C25" s="59" t="s">
        <v>50</v>
      </c>
      <c r="D25" s="20">
        <v>2</v>
      </c>
      <c r="E25" s="45">
        <v>5</v>
      </c>
      <c r="F25" s="20">
        <f t="shared" ref="F25:F35" si="4">D25+E25</f>
        <v>7</v>
      </c>
      <c r="G25" s="21">
        <f t="shared" ref="G25:G27" si="5">H25*J25</f>
        <v>13500</v>
      </c>
      <c r="H25" s="20">
        <f t="shared" ref="H25:H27" si="6">F25-I25</f>
        <v>5</v>
      </c>
      <c r="I25" s="20">
        <v>2</v>
      </c>
      <c r="J25" s="21">
        <v>2700</v>
      </c>
      <c r="K25" s="21">
        <f>I25*J25</f>
        <v>5400</v>
      </c>
      <c r="L25" s="78" t="s">
        <v>15</v>
      </c>
    </row>
    <row r="26" spans="1:12" ht="24" customHeight="1" x14ac:dyDescent="0.5">
      <c r="A26" s="57">
        <v>22</v>
      </c>
      <c r="B26" s="58" t="s">
        <v>506</v>
      </c>
      <c r="C26" s="59" t="s">
        <v>50</v>
      </c>
      <c r="D26" s="20">
        <v>0</v>
      </c>
      <c r="E26" s="45">
        <v>20</v>
      </c>
      <c r="F26" s="20">
        <f t="shared" si="4"/>
        <v>20</v>
      </c>
      <c r="G26" s="21">
        <f t="shared" si="5"/>
        <v>54000</v>
      </c>
      <c r="H26" s="20">
        <f t="shared" si="6"/>
        <v>20</v>
      </c>
      <c r="I26" s="20">
        <v>0</v>
      </c>
      <c r="J26" s="21">
        <v>2700</v>
      </c>
      <c r="K26" s="21">
        <f t="shared" ref="K26:K44" si="7">I26*J26</f>
        <v>0</v>
      </c>
      <c r="L26" s="78" t="s">
        <v>716</v>
      </c>
    </row>
    <row r="27" spans="1:12" ht="24" customHeight="1" x14ac:dyDescent="0.5">
      <c r="A27" s="57">
        <v>23</v>
      </c>
      <c r="B27" s="58" t="s">
        <v>507</v>
      </c>
      <c r="C27" s="59" t="s">
        <v>50</v>
      </c>
      <c r="D27" s="20">
        <v>5</v>
      </c>
      <c r="E27" s="45">
        <v>0</v>
      </c>
      <c r="F27" s="20">
        <f t="shared" si="4"/>
        <v>5</v>
      </c>
      <c r="G27" s="21">
        <f t="shared" si="5"/>
        <v>0</v>
      </c>
      <c r="H27" s="20">
        <f t="shared" si="6"/>
        <v>0</v>
      </c>
      <c r="I27" s="20">
        <v>5</v>
      </c>
      <c r="J27" s="21">
        <v>3400</v>
      </c>
      <c r="K27" s="21">
        <f t="shared" si="7"/>
        <v>17000</v>
      </c>
    </row>
    <row r="28" spans="1:12" ht="24" customHeight="1" x14ac:dyDescent="0.5">
      <c r="A28" s="57">
        <v>24</v>
      </c>
      <c r="B28" s="58" t="s">
        <v>508</v>
      </c>
      <c r="C28" s="59" t="s">
        <v>50</v>
      </c>
      <c r="D28" s="20">
        <v>0</v>
      </c>
      <c r="E28" s="45">
        <v>20</v>
      </c>
      <c r="F28" s="20">
        <f t="shared" si="4"/>
        <v>20</v>
      </c>
      <c r="G28" s="21">
        <f t="shared" ref="G28:G53" si="8">H28*J28</f>
        <v>54000</v>
      </c>
      <c r="H28" s="20">
        <f t="shared" ref="H28:H53" si="9">F28-I28</f>
        <v>20</v>
      </c>
      <c r="I28" s="20">
        <v>0</v>
      </c>
      <c r="J28" s="21">
        <v>2700</v>
      </c>
      <c r="K28" s="21">
        <f t="shared" si="7"/>
        <v>0</v>
      </c>
      <c r="L28" s="62" t="s">
        <v>627</v>
      </c>
    </row>
    <row r="29" spans="1:12" ht="24" customHeight="1" x14ac:dyDescent="0.5">
      <c r="A29" s="57">
        <v>25</v>
      </c>
      <c r="B29" s="58" t="s">
        <v>509</v>
      </c>
      <c r="C29" s="59" t="s">
        <v>50</v>
      </c>
      <c r="D29" s="20">
        <v>5</v>
      </c>
      <c r="E29" s="45">
        <v>0</v>
      </c>
      <c r="F29" s="20">
        <f t="shared" si="4"/>
        <v>5</v>
      </c>
      <c r="G29" s="21">
        <f t="shared" si="8"/>
        <v>0</v>
      </c>
      <c r="H29" s="20">
        <f t="shared" si="9"/>
        <v>0</v>
      </c>
      <c r="I29" s="20">
        <v>5</v>
      </c>
      <c r="J29" s="21">
        <v>2700</v>
      </c>
      <c r="K29" s="21">
        <f t="shared" si="7"/>
        <v>13500</v>
      </c>
      <c r="L29" s="78" t="s">
        <v>735</v>
      </c>
    </row>
    <row r="30" spans="1:12" ht="24" customHeight="1" x14ac:dyDescent="0.5">
      <c r="A30" s="57">
        <v>26</v>
      </c>
      <c r="B30" s="58" t="s">
        <v>736</v>
      </c>
      <c r="C30" s="59" t="s">
        <v>50</v>
      </c>
      <c r="D30" s="20">
        <v>0</v>
      </c>
      <c r="E30" s="45">
        <v>20</v>
      </c>
      <c r="F30" s="20">
        <f t="shared" si="4"/>
        <v>20</v>
      </c>
      <c r="G30" s="21">
        <f t="shared" si="8"/>
        <v>11877</v>
      </c>
      <c r="H30" s="20">
        <f t="shared" si="9"/>
        <v>20</v>
      </c>
      <c r="I30" s="20">
        <v>0</v>
      </c>
      <c r="J30" s="21">
        <v>593.85</v>
      </c>
      <c r="K30" s="21">
        <f t="shared" si="7"/>
        <v>0</v>
      </c>
      <c r="L30" s="78" t="s">
        <v>19</v>
      </c>
    </row>
    <row r="31" spans="1:12" ht="24" customHeight="1" x14ac:dyDescent="0.5">
      <c r="A31" s="57">
        <v>27</v>
      </c>
      <c r="B31" s="58" t="s">
        <v>209</v>
      </c>
      <c r="C31" s="59" t="s">
        <v>50</v>
      </c>
      <c r="D31" s="20">
        <v>0</v>
      </c>
      <c r="E31" s="20">
        <v>20</v>
      </c>
      <c r="F31" s="20">
        <f t="shared" si="4"/>
        <v>20</v>
      </c>
      <c r="G31" s="21">
        <f t="shared" si="8"/>
        <v>11877</v>
      </c>
      <c r="H31" s="20">
        <f t="shared" si="9"/>
        <v>20</v>
      </c>
      <c r="I31" s="20">
        <v>0</v>
      </c>
      <c r="J31" s="21">
        <v>593.85</v>
      </c>
      <c r="K31" s="21">
        <f t="shared" si="7"/>
        <v>0</v>
      </c>
    </row>
    <row r="32" spans="1:12" ht="24" customHeight="1" x14ac:dyDescent="0.5">
      <c r="A32" s="57">
        <v>28</v>
      </c>
      <c r="B32" s="58" t="s">
        <v>510</v>
      </c>
      <c r="C32" s="59" t="s">
        <v>606</v>
      </c>
      <c r="D32" s="20">
        <v>0</v>
      </c>
      <c r="E32" s="45">
        <v>35</v>
      </c>
      <c r="F32" s="20">
        <f t="shared" si="4"/>
        <v>35</v>
      </c>
      <c r="G32" s="21">
        <f>H32*J32</f>
        <v>74900</v>
      </c>
      <c r="H32" s="20">
        <f>F32-I32</f>
        <v>35</v>
      </c>
      <c r="I32" s="20">
        <v>0</v>
      </c>
      <c r="J32" s="21">
        <v>2140</v>
      </c>
      <c r="K32" s="21">
        <f t="shared" si="7"/>
        <v>0</v>
      </c>
      <c r="L32" s="62" t="s">
        <v>627</v>
      </c>
    </row>
    <row r="33" spans="1:12" ht="24" customHeight="1" x14ac:dyDescent="0.5">
      <c r="A33" s="57">
        <v>29</v>
      </c>
      <c r="B33" s="58" t="s">
        <v>438</v>
      </c>
      <c r="C33" s="59" t="s">
        <v>606</v>
      </c>
      <c r="D33" s="20">
        <v>0</v>
      </c>
      <c r="E33" s="45">
        <v>20</v>
      </c>
      <c r="F33" s="20">
        <f t="shared" si="4"/>
        <v>20</v>
      </c>
      <c r="G33" s="21">
        <f>H33*J33</f>
        <v>64200</v>
      </c>
      <c r="H33" s="20">
        <f>F33-I33</f>
        <v>20</v>
      </c>
      <c r="I33" s="20">
        <v>0</v>
      </c>
      <c r="J33" s="21">
        <v>3210</v>
      </c>
      <c r="K33" s="21">
        <f t="shared" si="7"/>
        <v>0</v>
      </c>
      <c r="L33" s="78" t="s">
        <v>464</v>
      </c>
    </row>
    <row r="34" spans="1:12" ht="24" customHeight="1" x14ac:dyDescent="0.5">
      <c r="A34" s="57">
        <v>30</v>
      </c>
      <c r="B34" s="58" t="s">
        <v>439</v>
      </c>
      <c r="C34" s="59" t="s">
        <v>606</v>
      </c>
      <c r="D34" s="20">
        <v>0</v>
      </c>
      <c r="E34" s="45">
        <v>30</v>
      </c>
      <c r="F34" s="20">
        <f t="shared" si="4"/>
        <v>30</v>
      </c>
      <c r="G34" s="21">
        <f>H34*J34</f>
        <v>104325</v>
      </c>
      <c r="H34" s="20">
        <f>F34-I34</f>
        <v>30</v>
      </c>
      <c r="I34" s="20">
        <v>0</v>
      </c>
      <c r="J34" s="21">
        <v>3477.5</v>
      </c>
      <c r="K34" s="21">
        <f t="shared" si="7"/>
        <v>0</v>
      </c>
      <c r="L34" s="83" t="s">
        <v>20</v>
      </c>
    </row>
    <row r="35" spans="1:12" ht="24" customHeight="1" x14ac:dyDescent="0.5">
      <c r="A35" s="57">
        <v>31</v>
      </c>
      <c r="B35" s="58" t="s">
        <v>511</v>
      </c>
      <c r="C35" s="59" t="s">
        <v>606</v>
      </c>
      <c r="D35" s="20">
        <v>0</v>
      </c>
      <c r="E35" s="45">
        <v>10</v>
      </c>
      <c r="F35" s="20">
        <f t="shared" si="4"/>
        <v>10</v>
      </c>
      <c r="G35" s="21">
        <f>H35*J35</f>
        <v>43998.400000000001</v>
      </c>
      <c r="H35" s="20">
        <f>F35-I35</f>
        <v>10</v>
      </c>
      <c r="I35" s="20">
        <v>0</v>
      </c>
      <c r="J35" s="21">
        <v>4399.84</v>
      </c>
      <c r="K35" s="21">
        <f t="shared" si="7"/>
        <v>0</v>
      </c>
      <c r="L35" s="83"/>
    </row>
    <row r="36" spans="1:12" ht="24" customHeight="1" x14ac:dyDescent="0.5">
      <c r="A36" s="57">
        <v>32</v>
      </c>
      <c r="B36" s="58" t="s">
        <v>512</v>
      </c>
      <c r="C36" s="59" t="s">
        <v>50</v>
      </c>
      <c r="D36" s="20">
        <v>0</v>
      </c>
      <c r="E36" s="45">
        <v>20</v>
      </c>
      <c r="F36" s="20">
        <f>D36+E36</f>
        <v>20</v>
      </c>
      <c r="G36" s="21">
        <f>H36*J36</f>
        <v>6259.5</v>
      </c>
      <c r="H36" s="20">
        <f>F36-I36</f>
        <v>10</v>
      </c>
      <c r="I36" s="20">
        <v>10</v>
      </c>
      <c r="J36" s="21">
        <v>625.95000000000005</v>
      </c>
      <c r="K36" s="21">
        <f>I36*J36</f>
        <v>6259.5</v>
      </c>
      <c r="L36" s="62" t="s">
        <v>627</v>
      </c>
    </row>
    <row r="37" spans="1:12" ht="24" customHeight="1" x14ac:dyDescent="0.5">
      <c r="A37" s="57">
        <v>33</v>
      </c>
      <c r="B37" s="58" t="s">
        <v>210</v>
      </c>
      <c r="C37" s="59" t="s">
        <v>50</v>
      </c>
      <c r="D37" s="20">
        <v>2</v>
      </c>
      <c r="E37" s="45">
        <v>60</v>
      </c>
      <c r="F37" s="20">
        <f>D37+E37</f>
        <v>62</v>
      </c>
      <c r="G37" s="21">
        <f t="shared" si="8"/>
        <v>2160</v>
      </c>
      <c r="H37" s="20">
        <f t="shared" si="9"/>
        <v>48</v>
      </c>
      <c r="I37" s="20">
        <v>14</v>
      </c>
      <c r="J37" s="21">
        <v>45</v>
      </c>
      <c r="K37" s="21">
        <f t="shared" si="7"/>
        <v>630</v>
      </c>
      <c r="L37" s="83" t="s">
        <v>465</v>
      </c>
    </row>
    <row r="38" spans="1:12" ht="24" customHeight="1" x14ac:dyDescent="0.5">
      <c r="A38" s="57">
        <v>34</v>
      </c>
      <c r="B38" s="58" t="s">
        <v>211</v>
      </c>
      <c r="C38" s="59" t="s">
        <v>50</v>
      </c>
      <c r="D38" s="20">
        <v>0</v>
      </c>
      <c r="E38" s="45">
        <v>60</v>
      </c>
      <c r="F38" s="20">
        <f t="shared" ref="F38:F84" si="10">D38+E38</f>
        <v>60</v>
      </c>
      <c r="G38" s="21">
        <f t="shared" si="8"/>
        <v>2700</v>
      </c>
      <c r="H38" s="20">
        <f t="shared" si="9"/>
        <v>60</v>
      </c>
      <c r="I38" s="20">
        <v>0</v>
      </c>
      <c r="J38" s="21">
        <v>45</v>
      </c>
      <c r="K38" s="21">
        <f t="shared" si="7"/>
        <v>0</v>
      </c>
      <c r="L38" s="83" t="s">
        <v>18</v>
      </c>
    </row>
    <row r="39" spans="1:12" ht="24" customHeight="1" x14ac:dyDescent="0.5">
      <c r="A39" s="57">
        <v>35</v>
      </c>
      <c r="B39" s="58" t="s">
        <v>212</v>
      </c>
      <c r="C39" s="59" t="s">
        <v>50</v>
      </c>
      <c r="D39" s="20">
        <v>0</v>
      </c>
      <c r="E39" s="45">
        <v>60</v>
      </c>
      <c r="F39" s="20">
        <f t="shared" si="10"/>
        <v>60</v>
      </c>
      <c r="G39" s="21">
        <f t="shared" si="8"/>
        <v>2700</v>
      </c>
      <c r="H39" s="20">
        <f t="shared" si="9"/>
        <v>60</v>
      </c>
      <c r="I39" s="20">
        <v>0</v>
      </c>
      <c r="J39" s="21">
        <v>45</v>
      </c>
      <c r="K39" s="21">
        <f t="shared" si="7"/>
        <v>0</v>
      </c>
      <c r="L39" s="78"/>
    </row>
    <row r="40" spans="1:12" ht="24" customHeight="1" x14ac:dyDescent="0.5">
      <c r="A40" s="57">
        <v>36</v>
      </c>
      <c r="B40" s="58" t="s">
        <v>436</v>
      </c>
      <c r="C40" s="59" t="s">
        <v>606</v>
      </c>
      <c r="D40" s="20">
        <v>0</v>
      </c>
      <c r="E40" s="45">
        <v>15</v>
      </c>
      <c r="F40" s="20">
        <f t="shared" si="10"/>
        <v>15</v>
      </c>
      <c r="G40" s="21">
        <f t="shared" si="8"/>
        <v>24797.25</v>
      </c>
      <c r="H40" s="20">
        <f t="shared" si="9"/>
        <v>15</v>
      </c>
      <c r="I40" s="20">
        <v>0</v>
      </c>
      <c r="J40" s="21">
        <v>1653.15</v>
      </c>
      <c r="K40" s="21">
        <f t="shared" si="7"/>
        <v>0</v>
      </c>
      <c r="L40" s="62" t="s">
        <v>627</v>
      </c>
    </row>
    <row r="41" spans="1:12" ht="24" customHeight="1" x14ac:dyDescent="0.5">
      <c r="A41" s="57">
        <v>37</v>
      </c>
      <c r="B41" s="58" t="s">
        <v>513</v>
      </c>
      <c r="C41" s="59" t="s">
        <v>606</v>
      </c>
      <c r="D41" s="20">
        <v>0</v>
      </c>
      <c r="E41" s="45">
        <v>20</v>
      </c>
      <c r="F41" s="20">
        <f t="shared" si="10"/>
        <v>20</v>
      </c>
      <c r="G41" s="21">
        <f t="shared" si="8"/>
        <v>22042</v>
      </c>
      <c r="H41" s="20">
        <f t="shared" si="9"/>
        <v>20</v>
      </c>
      <c r="I41" s="20">
        <v>0</v>
      </c>
      <c r="J41" s="21">
        <v>1102.0999999999999</v>
      </c>
      <c r="K41" s="21">
        <f t="shared" si="7"/>
        <v>0</v>
      </c>
      <c r="L41" s="84" t="s">
        <v>434</v>
      </c>
    </row>
    <row r="42" spans="1:12" ht="24" customHeight="1" x14ac:dyDescent="0.5">
      <c r="A42" s="57">
        <v>38</v>
      </c>
      <c r="B42" s="58" t="s">
        <v>437</v>
      </c>
      <c r="C42" s="59" t="s">
        <v>606</v>
      </c>
      <c r="D42" s="20">
        <v>0</v>
      </c>
      <c r="E42" s="45">
        <v>5</v>
      </c>
      <c r="F42" s="20">
        <f t="shared" si="10"/>
        <v>5</v>
      </c>
      <c r="G42" s="21">
        <f t="shared" si="8"/>
        <v>11021</v>
      </c>
      <c r="H42" s="20">
        <f t="shared" si="9"/>
        <v>5</v>
      </c>
      <c r="I42" s="20">
        <v>0</v>
      </c>
      <c r="J42" s="21">
        <v>2204.1999999999998</v>
      </c>
      <c r="K42" s="21">
        <f t="shared" si="7"/>
        <v>0</v>
      </c>
      <c r="L42" s="83" t="s">
        <v>433</v>
      </c>
    </row>
    <row r="43" spans="1:12" ht="24" customHeight="1" x14ac:dyDescent="0.5">
      <c r="A43" s="57">
        <v>39</v>
      </c>
      <c r="B43" s="58" t="s">
        <v>514</v>
      </c>
      <c r="C43" s="59" t="s">
        <v>606</v>
      </c>
      <c r="D43" s="20">
        <v>0</v>
      </c>
      <c r="E43" s="45">
        <v>10</v>
      </c>
      <c r="F43" s="20">
        <f t="shared" si="10"/>
        <v>10</v>
      </c>
      <c r="G43" s="21">
        <f t="shared" si="8"/>
        <v>14712.5</v>
      </c>
      <c r="H43" s="20">
        <f t="shared" si="9"/>
        <v>10</v>
      </c>
      <c r="I43" s="20">
        <v>0</v>
      </c>
      <c r="J43" s="21">
        <v>1471.25</v>
      </c>
      <c r="K43" s="21">
        <f t="shared" si="7"/>
        <v>0</v>
      </c>
      <c r="L43" s="78"/>
    </row>
    <row r="44" spans="1:12" ht="24" customHeight="1" x14ac:dyDescent="0.5">
      <c r="A44" s="57">
        <v>40</v>
      </c>
      <c r="B44" s="58" t="s">
        <v>213</v>
      </c>
      <c r="C44" s="59" t="s">
        <v>38</v>
      </c>
      <c r="D44" s="20">
        <v>0</v>
      </c>
      <c r="E44" s="45">
        <v>110</v>
      </c>
      <c r="F44" s="20">
        <f>D44+E44</f>
        <v>110</v>
      </c>
      <c r="G44" s="21">
        <f>H44*J44</f>
        <v>214500</v>
      </c>
      <c r="H44" s="20">
        <f>F44-I44</f>
        <v>110</v>
      </c>
      <c r="I44" s="20">
        <v>0</v>
      </c>
      <c r="J44" s="21">
        <v>1950</v>
      </c>
      <c r="K44" s="21">
        <f t="shared" si="7"/>
        <v>0</v>
      </c>
      <c r="L44" s="62" t="s">
        <v>627</v>
      </c>
    </row>
    <row r="45" spans="1:12" ht="24" customHeight="1" x14ac:dyDescent="0.5">
      <c r="A45" s="65"/>
      <c r="B45" s="65" t="s">
        <v>432</v>
      </c>
      <c r="C45" s="65"/>
      <c r="D45" s="22"/>
      <c r="E45" s="23"/>
      <c r="F45" s="22"/>
      <c r="G45" s="24">
        <f>SUM(G25:G44)</f>
        <v>733569.65</v>
      </c>
      <c r="H45" s="22"/>
      <c r="I45" s="22"/>
      <c r="J45" s="24"/>
      <c r="K45" s="24">
        <f>SUM(K25:K44)</f>
        <v>42789.5</v>
      </c>
      <c r="L45" s="78" t="s">
        <v>503</v>
      </c>
    </row>
    <row r="46" spans="1:12" ht="24" customHeight="1" x14ac:dyDescent="0.5">
      <c r="A46" s="79"/>
      <c r="B46" s="79"/>
      <c r="C46" s="79"/>
      <c r="D46" s="27"/>
      <c r="E46" s="28"/>
      <c r="F46" s="27"/>
      <c r="G46" s="85"/>
      <c r="H46" s="27"/>
      <c r="I46" s="27"/>
      <c r="J46" s="43"/>
      <c r="K46" s="85"/>
      <c r="L46" s="83" t="s">
        <v>435</v>
      </c>
    </row>
    <row r="47" spans="1:12" ht="24" customHeight="1" x14ac:dyDescent="0.5">
      <c r="A47" s="57">
        <v>41</v>
      </c>
      <c r="B47" s="58" t="s">
        <v>214</v>
      </c>
      <c r="C47" s="59" t="s">
        <v>38</v>
      </c>
      <c r="D47" s="20">
        <v>0</v>
      </c>
      <c r="E47" s="45">
        <v>140</v>
      </c>
      <c r="F47" s="20">
        <f t="shared" si="10"/>
        <v>140</v>
      </c>
      <c r="G47" s="21">
        <f t="shared" si="8"/>
        <v>273000</v>
      </c>
      <c r="H47" s="20">
        <f t="shared" si="9"/>
        <v>140</v>
      </c>
      <c r="I47" s="20">
        <v>0</v>
      </c>
      <c r="J47" s="21">
        <v>1950</v>
      </c>
      <c r="K47" s="21">
        <f t="shared" ref="K47:K53" si="11">I47*J47</f>
        <v>0</v>
      </c>
      <c r="L47" s="78" t="s">
        <v>15</v>
      </c>
    </row>
    <row r="48" spans="1:12" ht="24" customHeight="1" x14ac:dyDescent="0.5">
      <c r="A48" s="57">
        <v>42</v>
      </c>
      <c r="B48" s="58" t="s">
        <v>215</v>
      </c>
      <c r="C48" s="59" t="s">
        <v>38</v>
      </c>
      <c r="D48" s="20">
        <v>10</v>
      </c>
      <c r="E48" s="45">
        <v>0</v>
      </c>
      <c r="F48" s="20">
        <f t="shared" si="10"/>
        <v>10</v>
      </c>
      <c r="G48" s="21">
        <f t="shared" si="8"/>
        <v>0</v>
      </c>
      <c r="H48" s="20">
        <f t="shared" si="9"/>
        <v>0</v>
      </c>
      <c r="I48" s="20">
        <v>10</v>
      </c>
      <c r="J48" s="21">
        <v>1320</v>
      </c>
      <c r="K48" s="21">
        <f t="shared" si="11"/>
        <v>13200</v>
      </c>
      <c r="L48" s="78" t="s">
        <v>716</v>
      </c>
    </row>
    <row r="49" spans="1:12" ht="24" customHeight="1" x14ac:dyDescent="0.5">
      <c r="A49" s="57">
        <v>43</v>
      </c>
      <c r="B49" s="58" t="s">
        <v>216</v>
      </c>
      <c r="C49" s="59" t="s">
        <v>38</v>
      </c>
      <c r="D49" s="20">
        <v>15</v>
      </c>
      <c r="E49" s="45">
        <v>0</v>
      </c>
      <c r="F49" s="20">
        <f t="shared" si="10"/>
        <v>15</v>
      </c>
      <c r="G49" s="21">
        <f t="shared" si="8"/>
        <v>0</v>
      </c>
      <c r="H49" s="20">
        <f t="shared" si="9"/>
        <v>0</v>
      </c>
      <c r="I49" s="20">
        <v>15</v>
      </c>
      <c r="J49" s="21">
        <v>1450</v>
      </c>
      <c r="K49" s="21">
        <f t="shared" si="11"/>
        <v>21750</v>
      </c>
    </row>
    <row r="50" spans="1:12" ht="24" customHeight="1" x14ac:dyDescent="0.5">
      <c r="A50" s="57">
        <v>44</v>
      </c>
      <c r="B50" s="58" t="s">
        <v>217</v>
      </c>
      <c r="C50" s="59" t="s">
        <v>38</v>
      </c>
      <c r="D50" s="20">
        <v>0</v>
      </c>
      <c r="E50" s="45">
        <v>200</v>
      </c>
      <c r="F50" s="20">
        <f t="shared" si="10"/>
        <v>200</v>
      </c>
      <c r="G50" s="21">
        <f t="shared" si="8"/>
        <v>27200</v>
      </c>
      <c r="H50" s="20">
        <f t="shared" si="9"/>
        <v>170</v>
      </c>
      <c r="I50" s="20">
        <v>30</v>
      </c>
      <c r="J50" s="21">
        <v>160</v>
      </c>
      <c r="K50" s="21">
        <f t="shared" si="11"/>
        <v>4800</v>
      </c>
      <c r="L50" s="62" t="s">
        <v>627</v>
      </c>
    </row>
    <row r="51" spans="1:12" ht="24" customHeight="1" x14ac:dyDescent="0.5">
      <c r="A51" s="57">
        <v>45</v>
      </c>
      <c r="B51" s="58" t="s">
        <v>218</v>
      </c>
      <c r="C51" s="59" t="s">
        <v>38</v>
      </c>
      <c r="D51" s="20">
        <v>0</v>
      </c>
      <c r="E51" s="45">
        <v>200</v>
      </c>
      <c r="F51" s="20">
        <f t="shared" si="10"/>
        <v>200</v>
      </c>
      <c r="G51" s="21">
        <f t="shared" si="8"/>
        <v>28800</v>
      </c>
      <c r="H51" s="20">
        <f t="shared" si="9"/>
        <v>180</v>
      </c>
      <c r="I51" s="20">
        <v>20</v>
      </c>
      <c r="J51" s="21">
        <v>160</v>
      </c>
      <c r="K51" s="21">
        <f t="shared" si="11"/>
        <v>3200</v>
      </c>
      <c r="L51" s="78" t="s">
        <v>735</v>
      </c>
    </row>
    <row r="52" spans="1:12" ht="24" customHeight="1" x14ac:dyDescent="0.5">
      <c r="A52" s="57">
        <v>46</v>
      </c>
      <c r="B52" s="58" t="s">
        <v>219</v>
      </c>
      <c r="C52" s="59" t="s">
        <v>38</v>
      </c>
      <c r="D52" s="20">
        <v>25</v>
      </c>
      <c r="E52" s="45">
        <v>0</v>
      </c>
      <c r="F52" s="20">
        <f t="shared" si="10"/>
        <v>25</v>
      </c>
      <c r="G52" s="21">
        <f t="shared" si="8"/>
        <v>0</v>
      </c>
      <c r="H52" s="20">
        <f t="shared" si="9"/>
        <v>0</v>
      </c>
      <c r="I52" s="20">
        <v>25</v>
      </c>
      <c r="J52" s="21">
        <v>140</v>
      </c>
      <c r="K52" s="21">
        <f t="shared" si="11"/>
        <v>3500</v>
      </c>
      <c r="L52" s="78" t="s">
        <v>19</v>
      </c>
    </row>
    <row r="53" spans="1:12" ht="24" customHeight="1" x14ac:dyDescent="0.5">
      <c r="A53" s="57">
        <v>47</v>
      </c>
      <c r="B53" s="58" t="s">
        <v>403</v>
      </c>
      <c r="C53" s="59" t="s">
        <v>38</v>
      </c>
      <c r="D53" s="20">
        <v>0</v>
      </c>
      <c r="E53" s="45">
        <v>60</v>
      </c>
      <c r="F53" s="20">
        <f t="shared" si="10"/>
        <v>60</v>
      </c>
      <c r="G53" s="21">
        <f t="shared" si="8"/>
        <v>6400</v>
      </c>
      <c r="H53" s="20">
        <f t="shared" si="9"/>
        <v>40</v>
      </c>
      <c r="I53" s="20">
        <v>20</v>
      </c>
      <c r="J53" s="21">
        <v>160</v>
      </c>
      <c r="K53" s="21">
        <f t="shared" si="11"/>
        <v>3200</v>
      </c>
    </row>
    <row r="54" spans="1:12" ht="24" customHeight="1" x14ac:dyDescent="0.5">
      <c r="A54" s="57">
        <v>48</v>
      </c>
      <c r="B54" s="58" t="s">
        <v>220</v>
      </c>
      <c r="C54" s="59" t="s">
        <v>38</v>
      </c>
      <c r="D54" s="20">
        <v>35</v>
      </c>
      <c r="E54" s="45">
        <v>200</v>
      </c>
      <c r="F54" s="20">
        <f t="shared" ref="F54:F64" si="12">D54+E54</f>
        <v>235</v>
      </c>
      <c r="G54" s="21">
        <f t="shared" ref="G54:G64" si="13">H54*J54</f>
        <v>29400</v>
      </c>
      <c r="H54" s="20">
        <f t="shared" ref="H54:H64" si="14">F54-I54</f>
        <v>210</v>
      </c>
      <c r="I54" s="20">
        <v>25</v>
      </c>
      <c r="J54" s="21">
        <v>140</v>
      </c>
      <c r="K54" s="21">
        <f t="shared" ref="K54:K64" si="15">I54*J54</f>
        <v>3500</v>
      </c>
      <c r="L54" s="62" t="s">
        <v>627</v>
      </c>
    </row>
    <row r="55" spans="1:12" ht="24" customHeight="1" x14ac:dyDescent="0.5">
      <c r="A55" s="57">
        <v>49</v>
      </c>
      <c r="B55" s="58" t="s">
        <v>515</v>
      </c>
      <c r="C55" s="59" t="s">
        <v>38</v>
      </c>
      <c r="D55" s="20">
        <v>10</v>
      </c>
      <c r="E55" s="45">
        <v>60</v>
      </c>
      <c r="F55" s="20">
        <f t="shared" si="12"/>
        <v>70</v>
      </c>
      <c r="G55" s="21">
        <f t="shared" si="13"/>
        <v>15728.999999999998</v>
      </c>
      <c r="H55" s="20">
        <f t="shared" si="14"/>
        <v>60</v>
      </c>
      <c r="I55" s="20">
        <v>10</v>
      </c>
      <c r="J55" s="21">
        <v>262.14999999999998</v>
      </c>
      <c r="K55" s="21">
        <f t="shared" si="15"/>
        <v>2621.5</v>
      </c>
      <c r="L55" s="78" t="s">
        <v>464</v>
      </c>
    </row>
    <row r="56" spans="1:12" ht="24" customHeight="1" x14ac:dyDescent="0.5">
      <c r="A56" s="57">
        <v>50</v>
      </c>
      <c r="B56" s="58" t="s">
        <v>221</v>
      </c>
      <c r="C56" s="59" t="s">
        <v>38</v>
      </c>
      <c r="D56" s="20">
        <v>25</v>
      </c>
      <c r="E56" s="45">
        <v>200</v>
      </c>
      <c r="F56" s="20">
        <f t="shared" si="12"/>
        <v>225</v>
      </c>
      <c r="G56" s="21">
        <f t="shared" si="13"/>
        <v>29400</v>
      </c>
      <c r="H56" s="20">
        <f t="shared" si="14"/>
        <v>210</v>
      </c>
      <c r="I56" s="20">
        <v>15</v>
      </c>
      <c r="J56" s="21">
        <v>140</v>
      </c>
      <c r="K56" s="21">
        <f t="shared" si="15"/>
        <v>2100</v>
      </c>
      <c r="L56" s="83" t="s">
        <v>20</v>
      </c>
    </row>
    <row r="57" spans="1:12" ht="24" customHeight="1" x14ac:dyDescent="0.5">
      <c r="A57" s="57">
        <v>51</v>
      </c>
      <c r="B57" s="58" t="s">
        <v>516</v>
      </c>
      <c r="C57" s="59" t="s">
        <v>38</v>
      </c>
      <c r="D57" s="20">
        <v>10</v>
      </c>
      <c r="E57" s="45">
        <v>30</v>
      </c>
      <c r="F57" s="20">
        <f t="shared" si="12"/>
        <v>40</v>
      </c>
      <c r="G57" s="21">
        <f t="shared" si="13"/>
        <v>10486</v>
      </c>
      <c r="H57" s="20">
        <f t="shared" si="14"/>
        <v>40</v>
      </c>
      <c r="I57" s="20">
        <v>0</v>
      </c>
      <c r="J57" s="21">
        <v>262.14999999999998</v>
      </c>
      <c r="K57" s="21">
        <f t="shared" si="15"/>
        <v>0</v>
      </c>
      <c r="L57" s="83"/>
    </row>
    <row r="58" spans="1:12" ht="24" customHeight="1" x14ac:dyDescent="0.5">
      <c r="A58" s="57">
        <v>52</v>
      </c>
      <c r="B58" s="58" t="s">
        <v>248</v>
      </c>
      <c r="C58" s="59" t="s">
        <v>38</v>
      </c>
      <c r="D58" s="20">
        <v>0</v>
      </c>
      <c r="E58" s="45">
        <v>50</v>
      </c>
      <c r="F58" s="20">
        <f t="shared" si="12"/>
        <v>50</v>
      </c>
      <c r="G58" s="21">
        <f t="shared" si="13"/>
        <v>7000</v>
      </c>
      <c r="H58" s="20">
        <f t="shared" si="14"/>
        <v>50</v>
      </c>
      <c r="I58" s="20">
        <v>0</v>
      </c>
      <c r="J58" s="21">
        <v>140</v>
      </c>
      <c r="K58" s="21">
        <f t="shared" si="15"/>
        <v>0</v>
      </c>
      <c r="L58" s="62" t="s">
        <v>627</v>
      </c>
    </row>
    <row r="59" spans="1:12" ht="24" customHeight="1" x14ac:dyDescent="0.5">
      <c r="A59" s="57">
        <v>53</v>
      </c>
      <c r="B59" s="58" t="s">
        <v>222</v>
      </c>
      <c r="C59" s="59" t="s">
        <v>38</v>
      </c>
      <c r="D59" s="20">
        <v>0</v>
      </c>
      <c r="E59" s="45">
        <v>150</v>
      </c>
      <c r="F59" s="20">
        <f t="shared" si="12"/>
        <v>150</v>
      </c>
      <c r="G59" s="21">
        <f t="shared" si="13"/>
        <v>21000</v>
      </c>
      <c r="H59" s="20">
        <f t="shared" si="14"/>
        <v>150</v>
      </c>
      <c r="I59" s="20">
        <v>0</v>
      </c>
      <c r="J59" s="21">
        <v>140</v>
      </c>
      <c r="K59" s="21">
        <f t="shared" si="15"/>
        <v>0</v>
      </c>
      <c r="L59" s="83" t="s">
        <v>465</v>
      </c>
    </row>
    <row r="60" spans="1:12" ht="24" customHeight="1" x14ac:dyDescent="0.5">
      <c r="A60" s="57">
        <v>54</v>
      </c>
      <c r="B60" s="58" t="s">
        <v>223</v>
      </c>
      <c r="C60" s="59" t="s">
        <v>191</v>
      </c>
      <c r="D60" s="20">
        <v>0</v>
      </c>
      <c r="E60" s="45">
        <v>20</v>
      </c>
      <c r="F60" s="20">
        <f t="shared" si="12"/>
        <v>20</v>
      </c>
      <c r="G60" s="21">
        <f t="shared" si="13"/>
        <v>23000</v>
      </c>
      <c r="H60" s="20">
        <f t="shared" si="14"/>
        <v>10</v>
      </c>
      <c r="I60" s="20">
        <v>10</v>
      </c>
      <c r="J60" s="21">
        <v>2300</v>
      </c>
      <c r="K60" s="21">
        <f t="shared" si="15"/>
        <v>23000</v>
      </c>
      <c r="L60" s="83" t="s">
        <v>18</v>
      </c>
    </row>
    <row r="61" spans="1:12" ht="24" customHeight="1" x14ac:dyDescent="0.5">
      <c r="A61" s="57">
        <v>55</v>
      </c>
      <c r="B61" s="58" t="s">
        <v>224</v>
      </c>
      <c r="C61" s="59" t="s">
        <v>191</v>
      </c>
      <c r="D61" s="20">
        <v>0</v>
      </c>
      <c r="E61" s="45">
        <v>60</v>
      </c>
      <c r="F61" s="20">
        <f t="shared" si="12"/>
        <v>60</v>
      </c>
      <c r="G61" s="21">
        <f t="shared" si="13"/>
        <v>129600</v>
      </c>
      <c r="H61" s="20">
        <f t="shared" si="14"/>
        <v>54</v>
      </c>
      <c r="I61" s="20">
        <v>6</v>
      </c>
      <c r="J61" s="21">
        <v>2400</v>
      </c>
      <c r="K61" s="21">
        <f t="shared" si="15"/>
        <v>14400</v>
      </c>
      <c r="L61" s="78"/>
    </row>
    <row r="62" spans="1:12" ht="24" customHeight="1" x14ac:dyDescent="0.5">
      <c r="A62" s="57">
        <v>56</v>
      </c>
      <c r="B62" s="58" t="s">
        <v>225</v>
      </c>
      <c r="C62" s="59" t="s">
        <v>191</v>
      </c>
      <c r="D62" s="20">
        <v>0</v>
      </c>
      <c r="E62" s="45">
        <v>65</v>
      </c>
      <c r="F62" s="20">
        <f t="shared" si="12"/>
        <v>65</v>
      </c>
      <c r="G62" s="21">
        <f t="shared" si="13"/>
        <v>156800</v>
      </c>
      <c r="H62" s="20">
        <f t="shared" si="14"/>
        <v>56</v>
      </c>
      <c r="I62" s="20">
        <v>9</v>
      </c>
      <c r="J62" s="21">
        <v>2800</v>
      </c>
      <c r="K62" s="21">
        <f t="shared" si="15"/>
        <v>25200</v>
      </c>
      <c r="L62" s="62" t="s">
        <v>627</v>
      </c>
    </row>
    <row r="63" spans="1:12" ht="24" customHeight="1" x14ac:dyDescent="0.5">
      <c r="A63" s="57">
        <v>57</v>
      </c>
      <c r="B63" s="58" t="s">
        <v>226</v>
      </c>
      <c r="C63" s="59" t="s">
        <v>38</v>
      </c>
      <c r="D63" s="20">
        <v>16</v>
      </c>
      <c r="E63" s="45">
        <v>84</v>
      </c>
      <c r="F63" s="20">
        <f>D63+E63</f>
        <v>100</v>
      </c>
      <c r="G63" s="21">
        <f>H63*J63</f>
        <v>20330</v>
      </c>
      <c r="H63" s="20">
        <f>F63-I63</f>
        <v>76</v>
      </c>
      <c r="I63" s="20">
        <v>24</v>
      </c>
      <c r="J63" s="21">
        <v>267.5</v>
      </c>
      <c r="K63" s="21">
        <f>I63*J63</f>
        <v>6420</v>
      </c>
      <c r="L63" s="84" t="s">
        <v>434</v>
      </c>
    </row>
    <row r="64" spans="1:12" ht="24" customHeight="1" x14ac:dyDescent="0.5">
      <c r="A64" s="57">
        <v>58</v>
      </c>
      <c r="B64" s="58" t="s">
        <v>227</v>
      </c>
      <c r="C64" s="59" t="s">
        <v>38</v>
      </c>
      <c r="D64" s="20">
        <v>8</v>
      </c>
      <c r="E64" s="45">
        <v>0</v>
      </c>
      <c r="F64" s="20">
        <f t="shared" si="12"/>
        <v>8</v>
      </c>
      <c r="G64" s="21">
        <f t="shared" si="13"/>
        <v>765.2</v>
      </c>
      <c r="H64" s="20">
        <f t="shared" si="14"/>
        <v>4</v>
      </c>
      <c r="I64" s="20">
        <v>4</v>
      </c>
      <c r="J64" s="21">
        <v>191.3</v>
      </c>
      <c r="K64" s="21">
        <f t="shared" si="15"/>
        <v>765.2</v>
      </c>
      <c r="L64" s="83" t="s">
        <v>433</v>
      </c>
    </row>
    <row r="65" spans="1:12" ht="24" customHeight="1" x14ac:dyDescent="0.5">
      <c r="A65" s="57">
        <v>59</v>
      </c>
      <c r="B65" s="58" t="s">
        <v>517</v>
      </c>
      <c r="C65" s="59" t="s">
        <v>604</v>
      </c>
      <c r="D65" s="20">
        <v>0</v>
      </c>
      <c r="E65" s="45">
        <v>26</v>
      </c>
      <c r="F65" s="20">
        <f>D65+E65</f>
        <v>26</v>
      </c>
      <c r="G65" s="21">
        <f>H65*J65</f>
        <v>7230.4180000000006</v>
      </c>
      <c r="H65" s="20">
        <f>F65-I65</f>
        <v>26</v>
      </c>
      <c r="I65" s="20">
        <v>0</v>
      </c>
      <c r="J65" s="21">
        <v>278.09300000000002</v>
      </c>
      <c r="K65" s="21">
        <f>I65*J65</f>
        <v>0</v>
      </c>
      <c r="L65" s="78"/>
    </row>
    <row r="66" spans="1:12" ht="24" customHeight="1" x14ac:dyDescent="0.5">
      <c r="A66" s="57">
        <v>60</v>
      </c>
      <c r="B66" s="58" t="s">
        <v>228</v>
      </c>
      <c r="C66" s="59" t="s">
        <v>604</v>
      </c>
      <c r="D66" s="20">
        <v>0</v>
      </c>
      <c r="E66" s="20">
        <v>200</v>
      </c>
      <c r="F66" s="20">
        <f>D66+E66</f>
        <v>200</v>
      </c>
      <c r="G66" s="21">
        <f>H66*J66</f>
        <v>64328.4</v>
      </c>
      <c r="H66" s="20">
        <f>F66-I66</f>
        <v>167</v>
      </c>
      <c r="I66" s="20">
        <v>33</v>
      </c>
      <c r="J66" s="21">
        <v>385.2</v>
      </c>
      <c r="K66" s="21">
        <f>I66*J66</f>
        <v>12711.6</v>
      </c>
      <c r="L66" s="62" t="s">
        <v>627</v>
      </c>
    </row>
    <row r="67" spans="1:12" ht="24" customHeight="1" x14ac:dyDescent="0.5">
      <c r="A67" s="65"/>
      <c r="B67" s="65" t="s">
        <v>432</v>
      </c>
      <c r="C67" s="65"/>
      <c r="D67" s="22"/>
      <c r="E67" s="23"/>
      <c r="F67" s="22"/>
      <c r="G67" s="24">
        <f>SUM(G47:G66)</f>
        <v>850469.01799999992</v>
      </c>
      <c r="H67" s="22"/>
      <c r="I67" s="22"/>
      <c r="J67" s="24"/>
      <c r="K67" s="24">
        <f>SUM(K47:K66)</f>
        <v>140368.29999999999</v>
      </c>
      <c r="L67" s="78" t="s">
        <v>503</v>
      </c>
    </row>
    <row r="68" spans="1:12" ht="24" customHeight="1" x14ac:dyDescent="0.5">
      <c r="A68" s="79"/>
      <c r="B68" s="79"/>
      <c r="C68" s="79"/>
      <c r="D68" s="27"/>
      <c r="E68" s="28"/>
      <c r="F68" s="27"/>
      <c r="G68" s="85"/>
      <c r="H68" s="27"/>
      <c r="I68" s="27"/>
      <c r="J68" s="43"/>
      <c r="K68" s="85"/>
      <c r="L68" s="83" t="s">
        <v>435</v>
      </c>
    </row>
    <row r="69" spans="1:12" ht="24" customHeight="1" x14ac:dyDescent="0.5">
      <c r="A69" s="57">
        <v>61</v>
      </c>
      <c r="B69" s="58" t="s">
        <v>229</v>
      </c>
      <c r="C69" s="59" t="s">
        <v>604</v>
      </c>
      <c r="D69" s="20">
        <v>0</v>
      </c>
      <c r="E69" s="45">
        <v>300</v>
      </c>
      <c r="F69" s="20">
        <f>D69+E69</f>
        <v>300</v>
      </c>
      <c r="G69" s="21">
        <f t="shared" ref="G69:G77" si="16">H69*J69</f>
        <v>74536.2</v>
      </c>
      <c r="H69" s="20">
        <f t="shared" ref="H69:H73" si="17">F69-I69</f>
        <v>270</v>
      </c>
      <c r="I69" s="20">
        <v>30</v>
      </c>
      <c r="J69" s="21">
        <v>276.06</v>
      </c>
      <c r="K69" s="21">
        <f t="shared" ref="K69:K77" si="18">I69*J69</f>
        <v>8281.7999999999993</v>
      </c>
      <c r="L69" s="78" t="s">
        <v>15</v>
      </c>
    </row>
    <row r="70" spans="1:12" ht="24" customHeight="1" x14ac:dyDescent="0.5">
      <c r="A70" s="57">
        <v>62</v>
      </c>
      <c r="B70" s="58" t="s">
        <v>230</v>
      </c>
      <c r="C70" s="59" t="s">
        <v>191</v>
      </c>
      <c r="D70" s="20">
        <v>0</v>
      </c>
      <c r="E70" s="45">
        <v>200</v>
      </c>
      <c r="F70" s="20">
        <f t="shared" ref="F70:F73" si="19">D70+E70</f>
        <v>200</v>
      </c>
      <c r="G70" s="21">
        <f t="shared" si="16"/>
        <v>102720</v>
      </c>
      <c r="H70" s="20">
        <f t="shared" si="17"/>
        <v>200</v>
      </c>
      <c r="I70" s="20">
        <v>0</v>
      </c>
      <c r="J70" s="21">
        <v>513.6</v>
      </c>
      <c r="K70" s="21">
        <f t="shared" si="18"/>
        <v>0</v>
      </c>
      <c r="L70" s="78" t="s">
        <v>716</v>
      </c>
    </row>
    <row r="71" spans="1:12" ht="24" customHeight="1" x14ac:dyDescent="0.5">
      <c r="A71" s="57">
        <v>63</v>
      </c>
      <c r="B71" s="58" t="s">
        <v>231</v>
      </c>
      <c r="C71" s="59" t="s">
        <v>191</v>
      </c>
      <c r="D71" s="20">
        <v>0</v>
      </c>
      <c r="E71" s="45">
        <v>220</v>
      </c>
      <c r="F71" s="20">
        <f t="shared" si="19"/>
        <v>220</v>
      </c>
      <c r="G71" s="21">
        <f t="shared" si="16"/>
        <v>138244</v>
      </c>
      <c r="H71" s="20">
        <f t="shared" si="17"/>
        <v>190</v>
      </c>
      <c r="I71" s="20">
        <v>30</v>
      </c>
      <c r="J71" s="21">
        <v>727.6</v>
      </c>
      <c r="K71" s="21">
        <f t="shared" si="18"/>
        <v>21828</v>
      </c>
    </row>
    <row r="72" spans="1:12" ht="24" customHeight="1" x14ac:dyDescent="0.5">
      <c r="A72" s="57">
        <v>64</v>
      </c>
      <c r="B72" s="58" t="s">
        <v>232</v>
      </c>
      <c r="C72" s="59" t="s">
        <v>191</v>
      </c>
      <c r="D72" s="20">
        <v>0</v>
      </c>
      <c r="E72" s="45">
        <v>220</v>
      </c>
      <c r="F72" s="20">
        <f t="shared" si="19"/>
        <v>220</v>
      </c>
      <c r="G72" s="21">
        <f t="shared" si="16"/>
        <v>207152</v>
      </c>
      <c r="H72" s="20">
        <f t="shared" si="17"/>
        <v>220</v>
      </c>
      <c r="I72" s="20">
        <v>0</v>
      </c>
      <c r="J72" s="21">
        <v>941.6</v>
      </c>
      <c r="K72" s="21">
        <f t="shared" si="18"/>
        <v>0</v>
      </c>
      <c r="L72" s="62" t="s">
        <v>627</v>
      </c>
    </row>
    <row r="73" spans="1:12" ht="24" customHeight="1" x14ac:dyDescent="0.5">
      <c r="A73" s="57">
        <v>65</v>
      </c>
      <c r="B73" s="58" t="s">
        <v>233</v>
      </c>
      <c r="C73" s="59" t="s">
        <v>191</v>
      </c>
      <c r="D73" s="20">
        <v>0</v>
      </c>
      <c r="E73" s="45">
        <v>110</v>
      </c>
      <c r="F73" s="20">
        <f t="shared" si="19"/>
        <v>110</v>
      </c>
      <c r="G73" s="21">
        <f t="shared" si="16"/>
        <v>115345.99999999999</v>
      </c>
      <c r="H73" s="20">
        <f t="shared" si="17"/>
        <v>110</v>
      </c>
      <c r="I73" s="20">
        <v>0</v>
      </c>
      <c r="J73" s="21">
        <v>1048.5999999999999</v>
      </c>
      <c r="K73" s="21">
        <f t="shared" si="18"/>
        <v>0</v>
      </c>
      <c r="L73" s="78" t="s">
        <v>735</v>
      </c>
    </row>
    <row r="74" spans="1:12" ht="24" customHeight="1" x14ac:dyDescent="0.5">
      <c r="A74" s="57">
        <v>66</v>
      </c>
      <c r="B74" s="58" t="s">
        <v>234</v>
      </c>
      <c r="C74" s="59" t="s">
        <v>50</v>
      </c>
      <c r="D74" s="20">
        <v>0</v>
      </c>
      <c r="E74" s="45">
        <v>90</v>
      </c>
      <c r="F74" s="20">
        <f t="shared" ref="F74:F77" si="20">D74+E74</f>
        <v>90</v>
      </c>
      <c r="G74" s="21">
        <f t="shared" si="16"/>
        <v>42372</v>
      </c>
      <c r="H74" s="20">
        <f t="shared" ref="H74:H77" si="21">F74-I74</f>
        <v>72</v>
      </c>
      <c r="I74" s="20">
        <v>18</v>
      </c>
      <c r="J74" s="21">
        <v>588.5</v>
      </c>
      <c r="K74" s="21">
        <f t="shared" si="18"/>
        <v>10593</v>
      </c>
      <c r="L74" s="78" t="s">
        <v>19</v>
      </c>
    </row>
    <row r="75" spans="1:12" ht="24" customHeight="1" x14ac:dyDescent="0.5">
      <c r="A75" s="57">
        <v>67</v>
      </c>
      <c r="B75" s="58" t="s">
        <v>235</v>
      </c>
      <c r="C75" s="59" t="s">
        <v>50</v>
      </c>
      <c r="D75" s="20">
        <v>0</v>
      </c>
      <c r="E75" s="45">
        <v>50</v>
      </c>
      <c r="F75" s="20">
        <f t="shared" si="20"/>
        <v>50</v>
      </c>
      <c r="G75" s="21">
        <f t="shared" si="16"/>
        <v>29425</v>
      </c>
      <c r="H75" s="20">
        <f t="shared" si="21"/>
        <v>50</v>
      </c>
      <c r="I75" s="20">
        <v>0</v>
      </c>
      <c r="J75" s="21">
        <v>588.5</v>
      </c>
      <c r="K75" s="21">
        <f t="shared" si="18"/>
        <v>0</v>
      </c>
    </row>
    <row r="76" spans="1:12" ht="24" customHeight="1" x14ac:dyDescent="0.5">
      <c r="A76" s="57">
        <v>68</v>
      </c>
      <c r="B76" s="58" t="s">
        <v>236</v>
      </c>
      <c r="C76" s="59" t="s">
        <v>191</v>
      </c>
      <c r="D76" s="20">
        <v>2</v>
      </c>
      <c r="E76" s="45">
        <v>10</v>
      </c>
      <c r="F76" s="20">
        <f t="shared" si="20"/>
        <v>12</v>
      </c>
      <c r="G76" s="21">
        <f t="shared" si="16"/>
        <v>5531.9</v>
      </c>
      <c r="H76" s="20">
        <f t="shared" si="21"/>
        <v>11</v>
      </c>
      <c r="I76" s="20">
        <v>1</v>
      </c>
      <c r="J76" s="21">
        <v>502.9</v>
      </c>
      <c r="K76" s="21">
        <f t="shared" si="18"/>
        <v>502.9</v>
      </c>
      <c r="L76" s="62" t="s">
        <v>627</v>
      </c>
    </row>
    <row r="77" spans="1:12" ht="24" customHeight="1" x14ac:dyDescent="0.5">
      <c r="A77" s="57">
        <v>69</v>
      </c>
      <c r="B77" s="58" t="s">
        <v>237</v>
      </c>
      <c r="C77" s="59" t="s">
        <v>191</v>
      </c>
      <c r="D77" s="20">
        <v>2</v>
      </c>
      <c r="E77" s="45">
        <v>10</v>
      </c>
      <c r="F77" s="20">
        <f t="shared" si="20"/>
        <v>12</v>
      </c>
      <c r="G77" s="21">
        <f t="shared" si="16"/>
        <v>5055.75</v>
      </c>
      <c r="H77" s="20">
        <f t="shared" si="21"/>
        <v>9</v>
      </c>
      <c r="I77" s="20">
        <v>3</v>
      </c>
      <c r="J77" s="21">
        <v>561.75</v>
      </c>
      <c r="K77" s="21">
        <f t="shared" si="18"/>
        <v>1685.25</v>
      </c>
      <c r="L77" s="78" t="s">
        <v>464</v>
      </c>
    </row>
    <row r="78" spans="1:12" ht="24" customHeight="1" x14ac:dyDescent="0.5">
      <c r="A78" s="57">
        <v>70</v>
      </c>
      <c r="B78" s="58" t="s">
        <v>238</v>
      </c>
      <c r="C78" s="59" t="s">
        <v>191</v>
      </c>
      <c r="D78" s="20">
        <v>5</v>
      </c>
      <c r="E78" s="45">
        <v>0</v>
      </c>
      <c r="F78" s="20">
        <f t="shared" si="10"/>
        <v>5</v>
      </c>
      <c r="G78" s="21">
        <f t="shared" ref="G78:G84" si="22">H78*J78</f>
        <v>1037.9000000000001</v>
      </c>
      <c r="H78" s="20">
        <f t="shared" ref="H78:H84" si="23">F78-I78</f>
        <v>1</v>
      </c>
      <c r="I78" s="20">
        <v>4</v>
      </c>
      <c r="J78" s="21">
        <v>1037.9000000000001</v>
      </c>
      <c r="K78" s="21">
        <f t="shared" ref="K78:K84" si="24">I78*J78</f>
        <v>4151.6000000000004</v>
      </c>
      <c r="L78" s="83" t="s">
        <v>20</v>
      </c>
    </row>
    <row r="79" spans="1:12" ht="24" customHeight="1" x14ac:dyDescent="0.5">
      <c r="A79" s="57">
        <v>71</v>
      </c>
      <c r="B79" s="58" t="s">
        <v>239</v>
      </c>
      <c r="C79" s="59" t="s">
        <v>38</v>
      </c>
      <c r="D79" s="20">
        <v>30</v>
      </c>
      <c r="E79" s="45">
        <v>50</v>
      </c>
      <c r="F79" s="20">
        <f t="shared" si="10"/>
        <v>80</v>
      </c>
      <c r="G79" s="21">
        <f t="shared" si="22"/>
        <v>5000</v>
      </c>
      <c r="H79" s="20">
        <f t="shared" si="23"/>
        <v>50</v>
      </c>
      <c r="I79" s="20">
        <v>30</v>
      </c>
      <c r="J79" s="21">
        <v>100</v>
      </c>
      <c r="K79" s="21">
        <f t="shared" si="24"/>
        <v>3000</v>
      </c>
      <c r="L79" s="83"/>
    </row>
    <row r="80" spans="1:12" ht="24" customHeight="1" x14ac:dyDescent="0.5">
      <c r="A80" s="57">
        <v>72</v>
      </c>
      <c r="B80" s="58" t="s">
        <v>240</v>
      </c>
      <c r="C80" s="59" t="s">
        <v>38</v>
      </c>
      <c r="D80" s="20">
        <v>30</v>
      </c>
      <c r="E80" s="45">
        <v>100</v>
      </c>
      <c r="F80" s="20">
        <f t="shared" si="10"/>
        <v>130</v>
      </c>
      <c r="G80" s="21">
        <f t="shared" si="22"/>
        <v>11000</v>
      </c>
      <c r="H80" s="20">
        <f t="shared" si="23"/>
        <v>110</v>
      </c>
      <c r="I80" s="20">
        <v>20</v>
      </c>
      <c r="J80" s="21">
        <v>100</v>
      </c>
      <c r="K80" s="21">
        <f t="shared" si="24"/>
        <v>2000</v>
      </c>
      <c r="L80" s="62" t="s">
        <v>627</v>
      </c>
    </row>
    <row r="81" spans="1:12" ht="24" customHeight="1" x14ac:dyDescent="0.5">
      <c r="A81" s="57">
        <v>73</v>
      </c>
      <c r="B81" s="58" t="s">
        <v>241</v>
      </c>
      <c r="C81" s="59" t="s">
        <v>50</v>
      </c>
      <c r="D81" s="20">
        <v>10</v>
      </c>
      <c r="E81" s="45">
        <v>50</v>
      </c>
      <c r="F81" s="20">
        <f t="shared" si="10"/>
        <v>60</v>
      </c>
      <c r="G81" s="21">
        <f t="shared" si="22"/>
        <v>9400</v>
      </c>
      <c r="H81" s="20">
        <f t="shared" si="23"/>
        <v>40</v>
      </c>
      <c r="I81" s="20">
        <v>20</v>
      </c>
      <c r="J81" s="21">
        <v>235</v>
      </c>
      <c r="K81" s="21">
        <f t="shared" si="24"/>
        <v>4700</v>
      </c>
      <c r="L81" s="83" t="s">
        <v>465</v>
      </c>
    </row>
    <row r="82" spans="1:12" ht="24" customHeight="1" x14ac:dyDescent="0.5">
      <c r="A82" s="57">
        <v>74</v>
      </c>
      <c r="B82" s="58" t="s">
        <v>242</v>
      </c>
      <c r="C82" s="59" t="s">
        <v>50</v>
      </c>
      <c r="D82" s="20">
        <v>10</v>
      </c>
      <c r="E82" s="45">
        <v>50</v>
      </c>
      <c r="F82" s="20">
        <f t="shared" si="10"/>
        <v>60</v>
      </c>
      <c r="G82" s="21">
        <f t="shared" si="22"/>
        <v>9400</v>
      </c>
      <c r="H82" s="20">
        <f t="shared" si="23"/>
        <v>40</v>
      </c>
      <c r="I82" s="20">
        <v>20</v>
      </c>
      <c r="J82" s="21">
        <v>235</v>
      </c>
      <c r="K82" s="21">
        <f t="shared" si="24"/>
        <v>4700</v>
      </c>
      <c r="L82" s="83" t="s">
        <v>18</v>
      </c>
    </row>
    <row r="83" spans="1:12" ht="24" customHeight="1" x14ac:dyDescent="0.5">
      <c r="A83" s="57">
        <v>75</v>
      </c>
      <c r="B83" s="58" t="s">
        <v>243</v>
      </c>
      <c r="C83" s="59" t="s">
        <v>50</v>
      </c>
      <c r="D83" s="20">
        <v>17</v>
      </c>
      <c r="E83" s="45">
        <v>0</v>
      </c>
      <c r="F83" s="20">
        <f t="shared" si="10"/>
        <v>17</v>
      </c>
      <c r="G83" s="21">
        <f t="shared" si="22"/>
        <v>4001.8</v>
      </c>
      <c r="H83" s="20">
        <f t="shared" si="23"/>
        <v>17</v>
      </c>
      <c r="I83" s="20">
        <v>0</v>
      </c>
      <c r="J83" s="21">
        <v>235.4</v>
      </c>
      <c r="K83" s="21">
        <f t="shared" si="24"/>
        <v>0</v>
      </c>
      <c r="L83" s="78"/>
    </row>
    <row r="84" spans="1:12" ht="24" customHeight="1" x14ac:dyDescent="0.5">
      <c r="A84" s="57">
        <v>76</v>
      </c>
      <c r="B84" s="58" t="s">
        <v>244</v>
      </c>
      <c r="C84" s="59" t="s">
        <v>50</v>
      </c>
      <c r="D84" s="20">
        <v>69</v>
      </c>
      <c r="E84" s="45">
        <v>0</v>
      </c>
      <c r="F84" s="20">
        <f t="shared" si="10"/>
        <v>69</v>
      </c>
      <c r="G84" s="21">
        <f t="shared" si="22"/>
        <v>0</v>
      </c>
      <c r="H84" s="20">
        <f t="shared" si="23"/>
        <v>0</v>
      </c>
      <c r="I84" s="20">
        <v>69</v>
      </c>
      <c r="J84" s="21">
        <v>95</v>
      </c>
      <c r="K84" s="21">
        <f t="shared" si="24"/>
        <v>6555</v>
      </c>
      <c r="L84" s="62" t="s">
        <v>627</v>
      </c>
    </row>
    <row r="85" spans="1:12" ht="24" customHeight="1" x14ac:dyDescent="0.5">
      <c r="A85" s="57">
        <v>77</v>
      </c>
      <c r="B85" s="58" t="s">
        <v>245</v>
      </c>
      <c r="C85" s="59" t="s">
        <v>50</v>
      </c>
      <c r="D85" s="20">
        <v>10</v>
      </c>
      <c r="E85" s="45">
        <v>100</v>
      </c>
      <c r="F85" s="20">
        <f t="shared" ref="F85:F86" si="25">D85+E85</f>
        <v>110</v>
      </c>
      <c r="G85" s="21">
        <f t="shared" ref="G85:G86" si="26">H85*J85</f>
        <v>12000</v>
      </c>
      <c r="H85" s="20">
        <f t="shared" ref="H85:H86" si="27">F85-I85</f>
        <v>100</v>
      </c>
      <c r="I85" s="20">
        <v>10</v>
      </c>
      <c r="J85" s="21">
        <v>120</v>
      </c>
      <c r="K85" s="21">
        <f t="shared" ref="K85:K86" si="28">I85*J85</f>
        <v>1200</v>
      </c>
      <c r="L85" s="84" t="s">
        <v>434</v>
      </c>
    </row>
    <row r="86" spans="1:12" ht="24" customHeight="1" x14ac:dyDescent="0.5">
      <c r="A86" s="57">
        <v>78</v>
      </c>
      <c r="B86" s="58" t="s">
        <v>246</v>
      </c>
      <c r="C86" s="59" t="s">
        <v>50</v>
      </c>
      <c r="D86" s="20">
        <v>55</v>
      </c>
      <c r="E86" s="45">
        <v>100</v>
      </c>
      <c r="F86" s="20">
        <f t="shared" si="25"/>
        <v>155</v>
      </c>
      <c r="G86" s="21">
        <f t="shared" si="26"/>
        <v>18000</v>
      </c>
      <c r="H86" s="20">
        <f t="shared" si="27"/>
        <v>150</v>
      </c>
      <c r="I86" s="20">
        <v>5</v>
      </c>
      <c r="J86" s="21">
        <v>120</v>
      </c>
      <c r="K86" s="21">
        <f t="shared" si="28"/>
        <v>600</v>
      </c>
      <c r="L86" s="83" t="s">
        <v>433</v>
      </c>
    </row>
    <row r="87" spans="1:12" ht="24" customHeight="1" x14ac:dyDescent="0.5">
      <c r="A87" s="65"/>
      <c r="B87" s="65" t="s">
        <v>432</v>
      </c>
      <c r="C87" s="65"/>
      <c r="D87" s="22"/>
      <c r="E87" s="23"/>
      <c r="F87" s="22"/>
      <c r="G87" s="24">
        <f>SUM(G69:G86)</f>
        <v>790222.55</v>
      </c>
      <c r="H87" s="22"/>
      <c r="I87" s="22"/>
      <c r="J87" s="24"/>
      <c r="K87" s="24">
        <f>SUM(K69:K86)</f>
        <v>69797.55</v>
      </c>
      <c r="L87" s="78"/>
    </row>
    <row r="88" spans="1:12" ht="24" customHeight="1" x14ac:dyDescent="0.5">
      <c r="A88" s="57"/>
      <c r="B88" s="53" t="s">
        <v>628</v>
      </c>
      <c r="C88" s="86"/>
      <c r="D88" s="29"/>
      <c r="E88" s="30"/>
      <c r="F88" s="31"/>
      <c r="G88" s="32">
        <f>SUM(G87+G67+G45+G23)</f>
        <v>2536170.4180000001</v>
      </c>
      <c r="H88" s="29"/>
      <c r="I88" s="29"/>
      <c r="J88" s="32"/>
      <c r="K88" s="32">
        <f>SUM(K87+K67+K45+K23)</f>
        <v>359365.35</v>
      </c>
      <c r="L88" s="62" t="s">
        <v>627</v>
      </c>
    </row>
    <row r="89" spans="1:12" ht="24" customHeight="1" x14ac:dyDescent="0.5">
      <c r="L89" s="78" t="s">
        <v>503</v>
      </c>
    </row>
    <row r="90" spans="1:12" ht="24" customHeight="1" x14ac:dyDescent="0.5">
      <c r="L90" s="83" t="s">
        <v>435</v>
      </c>
    </row>
  </sheetData>
  <autoFilter ref="A2:L90" xr:uid="{00000000-0001-0000-0300-000000000000}"/>
  <mergeCells count="5">
    <mergeCell ref="A1:A2"/>
    <mergeCell ref="B1:B2"/>
    <mergeCell ref="D1:F1"/>
    <mergeCell ref="I1:K1"/>
    <mergeCell ref="C1:C2"/>
  </mergeCells>
  <phoneticPr fontId="8" type="noConversion"/>
  <pageMargins left="0.70866141732283472" right="0.15748031496062992" top="0.98425196850393704" bottom="0.15748031496062992" header="0.19685039370078741" footer="0.19685039370078741"/>
  <pageSetup paperSize="9" scale="95" firstPageNumber="34" orientation="landscape" useFirstPageNumber="1" r:id="rId1"/>
  <headerFooter scaleWithDoc="0" alignWithMargins="0">
    <oddHeader>&amp;C&amp;"TH SarabunPSK,ตัวหนา"&amp;20รายงานรับ -จ่ายพัสดุ
ประจำปีงบประมาณ 2568&amp;R&amp;"Angsana New,ธรรมดา"หน้า &amp;P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E3E44-FBF6-44E6-920E-3F3C34AD7B10}">
  <dimension ref="A1:H311"/>
  <sheetViews>
    <sheetView topLeftCell="A301" workbookViewId="0">
      <selection activeCell="H1" sqref="H1:H78"/>
    </sheetView>
  </sheetViews>
  <sheetFormatPr defaultRowHeight="21.75" x14ac:dyDescent="0.5"/>
  <sheetData>
    <row r="1" spans="1:8" x14ac:dyDescent="0.5">
      <c r="A1" s="18">
        <v>10</v>
      </c>
      <c r="B1">
        <v>1</v>
      </c>
      <c r="C1">
        <v>24</v>
      </c>
      <c r="D1">
        <v>1</v>
      </c>
      <c r="E1">
        <v>24</v>
      </c>
      <c r="F1">
        <v>1</v>
      </c>
      <c r="G1">
        <v>340</v>
      </c>
      <c r="H1">
        <v>1</v>
      </c>
    </row>
    <row r="2" spans="1:8" x14ac:dyDescent="0.5">
      <c r="A2" s="18">
        <v>10</v>
      </c>
      <c r="B2">
        <v>2</v>
      </c>
      <c r="C2">
        <v>160</v>
      </c>
      <c r="D2">
        <v>2</v>
      </c>
      <c r="E2">
        <v>160</v>
      </c>
      <c r="F2">
        <v>2</v>
      </c>
      <c r="G2">
        <v>72</v>
      </c>
      <c r="H2">
        <v>2</v>
      </c>
    </row>
    <row r="3" spans="1:8" x14ac:dyDescent="0.5">
      <c r="A3" s="18">
        <v>10</v>
      </c>
      <c r="B3">
        <v>3</v>
      </c>
      <c r="C3">
        <v>100</v>
      </c>
      <c r="D3">
        <v>3</v>
      </c>
      <c r="E3">
        <v>100</v>
      </c>
      <c r="F3">
        <v>3</v>
      </c>
      <c r="G3">
        <v>2</v>
      </c>
      <c r="H3">
        <v>3</v>
      </c>
    </row>
    <row r="4" spans="1:8" x14ac:dyDescent="0.5">
      <c r="A4" s="18">
        <v>40</v>
      </c>
      <c r="B4">
        <v>4</v>
      </c>
      <c r="C4">
        <v>600</v>
      </c>
      <c r="D4">
        <v>4</v>
      </c>
      <c r="E4">
        <v>600</v>
      </c>
      <c r="F4">
        <v>4</v>
      </c>
      <c r="G4">
        <v>23</v>
      </c>
      <c r="H4">
        <v>4</v>
      </c>
    </row>
    <row r="5" spans="1:8" x14ac:dyDescent="0.5">
      <c r="A5" s="18">
        <v>100</v>
      </c>
      <c r="B5">
        <v>5</v>
      </c>
      <c r="C5">
        <v>100</v>
      </c>
      <c r="D5">
        <v>5</v>
      </c>
      <c r="E5">
        <v>100</v>
      </c>
      <c r="F5">
        <v>5</v>
      </c>
      <c r="G5">
        <v>21</v>
      </c>
      <c r="H5">
        <v>5</v>
      </c>
    </row>
    <row r="6" spans="1:8" x14ac:dyDescent="0.5">
      <c r="A6" s="18">
        <v>100</v>
      </c>
      <c r="B6">
        <v>6</v>
      </c>
      <c r="C6">
        <v>200</v>
      </c>
      <c r="D6">
        <v>6</v>
      </c>
      <c r="E6">
        <v>200</v>
      </c>
      <c r="F6">
        <v>6</v>
      </c>
      <c r="G6">
        <v>2</v>
      </c>
      <c r="H6">
        <v>6</v>
      </c>
    </row>
    <row r="7" spans="1:8" x14ac:dyDescent="0.5">
      <c r="A7" s="18">
        <v>150</v>
      </c>
      <c r="B7">
        <v>7</v>
      </c>
      <c r="C7">
        <v>5000</v>
      </c>
      <c r="D7">
        <v>7</v>
      </c>
      <c r="E7">
        <v>5000</v>
      </c>
      <c r="F7">
        <v>7</v>
      </c>
      <c r="G7">
        <v>120</v>
      </c>
      <c r="H7">
        <v>7</v>
      </c>
    </row>
    <row r="8" spans="1:8" x14ac:dyDescent="0.5">
      <c r="A8" s="18">
        <v>150</v>
      </c>
      <c r="B8">
        <v>8</v>
      </c>
      <c r="C8">
        <v>1700</v>
      </c>
      <c r="D8">
        <v>8</v>
      </c>
      <c r="E8">
        <v>1700</v>
      </c>
      <c r="F8">
        <v>8</v>
      </c>
      <c r="G8">
        <v>200</v>
      </c>
      <c r="H8">
        <v>8</v>
      </c>
    </row>
    <row r="9" spans="1:8" x14ac:dyDescent="0.5">
      <c r="A9" s="18">
        <v>50</v>
      </c>
      <c r="B9">
        <v>9</v>
      </c>
      <c r="C9">
        <v>122000</v>
      </c>
      <c r="D9">
        <v>9</v>
      </c>
      <c r="E9">
        <v>122000</v>
      </c>
      <c r="F9">
        <v>9</v>
      </c>
      <c r="G9">
        <v>7</v>
      </c>
      <c r="H9">
        <v>9</v>
      </c>
    </row>
    <row r="10" spans="1:8" x14ac:dyDescent="0.5">
      <c r="A10" s="18">
        <v>800</v>
      </c>
      <c r="B10">
        <v>10</v>
      </c>
      <c r="C10">
        <v>13200</v>
      </c>
      <c r="D10">
        <v>10</v>
      </c>
      <c r="E10">
        <v>13200</v>
      </c>
      <c r="F10">
        <v>10</v>
      </c>
      <c r="G10">
        <v>30</v>
      </c>
      <c r="H10">
        <v>10</v>
      </c>
    </row>
    <row r="11" spans="1:8" x14ac:dyDescent="0.5">
      <c r="A11" s="18">
        <v>700</v>
      </c>
      <c r="B11">
        <v>11</v>
      </c>
      <c r="C11">
        <v>70</v>
      </c>
      <c r="D11">
        <v>11</v>
      </c>
      <c r="E11">
        <v>70</v>
      </c>
      <c r="F11">
        <v>11</v>
      </c>
      <c r="G11">
        <v>6</v>
      </c>
      <c r="H11">
        <v>11</v>
      </c>
    </row>
    <row r="12" spans="1:8" x14ac:dyDescent="0.5">
      <c r="A12" s="18">
        <v>100</v>
      </c>
      <c r="B12">
        <v>12</v>
      </c>
      <c r="C12">
        <v>20</v>
      </c>
      <c r="D12">
        <v>12</v>
      </c>
      <c r="E12">
        <v>20</v>
      </c>
      <c r="F12">
        <v>12</v>
      </c>
      <c r="G12">
        <v>14</v>
      </c>
      <c r="H12">
        <v>12</v>
      </c>
    </row>
    <row r="13" spans="1:8" x14ac:dyDescent="0.5">
      <c r="A13" s="18">
        <v>50</v>
      </c>
      <c r="B13">
        <v>13</v>
      </c>
      <c r="C13">
        <v>10</v>
      </c>
      <c r="D13">
        <v>13</v>
      </c>
      <c r="E13">
        <v>10</v>
      </c>
      <c r="F13">
        <v>13</v>
      </c>
      <c r="G13">
        <v>70</v>
      </c>
      <c r="H13">
        <v>13</v>
      </c>
    </row>
    <row r="14" spans="1:8" x14ac:dyDescent="0.5">
      <c r="A14" s="18">
        <v>60</v>
      </c>
      <c r="B14">
        <v>14</v>
      </c>
      <c r="C14">
        <v>200</v>
      </c>
      <c r="D14">
        <v>14</v>
      </c>
      <c r="E14">
        <v>200</v>
      </c>
      <c r="F14">
        <v>14</v>
      </c>
      <c r="G14">
        <v>9</v>
      </c>
      <c r="H14">
        <v>14</v>
      </c>
    </row>
    <row r="15" spans="1:8" x14ac:dyDescent="0.5">
      <c r="A15" s="18">
        <v>50</v>
      </c>
      <c r="B15">
        <v>15</v>
      </c>
      <c r="C15">
        <v>106</v>
      </c>
      <c r="D15">
        <v>15</v>
      </c>
      <c r="E15">
        <v>106</v>
      </c>
      <c r="F15">
        <v>15</v>
      </c>
      <c r="G15">
        <v>30</v>
      </c>
      <c r="H15">
        <v>15</v>
      </c>
    </row>
    <row r="16" spans="1:8" x14ac:dyDescent="0.5">
      <c r="A16" s="18">
        <v>50</v>
      </c>
      <c r="B16">
        <v>16</v>
      </c>
      <c r="C16">
        <v>3500</v>
      </c>
      <c r="D16">
        <v>16</v>
      </c>
      <c r="E16">
        <v>3500</v>
      </c>
      <c r="F16">
        <v>16</v>
      </c>
      <c r="G16">
        <v>2</v>
      </c>
      <c r="H16">
        <v>16</v>
      </c>
    </row>
    <row r="17" spans="1:8" x14ac:dyDescent="0.5">
      <c r="A17" s="18">
        <v>10</v>
      </c>
      <c r="B17">
        <v>17</v>
      </c>
      <c r="C17">
        <v>70</v>
      </c>
      <c r="D17">
        <v>17</v>
      </c>
      <c r="E17">
        <v>70</v>
      </c>
      <c r="F17">
        <v>17</v>
      </c>
      <c r="G17">
        <v>72</v>
      </c>
      <c r="H17">
        <v>17</v>
      </c>
    </row>
    <row r="18" spans="1:8" x14ac:dyDescent="0.5">
      <c r="A18" s="18">
        <v>10</v>
      </c>
      <c r="B18">
        <v>18</v>
      </c>
      <c r="C18">
        <v>104</v>
      </c>
      <c r="D18">
        <v>18</v>
      </c>
      <c r="E18">
        <v>104</v>
      </c>
      <c r="F18">
        <v>18</v>
      </c>
      <c r="G18">
        <v>300</v>
      </c>
      <c r="H18">
        <v>18</v>
      </c>
    </row>
    <row r="19" spans="1:8" x14ac:dyDescent="0.5">
      <c r="A19" s="18">
        <v>10</v>
      </c>
      <c r="B19">
        <v>19</v>
      </c>
      <c r="C19">
        <v>2240</v>
      </c>
      <c r="D19">
        <v>19</v>
      </c>
      <c r="E19">
        <v>2240</v>
      </c>
      <c r="F19">
        <v>19</v>
      </c>
      <c r="G19">
        <v>1</v>
      </c>
      <c r="H19">
        <v>19</v>
      </c>
    </row>
    <row r="20" spans="1:8" x14ac:dyDescent="0.5">
      <c r="A20" s="18">
        <v>30</v>
      </c>
      <c r="B20">
        <v>20</v>
      </c>
      <c r="C20">
        <v>32</v>
      </c>
      <c r="D20">
        <v>20</v>
      </c>
      <c r="E20">
        <v>32</v>
      </c>
      <c r="F20">
        <v>20</v>
      </c>
      <c r="G20">
        <v>4</v>
      </c>
      <c r="H20">
        <v>20</v>
      </c>
    </row>
    <row r="21" spans="1:8" x14ac:dyDescent="0.5">
      <c r="A21" s="18">
        <v>10</v>
      </c>
      <c r="B21">
        <v>21</v>
      </c>
      <c r="C21">
        <v>16</v>
      </c>
      <c r="D21">
        <v>21</v>
      </c>
      <c r="E21">
        <v>16</v>
      </c>
      <c r="F21">
        <v>21</v>
      </c>
      <c r="G21">
        <v>2</v>
      </c>
      <c r="H21">
        <v>21</v>
      </c>
    </row>
    <row r="22" spans="1:8" x14ac:dyDescent="0.5">
      <c r="A22" s="18">
        <v>30</v>
      </c>
      <c r="B22">
        <v>22</v>
      </c>
      <c r="C22">
        <v>4100</v>
      </c>
      <c r="D22">
        <v>22</v>
      </c>
      <c r="E22">
        <v>4100</v>
      </c>
      <c r="F22">
        <v>22</v>
      </c>
      <c r="G22">
        <v>5</v>
      </c>
      <c r="H22">
        <v>22</v>
      </c>
    </row>
    <row r="23" spans="1:8" x14ac:dyDescent="0.5">
      <c r="A23" s="18">
        <v>20</v>
      </c>
      <c r="B23">
        <v>23</v>
      </c>
      <c r="C23">
        <v>1900</v>
      </c>
      <c r="D23">
        <v>23</v>
      </c>
      <c r="E23">
        <v>1900</v>
      </c>
      <c r="F23">
        <v>23</v>
      </c>
      <c r="G23">
        <v>2</v>
      </c>
      <c r="H23">
        <v>23</v>
      </c>
    </row>
    <row r="24" spans="1:8" x14ac:dyDescent="0.5">
      <c r="A24" s="18">
        <v>20</v>
      </c>
      <c r="B24">
        <v>24</v>
      </c>
      <c r="C24">
        <v>20</v>
      </c>
      <c r="D24">
        <v>24</v>
      </c>
      <c r="E24">
        <v>20</v>
      </c>
      <c r="F24">
        <v>24</v>
      </c>
      <c r="G24">
        <v>180</v>
      </c>
      <c r="H24">
        <v>24</v>
      </c>
    </row>
    <row r="25" spans="1:8" x14ac:dyDescent="0.5">
      <c r="A25" s="18">
        <v>10</v>
      </c>
      <c r="B25">
        <v>25</v>
      </c>
      <c r="C25">
        <v>480</v>
      </c>
      <c r="D25">
        <v>25</v>
      </c>
      <c r="E25">
        <v>480</v>
      </c>
      <c r="F25">
        <v>25</v>
      </c>
      <c r="G25">
        <v>7200</v>
      </c>
      <c r="H25">
        <v>25</v>
      </c>
    </row>
    <row r="26" spans="1:8" x14ac:dyDescent="0.5">
      <c r="A26" s="18">
        <v>20</v>
      </c>
      <c r="B26">
        <v>26</v>
      </c>
      <c r="C26">
        <v>520</v>
      </c>
      <c r="D26">
        <v>26</v>
      </c>
      <c r="E26">
        <v>520</v>
      </c>
      <c r="F26">
        <v>26</v>
      </c>
      <c r="G26">
        <v>1</v>
      </c>
      <c r="H26">
        <v>26</v>
      </c>
    </row>
    <row r="27" spans="1:8" x14ac:dyDescent="0.5">
      <c r="A27" s="18">
        <v>60</v>
      </c>
      <c r="B27">
        <v>27</v>
      </c>
      <c r="C27">
        <v>240</v>
      </c>
      <c r="D27">
        <v>27</v>
      </c>
      <c r="E27">
        <v>240</v>
      </c>
      <c r="F27">
        <v>27</v>
      </c>
      <c r="G27">
        <v>20</v>
      </c>
      <c r="H27">
        <v>27</v>
      </c>
    </row>
    <row r="28" spans="1:8" x14ac:dyDescent="0.5">
      <c r="A28" s="18">
        <v>6</v>
      </c>
      <c r="B28">
        <v>28</v>
      </c>
      <c r="C28">
        <v>22</v>
      </c>
      <c r="D28">
        <v>28</v>
      </c>
      <c r="E28">
        <v>22</v>
      </c>
      <c r="F28">
        <v>28</v>
      </c>
      <c r="G28">
        <v>3</v>
      </c>
      <c r="H28">
        <v>28</v>
      </c>
    </row>
    <row r="29" spans="1:8" x14ac:dyDescent="0.5">
      <c r="A29" s="18">
        <v>20</v>
      </c>
      <c r="B29">
        <v>29</v>
      </c>
      <c r="C29">
        <v>4</v>
      </c>
      <c r="D29">
        <v>29</v>
      </c>
      <c r="E29">
        <v>4</v>
      </c>
      <c r="F29">
        <v>29</v>
      </c>
      <c r="G29">
        <v>1</v>
      </c>
      <c r="H29">
        <v>29</v>
      </c>
    </row>
    <row r="30" spans="1:8" x14ac:dyDescent="0.5">
      <c r="A30" s="18">
        <v>20</v>
      </c>
      <c r="B30">
        <v>30</v>
      </c>
      <c r="C30">
        <v>120</v>
      </c>
      <c r="D30">
        <v>30</v>
      </c>
      <c r="E30">
        <v>120</v>
      </c>
      <c r="F30">
        <v>30</v>
      </c>
      <c r="G30">
        <v>7</v>
      </c>
      <c r="H30">
        <v>30</v>
      </c>
    </row>
    <row r="31" spans="1:8" x14ac:dyDescent="0.5">
      <c r="A31" s="18">
        <v>6</v>
      </c>
      <c r="B31">
        <v>31</v>
      </c>
      <c r="C31">
        <v>140</v>
      </c>
      <c r="D31">
        <v>31</v>
      </c>
      <c r="E31">
        <v>140</v>
      </c>
      <c r="F31">
        <v>31</v>
      </c>
      <c r="G31">
        <v>49</v>
      </c>
      <c r="H31">
        <v>31</v>
      </c>
    </row>
    <row r="32" spans="1:8" x14ac:dyDescent="0.5">
      <c r="A32" s="18">
        <v>100</v>
      </c>
      <c r="B32">
        <v>32</v>
      </c>
      <c r="C32">
        <v>50</v>
      </c>
      <c r="D32">
        <v>32</v>
      </c>
      <c r="E32">
        <v>50</v>
      </c>
      <c r="F32">
        <v>32</v>
      </c>
      <c r="G32">
        <v>30</v>
      </c>
      <c r="H32">
        <v>32</v>
      </c>
    </row>
    <row r="33" spans="1:8" x14ac:dyDescent="0.5">
      <c r="A33" s="18">
        <v>100</v>
      </c>
      <c r="B33">
        <v>33</v>
      </c>
      <c r="C33">
        <v>300</v>
      </c>
      <c r="D33">
        <v>33</v>
      </c>
      <c r="E33">
        <v>300</v>
      </c>
      <c r="F33">
        <v>33</v>
      </c>
      <c r="G33">
        <v>1</v>
      </c>
      <c r="H33">
        <v>33</v>
      </c>
    </row>
    <row r="34" spans="1:8" x14ac:dyDescent="0.5">
      <c r="A34" s="18">
        <v>50</v>
      </c>
      <c r="B34">
        <v>34</v>
      </c>
      <c r="C34">
        <v>720</v>
      </c>
      <c r="D34">
        <v>34</v>
      </c>
      <c r="E34">
        <v>720</v>
      </c>
      <c r="F34">
        <v>34</v>
      </c>
      <c r="G34">
        <v>110</v>
      </c>
      <c r="H34">
        <v>34</v>
      </c>
    </row>
    <row r="35" spans="1:8" x14ac:dyDescent="0.5">
      <c r="A35" s="18">
        <v>50</v>
      </c>
      <c r="B35">
        <v>35</v>
      </c>
      <c r="C35">
        <v>3051</v>
      </c>
      <c r="D35">
        <v>35</v>
      </c>
      <c r="E35">
        <v>3051</v>
      </c>
      <c r="F35">
        <v>35</v>
      </c>
      <c r="G35">
        <v>9</v>
      </c>
      <c r="H35">
        <v>35</v>
      </c>
    </row>
    <row r="36" spans="1:8" x14ac:dyDescent="0.5">
      <c r="A36" s="18">
        <v>200</v>
      </c>
      <c r="B36">
        <v>36</v>
      </c>
      <c r="C36">
        <v>9</v>
      </c>
      <c r="D36">
        <v>36</v>
      </c>
      <c r="E36">
        <v>9</v>
      </c>
      <c r="F36">
        <v>36</v>
      </c>
      <c r="G36">
        <v>2</v>
      </c>
      <c r="H36">
        <v>36</v>
      </c>
    </row>
    <row r="37" spans="1:8" x14ac:dyDescent="0.5">
      <c r="A37" s="18">
        <v>70</v>
      </c>
      <c r="B37">
        <v>37</v>
      </c>
      <c r="C37">
        <v>3</v>
      </c>
      <c r="D37">
        <v>37</v>
      </c>
      <c r="E37">
        <v>3</v>
      </c>
      <c r="F37">
        <v>37</v>
      </c>
      <c r="G37">
        <v>84</v>
      </c>
      <c r="H37">
        <v>37</v>
      </c>
    </row>
    <row r="38" spans="1:8" x14ac:dyDescent="0.5">
      <c r="A38" s="18">
        <v>200</v>
      </c>
      <c r="B38">
        <v>38</v>
      </c>
      <c r="C38">
        <v>1110</v>
      </c>
      <c r="D38">
        <v>38</v>
      </c>
      <c r="E38">
        <v>1110</v>
      </c>
      <c r="F38">
        <v>38</v>
      </c>
      <c r="G38">
        <v>10</v>
      </c>
      <c r="H38">
        <v>38</v>
      </c>
    </row>
    <row r="39" spans="1:8" x14ac:dyDescent="0.5">
      <c r="A39" s="18">
        <v>100</v>
      </c>
      <c r="B39">
        <v>39</v>
      </c>
      <c r="C39">
        <v>2600</v>
      </c>
      <c r="D39">
        <v>39</v>
      </c>
      <c r="E39">
        <v>2600</v>
      </c>
      <c r="F39">
        <v>39</v>
      </c>
      <c r="G39">
        <v>12</v>
      </c>
      <c r="H39">
        <v>39</v>
      </c>
    </row>
    <row r="40" spans="1:8" x14ac:dyDescent="0.5">
      <c r="A40" s="18">
        <v>20</v>
      </c>
      <c r="B40">
        <v>40</v>
      </c>
      <c r="C40">
        <v>40</v>
      </c>
      <c r="D40">
        <v>40</v>
      </c>
      <c r="E40">
        <v>40</v>
      </c>
      <c r="F40">
        <v>40</v>
      </c>
      <c r="G40">
        <v>84</v>
      </c>
      <c r="H40">
        <v>40</v>
      </c>
    </row>
    <row r="41" spans="1:8" x14ac:dyDescent="0.5">
      <c r="A41" s="18">
        <v>40</v>
      </c>
      <c r="B41">
        <v>41</v>
      </c>
      <c r="C41">
        <v>200</v>
      </c>
      <c r="D41">
        <v>41</v>
      </c>
      <c r="E41">
        <v>200</v>
      </c>
      <c r="F41">
        <v>41</v>
      </c>
      <c r="G41">
        <v>6400</v>
      </c>
      <c r="H41">
        <v>41</v>
      </c>
    </row>
    <row r="42" spans="1:8" x14ac:dyDescent="0.5">
      <c r="A42" s="18">
        <v>50</v>
      </c>
      <c r="B42">
        <v>42</v>
      </c>
      <c r="C42">
        <v>100</v>
      </c>
      <c r="D42">
        <v>42</v>
      </c>
      <c r="E42">
        <v>100</v>
      </c>
      <c r="F42">
        <v>42</v>
      </c>
      <c r="G42">
        <v>6</v>
      </c>
      <c r="H42">
        <v>42</v>
      </c>
    </row>
    <row r="43" spans="1:8" x14ac:dyDescent="0.5">
      <c r="A43" s="19">
        <v>50</v>
      </c>
      <c r="B43">
        <v>43</v>
      </c>
      <c r="C43">
        <v>3</v>
      </c>
      <c r="D43">
        <v>43</v>
      </c>
      <c r="E43">
        <v>3</v>
      </c>
      <c r="F43">
        <v>43</v>
      </c>
      <c r="G43">
        <v>5</v>
      </c>
      <c r="H43">
        <v>43</v>
      </c>
    </row>
    <row r="44" spans="1:8" x14ac:dyDescent="0.5">
      <c r="A44" s="18">
        <v>150</v>
      </c>
      <c r="B44">
        <v>44</v>
      </c>
      <c r="C44">
        <v>5</v>
      </c>
      <c r="D44">
        <v>44</v>
      </c>
      <c r="E44">
        <v>5</v>
      </c>
      <c r="F44">
        <v>44</v>
      </c>
      <c r="G44">
        <v>5</v>
      </c>
      <c r="H44">
        <v>44</v>
      </c>
    </row>
    <row r="45" spans="1:8" x14ac:dyDescent="0.5">
      <c r="A45" s="18">
        <v>150</v>
      </c>
      <c r="B45">
        <v>45</v>
      </c>
      <c r="C45">
        <v>5</v>
      </c>
      <c r="D45">
        <v>45</v>
      </c>
      <c r="E45">
        <v>5</v>
      </c>
      <c r="F45">
        <v>45</v>
      </c>
      <c r="G45">
        <v>9000</v>
      </c>
      <c r="H45">
        <v>45</v>
      </c>
    </row>
    <row r="46" spans="1:8" x14ac:dyDescent="0.5">
      <c r="A46" s="18">
        <v>100</v>
      </c>
      <c r="B46">
        <v>46</v>
      </c>
      <c r="C46">
        <v>20</v>
      </c>
      <c r="D46">
        <v>46</v>
      </c>
      <c r="E46">
        <v>20</v>
      </c>
      <c r="F46">
        <v>46</v>
      </c>
      <c r="G46">
        <v>2000</v>
      </c>
      <c r="H46">
        <v>46</v>
      </c>
    </row>
    <row r="47" spans="1:8" x14ac:dyDescent="0.5">
      <c r="A47" s="18">
        <v>100</v>
      </c>
      <c r="B47">
        <v>47</v>
      </c>
      <c r="C47">
        <v>150</v>
      </c>
      <c r="D47">
        <v>47</v>
      </c>
      <c r="E47">
        <v>150</v>
      </c>
      <c r="F47">
        <v>47</v>
      </c>
      <c r="G47">
        <v>36000</v>
      </c>
      <c r="H47">
        <v>47</v>
      </c>
    </row>
    <row r="48" spans="1:8" x14ac:dyDescent="0.5">
      <c r="A48" s="18">
        <v>50</v>
      </c>
      <c r="B48">
        <v>48</v>
      </c>
      <c r="C48">
        <v>20</v>
      </c>
      <c r="D48">
        <v>48</v>
      </c>
      <c r="E48">
        <v>20</v>
      </c>
      <c r="F48">
        <v>48</v>
      </c>
      <c r="G48">
        <v>93000</v>
      </c>
      <c r="H48">
        <v>48</v>
      </c>
    </row>
    <row r="49" spans="1:8" x14ac:dyDescent="0.5">
      <c r="A49" s="18">
        <v>90</v>
      </c>
      <c r="B49">
        <v>49</v>
      </c>
      <c r="C49">
        <v>250</v>
      </c>
      <c r="D49">
        <v>49</v>
      </c>
      <c r="E49">
        <v>250</v>
      </c>
      <c r="F49">
        <v>49</v>
      </c>
      <c r="G49">
        <v>20000</v>
      </c>
      <c r="H49">
        <v>49</v>
      </c>
    </row>
    <row r="50" spans="1:8" x14ac:dyDescent="0.5">
      <c r="A50" s="18">
        <v>90</v>
      </c>
      <c r="B50">
        <v>50</v>
      </c>
      <c r="C50">
        <v>100</v>
      </c>
      <c r="D50">
        <v>50</v>
      </c>
      <c r="E50">
        <v>100</v>
      </c>
      <c r="F50">
        <v>50</v>
      </c>
      <c r="G50">
        <v>10</v>
      </c>
      <c r="H50">
        <v>50</v>
      </c>
    </row>
    <row r="51" spans="1:8" x14ac:dyDescent="0.5">
      <c r="A51" s="18">
        <v>10</v>
      </c>
      <c r="B51">
        <v>51</v>
      </c>
      <c r="C51">
        <v>15000</v>
      </c>
      <c r="D51">
        <v>51</v>
      </c>
      <c r="E51">
        <v>15000</v>
      </c>
      <c r="F51">
        <v>51</v>
      </c>
      <c r="G51">
        <v>16000</v>
      </c>
      <c r="H51">
        <v>51</v>
      </c>
    </row>
    <row r="52" spans="1:8" x14ac:dyDescent="0.5">
      <c r="A52" s="18">
        <v>50</v>
      </c>
      <c r="B52">
        <v>52</v>
      </c>
      <c r="C52">
        <v>1000</v>
      </c>
      <c r="D52">
        <v>52</v>
      </c>
      <c r="E52">
        <v>1000</v>
      </c>
      <c r="F52">
        <v>52</v>
      </c>
      <c r="G52">
        <v>500</v>
      </c>
      <c r="H52">
        <v>52</v>
      </c>
    </row>
    <row r="53" spans="1:8" x14ac:dyDescent="0.5">
      <c r="A53" s="18">
        <v>100</v>
      </c>
      <c r="B53">
        <v>53</v>
      </c>
      <c r="C53">
        <v>200</v>
      </c>
      <c r="D53">
        <v>53</v>
      </c>
      <c r="E53">
        <v>200</v>
      </c>
      <c r="F53">
        <v>53</v>
      </c>
      <c r="G53">
        <v>100</v>
      </c>
      <c r="H53">
        <v>53</v>
      </c>
    </row>
    <row r="54" spans="1:8" x14ac:dyDescent="0.5">
      <c r="A54" s="18">
        <v>50</v>
      </c>
      <c r="B54">
        <v>54</v>
      </c>
      <c r="C54">
        <v>200</v>
      </c>
      <c r="D54">
        <v>54</v>
      </c>
      <c r="E54">
        <v>200</v>
      </c>
      <c r="F54">
        <v>54</v>
      </c>
      <c r="G54">
        <v>2112</v>
      </c>
      <c r="H54">
        <v>54</v>
      </c>
    </row>
    <row r="55" spans="1:8" x14ac:dyDescent="0.5">
      <c r="A55" s="18">
        <v>50</v>
      </c>
      <c r="B55">
        <v>55</v>
      </c>
      <c r="C55">
        <v>700</v>
      </c>
      <c r="D55">
        <v>55</v>
      </c>
      <c r="E55">
        <v>70</v>
      </c>
      <c r="F55">
        <v>55</v>
      </c>
      <c r="G55">
        <v>2700</v>
      </c>
      <c r="H55">
        <v>55</v>
      </c>
    </row>
    <row r="56" spans="1:8" x14ac:dyDescent="0.5">
      <c r="A56" s="18">
        <v>100</v>
      </c>
      <c r="B56">
        <v>56</v>
      </c>
      <c r="C56">
        <v>50</v>
      </c>
      <c r="D56">
        <v>56</v>
      </c>
      <c r="E56">
        <v>50</v>
      </c>
      <c r="F56">
        <v>56</v>
      </c>
      <c r="G56">
        <v>5000</v>
      </c>
      <c r="H56">
        <v>56</v>
      </c>
    </row>
    <row r="57" spans="1:8" x14ac:dyDescent="0.5">
      <c r="A57" s="18">
        <v>350</v>
      </c>
      <c r="B57">
        <v>57</v>
      </c>
      <c r="C57">
        <v>50</v>
      </c>
      <c r="D57">
        <v>57</v>
      </c>
      <c r="E57">
        <v>50</v>
      </c>
      <c r="F57">
        <v>57</v>
      </c>
      <c r="G57">
        <v>35</v>
      </c>
      <c r="H57">
        <v>57</v>
      </c>
    </row>
    <row r="58" spans="1:8" x14ac:dyDescent="0.5">
      <c r="C58">
        <v>200</v>
      </c>
      <c r="D58">
        <v>58</v>
      </c>
      <c r="E58">
        <v>200</v>
      </c>
      <c r="F58">
        <v>58</v>
      </c>
      <c r="G58">
        <v>10</v>
      </c>
      <c r="H58">
        <v>58</v>
      </c>
    </row>
    <row r="59" spans="1:8" x14ac:dyDescent="0.5">
      <c r="C59">
        <v>130</v>
      </c>
      <c r="D59">
        <v>59</v>
      </c>
      <c r="E59">
        <v>130</v>
      </c>
      <c r="F59">
        <v>59</v>
      </c>
      <c r="G59">
        <v>5</v>
      </c>
      <c r="H59">
        <v>59</v>
      </c>
    </row>
    <row r="60" spans="1:8" x14ac:dyDescent="0.5">
      <c r="C60">
        <v>130</v>
      </c>
      <c r="D60">
        <v>60</v>
      </c>
      <c r="E60">
        <v>130</v>
      </c>
      <c r="F60">
        <v>60</v>
      </c>
      <c r="G60">
        <v>145</v>
      </c>
      <c r="H60">
        <v>60</v>
      </c>
    </row>
    <row r="61" spans="1:8" x14ac:dyDescent="0.5">
      <c r="C61">
        <v>120</v>
      </c>
      <c r="D61">
        <v>61</v>
      </c>
      <c r="E61">
        <v>120</v>
      </c>
      <c r="F61">
        <v>61</v>
      </c>
      <c r="G61">
        <v>10</v>
      </c>
      <c r="H61">
        <v>61</v>
      </c>
    </row>
    <row r="62" spans="1:8" x14ac:dyDescent="0.5">
      <c r="C62">
        <v>4</v>
      </c>
      <c r="D62">
        <v>62</v>
      </c>
      <c r="E62">
        <v>4</v>
      </c>
      <c r="F62">
        <v>62</v>
      </c>
      <c r="G62">
        <v>15</v>
      </c>
      <c r="H62">
        <v>62</v>
      </c>
    </row>
    <row r="63" spans="1:8" x14ac:dyDescent="0.5">
      <c r="C63">
        <v>810</v>
      </c>
      <c r="D63">
        <v>63</v>
      </c>
      <c r="E63">
        <v>810</v>
      </c>
      <c r="F63">
        <v>63</v>
      </c>
      <c r="G63">
        <v>10</v>
      </c>
      <c r="H63">
        <v>63</v>
      </c>
    </row>
    <row r="64" spans="1:8" x14ac:dyDescent="0.5">
      <c r="C64">
        <v>100</v>
      </c>
      <c r="D64">
        <v>64</v>
      </c>
      <c r="E64">
        <v>100</v>
      </c>
      <c r="F64">
        <v>64</v>
      </c>
      <c r="G64">
        <v>195</v>
      </c>
      <c r="H64">
        <v>64</v>
      </c>
    </row>
    <row r="65" spans="3:8" x14ac:dyDescent="0.5">
      <c r="C65">
        <v>300</v>
      </c>
      <c r="D65">
        <v>65</v>
      </c>
      <c r="E65">
        <v>300</v>
      </c>
      <c r="F65">
        <v>65</v>
      </c>
      <c r="G65">
        <v>165</v>
      </c>
      <c r="H65">
        <v>65</v>
      </c>
    </row>
    <row r="66" spans="3:8" x14ac:dyDescent="0.5">
      <c r="C66">
        <v>600</v>
      </c>
      <c r="D66">
        <v>66</v>
      </c>
      <c r="E66">
        <v>600</v>
      </c>
      <c r="F66">
        <v>66</v>
      </c>
      <c r="G66">
        <v>115</v>
      </c>
      <c r="H66">
        <v>66</v>
      </c>
    </row>
    <row r="67" spans="3:8" x14ac:dyDescent="0.5">
      <c r="C67">
        <v>50</v>
      </c>
      <c r="D67">
        <v>67</v>
      </c>
      <c r="E67">
        <v>50</v>
      </c>
      <c r="F67">
        <v>67</v>
      </c>
      <c r="G67">
        <v>10</v>
      </c>
      <c r="H67">
        <v>67</v>
      </c>
    </row>
    <row r="68" spans="3:8" x14ac:dyDescent="0.5">
      <c r="C68">
        <v>1200</v>
      </c>
      <c r="D68">
        <v>68</v>
      </c>
      <c r="E68">
        <v>1200</v>
      </c>
      <c r="F68">
        <v>68</v>
      </c>
      <c r="G68">
        <v>125</v>
      </c>
      <c r="H68">
        <v>68</v>
      </c>
    </row>
    <row r="69" spans="3:8" x14ac:dyDescent="0.5">
      <c r="C69">
        <v>250</v>
      </c>
      <c r="D69">
        <v>69</v>
      </c>
      <c r="E69">
        <v>250</v>
      </c>
      <c r="F69">
        <v>69</v>
      </c>
      <c r="G69">
        <v>150</v>
      </c>
      <c r="H69">
        <v>69</v>
      </c>
    </row>
    <row r="70" spans="3:8" x14ac:dyDescent="0.5">
      <c r="C70">
        <v>20</v>
      </c>
      <c r="D70">
        <v>70</v>
      </c>
      <c r="E70">
        <v>20</v>
      </c>
      <c r="F70">
        <v>70</v>
      </c>
      <c r="G70">
        <v>1</v>
      </c>
      <c r="H70">
        <v>70</v>
      </c>
    </row>
    <row r="71" spans="3:8" x14ac:dyDescent="0.5">
      <c r="C71">
        <v>70</v>
      </c>
      <c r="D71">
        <v>71</v>
      </c>
      <c r="E71">
        <v>70</v>
      </c>
      <c r="F71">
        <v>71</v>
      </c>
      <c r="G71">
        <v>6</v>
      </c>
      <c r="H71">
        <v>71</v>
      </c>
    </row>
    <row r="72" spans="3:8" x14ac:dyDescent="0.5">
      <c r="C72">
        <v>100</v>
      </c>
      <c r="D72">
        <v>72</v>
      </c>
      <c r="E72">
        <v>100</v>
      </c>
      <c r="F72">
        <v>72</v>
      </c>
      <c r="G72">
        <v>4000</v>
      </c>
      <c r="H72">
        <v>72</v>
      </c>
    </row>
    <row r="73" spans="3:8" x14ac:dyDescent="0.5">
      <c r="C73">
        <v>10</v>
      </c>
      <c r="D73">
        <v>73</v>
      </c>
      <c r="E73">
        <v>10</v>
      </c>
      <c r="F73">
        <v>73</v>
      </c>
      <c r="G73">
        <v>94500</v>
      </c>
      <c r="H73">
        <v>73</v>
      </c>
    </row>
    <row r="74" spans="3:8" x14ac:dyDescent="0.5">
      <c r="C74">
        <v>2200</v>
      </c>
      <c r="D74">
        <v>74</v>
      </c>
      <c r="E74">
        <v>2200</v>
      </c>
      <c r="F74">
        <v>74</v>
      </c>
      <c r="G74">
        <v>20</v>
      </c>
      <c r="H74">
        <v>74</v>
      </c>
    </row>
    <row r="75" spans="3:8" x14ac:dyDescent="0.5">
      <c r="C75">
        <v>200</v>
      </c>
      <c r="D75">
        <v>75</v>
      </c>
      <c r="E75">
        <v>200</v>
      </c>
      <c r="F75">
        <v>75</v>
      </c>
      <c r="G75">
        <v>300</v>
      </c>
      <c r="H75">
        <v>75</v>
      </c>
    </row>
    <row r="76" spans="3:8" x14ac:dyDescent="0.5">
      <c r="C76">
        <v>200</v>
      </c>
      <c r="D76">
        <v>76</v>
      </c>
      <c r="E76">
        <v>200</v>
      </c>
      <c r="F76">
        <v>76</v>
      </c>
      <c r="G76">
        <v>940</v>
      </c>
      <c r="H76">
        <v>76</v>
      </c>
    </row>
    <row r="77" spans="3:8" x14ac:dyDescent="0.5">
      <c r="C77">
        <v>20</v>
      </c>
      <c r="D77">
        <v>77</v>
      </c>
      <c r="E77">
        <v>20</v>
      </c>
      <c r="F77">
        <v>77</v>
      </c>
      <c r="G77">
        <v>500</v>
      </c>
      <c r="H77">
        <v>77</v>
      </c>
    </row>
    <row r="78" spans="3:8" x14ac:dyDescent="0.5">
      <c r="C78">
        <v>40</v>
      </c>
      <c r="D78">
        <v>78</v>
      </c>
      <c r="E78">
        <v>40</v>
      </c>
      <c r="F78">
        <v>78</v>
      </c>
      <c r="G78">
        <v>4</v>
      </c>
      <c r="H78">
        <v>78</v>
      </c>
    </row>
    <row r="79" spans="3:8" x14ac:dyDescent="0.5">
      <c r="C79">
        <v>8500</v>
      </c>
      <c r="D79">
        <v>79</v>
      </c>
      <c r="E79">
        <v>8500</v>
      </c>
      <c r="F79">
        <v>79</v>
      </c>
    </row>
    <row r="80" spans="3:8" x14ac:dyDescent="0.5">
      <c r="C80">
        <v>200</v>
      </c>
      <c r="D80">
        <v>80</v>
      </c>
      <c r="E80">
        <v>200</v>
      </c>
      <c r="F80">
        <v>80</v>
      </c>
    </row>
    <row r="81" spans="3:6" x14ac:dyDescent="0.5">
      <c r="C81">
        <v>1200</v>
      </c>
      <c r="D81">
        <v>81</v>
      </c>
      <c r="E81">
        <v>1200</v>
      </c>
      <c r="F81">
        <v>81</v>
      </c>
    </row>
    <row r="82" spans="3:6" x14ac:dyDescent="0.5">
      <c r="C82">
        <v>100</v>
      </c>
      <c r="D82">
        <v>82</v>
      </c>
      <c r="E82">
        <v>100</v>
      </c>
      <c r="F82">
        <v>82</v>
      </c>
    </row>
    <row r="83" spans="3:6" x14ac:dyDescent="0.5">
      <c r="C83">
        <v>65</v>
      </c>
      <c r="D83">
        <v>83</v>
      </c>
      <c r="E83">
        <v>65</v>
      </c>
      <c r="F83">
        <v>83</v>
      </c>
    </row>
    <row r="84" spans="3:6" x14ac:dyDescent="0.5">
      <c r="C84">
        <v>30</v>
      </c>
      <c r="D84">
        <v>84</v>
      </c>
      <c r="E84">
        <v>30</v>
      </c>
      <c r="F84">
        <v>84</v>
      </c>
    </row>
    <row r="85" spans="3:6" x14ac:dyDescent="0.5">
      <c r="C85">
        <v>10</v>
      </c>
      <c r="D85">
        <v>85</v>
      </c>
      <c r="E85">
        <v>10</v>
      </c>
      <c r="F85">
        <v>85</v>
      </c>
    </row>
    <row r="86" spans="3:6" x14ac:dyDescent="0.5">
      <c r="C86">
        <v>1000</v>
      </c>
      <c r="D86">
        <v>86</v>
      </c>
      <c r="E86">
        <v>1000</v>
      </c>
      <c r="F86">
        <v>86</v>
      </c>
    </row>
    <row r="87" spans="3:6" x14ac:dyDescent="0.5">
      <c r="C87">
        <v>4000</v>
      </c>
      <c r="D87">
        <v>87</v>
      </c>
      <c r="E87">
        <v>4000</v>
      </c>
      <c r="F87">
        <v>87</v>
      </c>
    </row>
    <row r="88" spans="3:6" x14ac:dyDescent="0.5">
      <c r="C88">
        <v>700</v>
      </c>
      <c r="D88">
        <v>88</v>
      </c>
      <c r="E88">
        <v>700</v>
      </c>
      <c r="F88">
        <v>88</v>
      </c>
    </row>
    <row r="89" spans="3:6" x14ac:dyDescent="0.5">
      <c r="C89">
        <v>84</v>
      </c>
      <c r="D89">
        <v>89</v>
      </c>
      <c r="E89">
        <v>84</v>
      </c>
      <c r="F89">
        <v>89</v>
      </c>
    </row>
    <row r="90" spans="3:6" x14ac:dyDescent="0.5">
      <c r="C90">
        <v>200000</v>
      </c>
      <c r="D90">
        <v>90</v>
      </c>
      <c r="E90">
        <v>200000</v>
      </c>
      <c r="F90">
        <v>90</v>
      </c>
    </row>
    <row r="91" spans="3:6" x14ac:dyDescent="0.5">
      <c r="C91">
        <v>27000</v>
      </c>
      <c r="D91">
        <v>91</v>
      </c>
      <c r="E91">
        <v>27000</v>
      </c>
      <c r="F91">
        <v>91</v>
      </c>
    </row>
    <row r="92" spans="3:6" x14ac:dyDescent="0.5">
      <c r="C92">
        <v>20</v>
      </c>
      <c r="D92">
        <v>92</v>
      </c>
      <c r="E92">
        <v>20</v>
      </c>
      <c r="F92">
        <v>92</v>
      </c>
    </row>
    <row r="93" spans="3:6" x14ac:dyDescent="0.5">
      <c r="C93">
        <v>12000</v>
      </c>
      <c r="D93">
        <v>93</v>
      </c>
      <c r="E93">
        <v>12000</v>
      </c>
      <c r="F93">
        <v>93</v>
      </c>
    </row>
    <row r="94" spans="3:6" x14ac:dyDescent="0.5">
      <c r="C94">
        <v>13500</v>
      </c>
      <c r="D94">
        <v>94</v>
      </c>
      <c r="E94">
        <v>13500</v>
      </c>
      <c r="F94">
        <v>94</v>
      </c>
    </row>
    <row r="95" spans="3:6" x14ac:dyDescent="0.5">
      <c r="C95">
        <v>2000</v>
      </c>
      <c r="D95">
        <v>95</v>
      </c>
      <c r="E95">
        <v>2000</v>
      </c>
      <c r="F95">
        <v>95</v>
      </c>
    </row>
    <row r="96" spans="3:6" x14ac:dyDescent="0.5">
      <c r="C96">
        <v>18</v>
      </c>
      <c r="D96">
        <v>96</v>
      </c>
      <c r="E96">
        <v>18</v>
      </c>
      <c r="F96">
        <v>96</v>
      </c>
    </row>
    <row r="97" spans="3:6" x14ac:dyDescent="0.5">
      <c r="C97">
        <v>40</v>
      </c>
      <c r="D97">
        <v>97</v>
      </c>
      <c r="E97">
        <v>40</v>
      </c>
      <c r="F97">
        <v>97</v>
      </c>
    </row>
    <row r="98" spans="3:6" x14ac:dyDescent="0.5">
      <c r="C98">
        <v>40</v>
      </c>
      <c r="D98">
        <v>98</v>
      </c>
      <c r="E98">
        <v>40</v>
      </c>
      <c r="F98">
        <v>98</v>
      </c>
    </row>
    <row r="99" spans="3:6" x14ac:dyDescent="0.5">
      <c r="C99">
        <v>22</v>
      </c>
      <c r="D99">
        <v>99</v>
      </c>
      <c r="E99">
        <v>22</v>
      </c>
      <c r="F99">
        <v>99</v>
      </c>
    </row>
    <row r="100" spans="3:6" x14ac:dyDescent="0.5">
      <c r="C100">
        <v>250</v>
      </c>
      <c r="D100">
        <v>100</v>
      </c>
      <c r="E100">
        <v>250</v>
      </c>
      <c r="F100">
        <v>100</v>
      </c>
    </row>
    <row r="101" spans="3:6" x14ac:dyDescent="0.5">
      <c r="C101">
        <v>140</v>
      </c>
      <c r="D101">
        <v>101</v>
      </c>
      <c r="E101">
        <v>140</v>
      </c>
      <c r="F101">
        <v>101</v>
      </c>
    </row>
    <row r="102" spans="3:6" x14ac:dyDescent="0.5">
      <c r="C102">
        <v>45</v>
      </c>
      <c r="D102">
        <v>102</v>
      </c>
      <c r="E102">
        <v>45</v>
      </c>
      <c r="F102">
        <v>102</v>
      </c>
    </row>
    <row r="103" spans="3:6" x14ac:dyDescent="0.5">
      <c r="C103">
        <v>386</v>
      </c>
      <c r="D103">
        <v>103</v>
      </c>
      <c r="E103">
        <v>386</v>
      </c>
      <c r="F103">
        <v>103</v>
      </c>
    </row>
    <row r="104" spans="3:6" x14ac:dyDescent="0.5">
      <c r="C104">
        <v>10</v>
      </c>
      <c r="D104">
        <v>104</v>
      </c>
      <c r="E104">
        <v>10</v>
      </c>
      <c r="F104">
        <v>104</v>
      </c>
    </row>
    <row r="105" spans="3:6" x14ac:dyDescent="0.5">
      <c r="C105">
        <v>12</v>
      </c>
      <c r="D105">
        <v>105</v>
      </c>
      <c r="E105">
        <v>12</v>
      </c>
      <c r="F105">
        <v>105</v>
      </c>
    </row>
    <row r="106" spans="3:6" x14ac:dyDescent="0.5">
      <c r="C106">
        <v>90</v>
      </c>
      <c r="D106">
        <v>106</v>
      </c>
      <c r="E106">
        <v>90</v>
      </c>
      <c r="F106">
        <v>106</v>
      </c>
    </row>
    <row r="107" spans="3:6" x14ac:dyDescent="0.5">
      <c r="C107">
        <v>50</v>
      </c>
      <c r="D107">
        <v>107</v>
      </c>
      <c r="E107">
        <v>50</v>
      </c>
      <c r="F107">
        <v>107</v>
      </c>
    </row>
    <row r="108" spans="3:6" x14ac:dyDescent="0.5">
      <c r="C108">
        <v>198</v>
      </c>
      <c r="D108">
        <v>108</v>
      </c>
      <c r="E108">
        <v>198</v>
      </c>
      <c r="F108">
        <v>108</v>
      </c>
    </row>
    <row r="109" spans="3:6" x14ac:dyDescent="0.5">
      <c r="C109">
        <v>150</v>
      </c>
      <c r="D109">
        <v>109</v>
      </c>
      <c r="E109">
        <v>150</v>
      </c>
      <c r="F109">
        <v>109</v>
      </c>
    </row>
    <row r="110" spans="3:6" x14ac:dyDescent="0.5">
      <c r="C110">
        <v>70</v>
      </c>
      <c r="D110">
        <v>110</v>
      </c>
      <c r="E110">
        <v>70</v>
      </c>
      <c r="F110">
        <v>110</v>
      </c>
    </row>
    <row r="111" spans="3:6" x14ac:dyDescent="0.5">
      <c r="C111">
        <v>100</v>
      </c>
      <c r="D111">
        <v>111</v>
      </c>
      <c r="E111">
        <v>100</v>
      </c>
      <c r="F111">
        <v>111</v>
      </c>
    </row>
    <row r="112" spans="3:6" x14ac:dyDescent="0.5">
      <c r="C112">
        <v>4200</v>
      </c>
      <c r="D112">
        <v>112</v>
      </c>
      <c r="E112">
        <v>4200</v>
      </c>
      <c r="F112">
        <v>112</v>
      </c>
    </row>
    <row r="113" spans="3:6" x14ac:dyDescent="0.5">
      <c r="C113">
        <v>30</v>
      </c>
      <c r="D113">
        <v>113</v>
      </c>
      <c r="E113">
        <v>30</v>
      </c>
      <c r="F113">
        <v>113</v>
      </c>
    </row>
    <row r="114" spans="3:6" x14ac:dyDescent="0.5">
      <c r="C114">
        <v>2240</v>
      </c>
      <c r="D114">
        <v>114</v>
      </c>
      <c r="E114">
        <v>2240</v>
      </c>
      <c r="F114">
        <v>114</v>
      </c>
    </row>
    <row r="115" spans="3:6" x14ac:dyDescent="0.5">
      <c r="C115">
        <v>70</v>
      </c>
      <c r="D115">
        <v>115</v>
      </c>
      <c r="E115">
        <v>70</v>
      </c>
      <c r="F115">
        <v>115</v>
      </c>
    </row>
    <row r="116" spans="3:6" x14ac:dyDescent="0.5">
      <c r="C116">
        <v>100</v>
      </c>
      <c r="D116">
        <v>116</v>
      </c>
      <c r="E116">
        <v>100</v>
      </c>
      <c r="F116">
        <v>116</v>
      </c>
    </row>
    <row r="117" spans="3:6" x14ac:dyDescent="0.5">
      <c r="C117">
        <v>100</v>
      </c>
      <c r="D117">
        <v>117</v>
      </c>
      <c r="E117">
        <v>100</v>
      </c>
      <c r="F117">
        <v>117</v>
      </c>
    </row>
    <row r="118" spans="3:6" x14ac:dyDescent="0.5">
      <c r="C118">
        <v>150</v>
      </c>
      <c r="D118">
        <v>118</v>
      </c>
      <c r="E118">
        <v>150</v>
      </c>
      <c r="F118">
        <v>118</v>
      </c>
    </row>
    <row r="119" spans="3:6" x14ac:dyDescent="0.5">
      <c r="C119">
        <v>1</v>
      </c>
      <c r="D119">
        <v>119</v>
      </c>
      <c r="E119">
        <v>1</v>
      </c>
      <c r="F119">
        <v>119</v>
      </c>
    </row>
    <row r="120" spans="3:6" x14ac:dyDescent="0.5">
      <c r="C120">
        <v>50</v>
      </c>
      <c r="D120">
        <v>120</v>
      </c>
      <c r="E120">
        <v>50</v>
      </c>
      <c r="F120">
        <v>120</v>
      </c>
    </row>
    <row r="121" spans="3:6" x14ac:dyDescent="0.5">
      <c r="C121">
        <v>6</v>
      </c>
      <c r="D121">
        <v>121</v>
      </c>
      <c r="E121">
        <v>6</v>
      </c>
      <c r="F121">
        <v>121</v>
      </c>
    </row>
    <row r="122" spans="3:6" x14ac:dyDescent="0.5">
      <c r="C122">
        <v>50</v>
      </c>
      <c r="D122">
        <v>122</v>
      </c>
      <c r="E122">
        <v>50</v>
      </c>
      <c r="F122">
        <v>122</v>
      </c>
    </row>
    <row r="123" spans="3:6" x14ac:dyDescent="0.5">
      <c r="C123">
        <v>100</v>
      </c>
      <c r="D123">
        <v>123</v>
      </c>
      <c r="E123">
        <v>100</v>
      </c>
      <c r="F123">
        <v>123</v>
      </c>
    </row>
    <row r="124" spans="3:6" x14ac:dyDescent="0.5">
      <c r="C124">
        <v>20</v>
      </c>
      <c r="D124">
        <v>124</v>
      </c>
      <c r="E124">
        <v>20</v>
      </c>
      <c r="F124">
        <v>124</v>
      </c>
    </row>
    <row r="125" spans="3:6" x14ac:dyDescent="0.5">
      <c r="C125">
        <v>20</v>
      </c>
      <c r="D125">
        <v>125</v>
      </c>
      <c r="E125">
        <v>20</v>
      </c>
      <c r="F125">
        <v>125</v>
      </c>
    </row>
    <row r="126" spans="3:6" x14ac:dyDescent="0.5">
      <c r="C126">
        <v>80</v>
      </c>
      <c r="D126">
        <v>126</v>
      </c>
      <c r="E126">
        <v>80</v>
      </c>
      <c r="F126">
        <v>126</v>
      </c>
    </row>
    <row r="127" spans="3:6" x14ac:dyDescent="0.5">
      <c r="C127">
        <v>30</v>
      </c>
      <c r="D127">
        <v>127</v>
      </c>
      <c r="E127">
        <v>30</v>
      </c>
      <c r="F127">
        <v>127</v>
      </c>
    </row>
    <row r="128" spans="3:6" x14ac:dyDescent="0.5">
      <c r="C128">
        <v>30</v>
      </c>
      <c r="D128">
        <v>128</v>
      </c>
      <c r="E128">
        <v>30</v>
      </c>
      <c r="F128">
        <v>128</v>
      </c>
    </row>
    <row r="129" spans="3:6" x14ac:dyDescent="0.5">
      <c r="C129">
        <v>10</v>
      </c>
      <c r="D129">
        <v>129</v>
      </c>
      <c r="E129">
        <v>10</v>
      </c>
      <c r="F129">
        <v>129</v>
      </c>
    </row>
    <row r="130" spans="3:6" x14ac:dyDescent="0.5">
      <c r="C130">
        <v>100</v>
      </c>
      <c r="D130">
        <v>130</v>
      </c>
      <c r="E130">
        <v>100</v>
      </c>
      <c r="F130">
        <v>130</v>
      </c>
    </row>
    <row r="131" spans="3:6" x14ac:dyDescent="0.5">
      <c r="C131">
        <v>40</v>
      </c>
      <c r="D131">
        <v>131</v>
      </c>
      <c r="E131">
        <v>40</v>
      </c>
      <c r="F131">
        <v>131</v>
      </c>
    </row>
    <row r="132" spans="3:6" x14ac:dyDescent="0.5">
      <c r="C132">
        <v>50</v>
      </c>
      <c r="D132">
        <v>132</v>
      </c>
      <c r="E132">
        <v>50</v>
      </c>
      <c r="F132">
        <v>132</v>
      </c>
    </row>
    <row r="133" spans="3:6" x14ac:dyDescent="0.5">
      <c r="C133">
        <v>116</v>
      </c>
      <c r="D133">
        <v>133</v>
      </c>
      <c r="E133">
        <v>116</v>
      </c>
      <c r="F133">
        <v>133</v>
      </c>
    </row>
    <row r="134" spans="3:6" x14ac:dyDescent="0.5">
      <c r="C134">
        <v>270</v>
      </c>
      <c r="D134">
        <v>134</v>
      </c>
      <c r="E134">
        <v>270</v>
      </c>
      <c r="F134">
        <v>134</v>
      </c>
    </row>
    <row r="135" spans="3:6" x14ac:dyDescent="0.5">
      <c r="C135">
        <v>29000</v>
      </c>
      <c r="D135">
        <v>135</v>
      </c>
      <c r="E135">
        <v>29000</v>
      </c>
      <c r="F135">
        <v>135</v>
      </c>
    </row>
    <row r="136" spans="3:6" x14ac:dyDescent="0.5">
      <c r="C136">
        <v>20</v>
      </c>
      <c r="D136">
        <v>136</v>
      </c>
      <c r="E136">
        <v>20</v>
      </c>
      <c r="F136">
        <v>136</v>
      </c>
    </row>
    <row r="137" spans="3:6" x14ac:dyDescent="0.5">
      <c r="C137">
        <v>100</v>
      </c>
      <c r="D137">
        <v>137</v>
      </c>
      <c r="E137">
        <v>100</v>
      </c>
      <c r="F137">
        <v>137</v>
      </c>
    </row>
    <row r="138" spans="3:6" x14ac:dyDescent="0.5">
      <c r="C138">
        <v>1200</v>
      </c>
      <c r="D138">
        <v>138</v>
      </c>
      <c r="E138">
        <v>1200</v>
      </c>
      <c r="F138">
        <v>138</v>
      </c>
    </row>
    <row r="139" spans="3:6" x14ac:dyDescent="0.5">
      <c r="C139">
        <v>200</v>
      </c>
      <c r="D139">
        <v>139</v>
      </c>
      <c r="E139">
        <v>200</v>
      </c>
      <c r="F139">
        <v>139</v>
      </c>
    </row>
    <row r="140" spans="3:6" x14ac:dyDescent="0.5">
      <c r="C140">
        <v>220</v>
      </c>
      <c r="D140">
        <v>140</v>
      </c>
      <c r="E140">
        <v>220</v>
      </c>
      <c r="F140">
        <v>140</v>
      </c>
    </row>
    <row r="141" spans="3:6" x14ac:dyDescent="0.5">
      <c r="C141">
        <v>65</v>
      </c>
      <c r="D141">
        <v>141</v>
      </c>
      <c r="E141">
        <v>65</v>
      </c>
      <c r="F141">
        <v>141</v>
      </c>
    </row>
    <row r="142" spans="3:6" x14ac:dyDescent="0.5">
      <c r="C142">
        <v>680</v>
      </c>
      <c r="D142">
        <v>142</v>
      </c>
      <c r="E142">
        <v>680</v>
      </c>
      <c r="F142">
        <v>142</v>
      </c>
    </row>
    <row r="143" spans="3:6" x14ac:dyDescent="0.5">
      <c r="C143">
        <v>640</v>
      </c>
      <c r="D143">
        <v>143</v>
      </c>
      <c r="E143">
        <v>640</v>
      </c>
      <c r="F143">
        <v>143</v>
      </c>
    </row>
    <row r="144" spans="3:6" x14ac:dyDescent="0.5">
      <c r="C144">
        <v>74</v>
      </c>
      <c r="D144">
        <v>144</v>
      </c>
      <c r="E144">
        <v>74</v>
      </c>
      <c r="F144">
        <v>144</v>
      </c>
    </row>
    <row r="145" spans="3:6" x14ac:dyDescent="0.5">
      <c r="C145">
        <v>2</v>
      </c>
      <c r="D145">
        <v>145</v>
      </c>
      <c r="E145">
        <v>2</v>
      </c>
      <c r="F145">
        <v>145</v>
      </c>
    </row>
    <row r="146" spans="3:6" x14ac:dyDescent="0.5">
      <c r="C146">
        <v>5</v>
      </c>
      <c r="D146">
        <v>146</v>
      </c>
      <c r="E146">
        <v>5</v>
      </c>
      <c r="F146">
        <v>146</v>
      </c>
    </row>
    <row r="147" spans="3:6" x14ac:dyDescent="0.5">
      <c r="C147">
        <v>20</v>
      </c>
      <c r="D147">
        <v>147</v>
      </c>
      <c r="E147">
        <v>20</v>
      </c>
      <c r="F147">
        <v>147</v>
      </c>
    </row>
    <row r="148" spans="3:6" x14ac:dyDescent="0.5">
      <c r="C148">
        <v>80</v>
      </c>
      <c r="D148">
        <v>148</v>
      </c>
      <c r="E148">
        <v>80</v>
      </c>
      <c r="F148">
        <v>148</v>
      </c>
    </row>
    <row r="149" spans="3:6" x14ac:dyDescent="0.5">
      <c r="C149">
        <v>20</v>
      </c>
      <c r="D149">
        <v>149</v>
      </c>
      <c r="E149">
        <v>20</v>
      </c>
      <c r="F149">
        <v>149</v>
      </c>
    </row>
    <row r="150" spans="3:6" x14ac:dyDescent="0.5">
      <c r="C150">
        <v>50</v>
      </c>
      <c r="D150">
        <v>150</v>
      </c>
      <c r="E150">
        <v>50</v>
      </c>
      <c r="F150">
        <v>150</v>
      </c>
    </row>
    <row r="151" spans="3:6" x14ac:dyDescent="0.5">
      <c r="C151">
        <v>1450</v>
      </c>
      <c r="D151">
        <v>151</v>
      </c>
      <c r="E151">
        <v>1450</v>
      </c>
      <c r="F151">
        <v>151</v>
      </c>
    </row>
    <row r="152" spans="3:6" x14ac:dyDescent="0.5">
      <c r="C152">
        <v>140</v>
      </c>
      <c r="D152">
        <v>152</v>
      </c>
      <c r="E152">
        <v>20</v>
      </c>
      <c r="F152">
        <v>152</v>
      </c>
    </row>
    <row r="153" spans="3:6" x14ac:dyDescent="0.5">
      <c r="C153">
        <v>1700</v>
      </c>
      <c r="D153">
        <v>153</v>
      </c>
      <c r="E153">
        <v>140</v>
      </c>
      <c r="F153">
        <v>153</v>
      </c>
    </row>
    <row r="154" spans="3:6" x14ac:dyDescent="0.5">
      <c r="C154">
        <v>3000</v>
      </c>
      <c r="D154">
        <v>154</v>
      </c>
      <c r="E154">
        <v>1700</v>
      </c>
      <c r="F154">
        <v>154</v>
      </c>
    </row>
    <row r="155" spans="3:6" x14ac:dyDescent="0.5">
      <c r="C155">
        <v>150</v>
      </c>
      <c r="D155">
        <v>155</v>
      </c>
      <c r="E155">
        <v>3000</v>
      </c>
      <c r="F155">
        <v>155</v>
      </c>
    </row>
    <row r="156" spans="3:6" x14ac:dyDescent="0.5">
      <c r="C156">
        <v>200</v>
      </c>
      <c r="D156">
        <v>156</v>
      </c>
      <c r="E156">
        <v>150</v>
      </c>
      <c r="F156">
        <v>156</v>
      </c>
    </row>
    <row r="157" spans="3:6" x14ac:dyDescent="0.5">
      <c r="C157">
        <v>30</v>
      </c>
      <c r="D157">
        <v>157</v>
      </c>
      <c r="E157">
        <v>200</v>
      </c>
      <c r="F157">
        <v>157</v>
      </c>
    </row>
    <row r="158" spans="3:6" x14ac:dyDescent="0.5">
      <c r="C158">
        <v>20</v>
      </c>
      <c r="D158">
        <v>158</v>
      </c>
      <c r="E158">
        <v>30</v>
      </c>
      <c r="F158">
        <v>158</v>
      </c>
    </row>
    <row r="159" spans="3:6" x14ac:dyDescent="0.5">
      <c r="C159">
        <v>620</v>
      </c>
      <c r="D159">
        <v>159</v>
      </c>
      <c r="E159">
        <v>20</v>
      </c>
      <c r="F159">
        <v>159</v>
      </c>
    </row>
    <row r="160" spans="3:6" x14ac:dyDescent="0.5">
      <c r="C160">
        <v>30</v>
      </c>
      <c r="D160">
        <v>160</v>
      </c>
      <c r="E160">
        <v>620</v>
      </c>
      <c r="F160">
        <v>160</v>
      </c>
    </row>
    <row r="161" spans="3:6" x14ac:dyDescent="0.5">
      <c r="C161">
        <v>50</v>
      </c>
      <c r="D161">
        <v>161</v>
      </c>
      <c r="E161">
        <v>30</v>
      </c>
      <c r="F161">
        <v>161</v>
      </c>
    </row>
    <row r="162" spans="3:6" x14ac:dyDescent="0.5">
      <c r="C162">
        <v>40</v>
      </c>
      <c r="D162">
        <v>162</v>
      </c>
      <c r="E162">
        <v>50</v>
      </c>
      <c r="F162">
        <v>162</v>
      </c>
    </row>
    <row r="163" spans="3:6" x14ac:dyDescent="0.5">
      <c r="C163">
        <v>200</v>
      </c>
      <c r="D163">
        <v>163</v>
      </c>
      <c r="E163">
        <v>40</v>
      </c>
      <c r="F163">
        <v>163</v>
      </c>
    </row>
    <row r="164" spans="3:6" x14ac:dyDescent="0.5">
      <c r="C164">
        <v>20</v>
      </c>
      <c r="D164">
        <v>164</v>
      </c>
      <c r="E164">
        <v>200</v>
      </c>
      <c r="F164">
        <v>164</v>
      </c>
    </row>
    <row r="165" spans="3:6" x14ac:dyDescent="0.5">
      <c r="C165">
        <v>70</v>
      </c>
      <c r="D165">
        <v>165</v>
      </c>
      <c r="E165">
        <v>20</v>
      </c>
      <c r="F165">
        <v>165</v>
      </c>
    </row>
    <row r="166" spans="3:6" x14ac:dyDescent="0.5">
      <c r="C166">
        <v>60</v>
      </c>
      <c r="D166">
        <v>166</v>
      </c>
      <c r="E166">
        <v>70</v>
      </c>
      <c r="F166">
        <v>166</v>
      </c>
    </row>
    <row r="167" spans="3:6" x14ac:dyDescent="0.5">
      <c r="C167">
        <v>70</v>
      </c>
      <c r="D167">
        <v>167</v>
      </c>
      <c r="E167">
        <v>60</v>
      </c>
      <c r="F167">
        <v>167</v>
      </c>
    </row>
    <row r="168" spans="3:6" x14ac:dyDescent="0.5">
      <c r="C168">
        <v>35</v>
      </c>
      <c r="D168">
        <v>168</v>
      </c>
      <c r="E168">
        <v>70</v>
      </c>
      <c r="F168">
        <v>168</v>
      </c>
    </row>
    <row r="169" spans="3:6" x14ac:dyDescent="0.5">
      <c r="C169">
        <v>2500</v>
      </c>
      <c r="D169">
        <v>169</v>
      </c>
      <c r="E169">
        <v>35</v>
      </c>
      <c r="F169">
        <v>169</v>
      </c>
    </row>
    <row r="170" spans="3:6" x14ac:dyDescent="0.5">
      <c r="C170">
        <v>60</v>
      </c>
      <c r="D170">
        <v>170</v>
      </c>
      <c r="E170">
        <v>2500</v>
      </c>
      <c r="F170">
        <v>170</v>
      </c>
    </row>
    <row r="171" spans="3:6" x14ac:dyDescent="0.5">
      <c r="C171">
        <v>5700</v>
      </c>
      <c r="D171">
        <v>171</v>
      </c>
      <c r="E171">
        <v>60</v>
      </c>
      <c r="F171">
        <v>171</v>
      </c>
    </row>
    <row r="172" spans="3:6" x14ac:dyDescent="0.5">
      <c r="C172">
        <v>200</v>
      </c>
      <c r="D172">
        <v>172</v>
      </c>
      <c r="E172">
        <v>5700</v>
      </c>
      <c r="F172">
        <v>172</v>
      </c>
    </row>
    <row r="173" spans="3:6" x14ac:dyDescent="0.5">
      <c r="C173">
        <v>4500</v>
      </c>
      <c r="D173">
        <v>173</v>
      </c>
      <c r="E173">
        <v>200</v>
      </c>
      <c r="F173">
        <v>173</v>
      </c>
    </row>
    <row r="174" spans="3:6" x14ac:dyDescent="0.5">
      <c r="C174">
        <v>480</v>
      </c>
      <c r="D174">
        <v>174</v>
      </c>
      <c r="E174">
        <v>4500</v>
      </c>
      <c r="F174">
        <v>174</v>
      </c>
    </row>
    <row r="175" spans="3:6" x14ac:dyDescent="0.5">
      <c r="C175">
        <v>100</v>
      </c>
      <c r="D175">
        <v>175</v>
      </c>
      <c r="E175">
        <v>480</v>
      </c>
      <c r="F175">
        <v>175</v>
      </c>
    </row>
    <row r="176" spans="3:6" x14ac:dyDescent="0.5">
      <c r="C176">
        <v>18000</v>
      </c>
      <c r="D176">
        <v>176</v>
      </c>
      <c r="E176">
        <v>100</v>
      </c>
      <c r="F176">
        <v>176</v>
      </c>
    </row>
    <row r="177" spans="3:6" x14ac:dyDescent="0.5">
      <c r="C177">
        <v>5000</v>
      </c>
      <c r="D177">
        <v>177</v>
      </c>
      <c r="E177">
        <v>18000</v>
      </c>
      <c r="F177">
        <v>177</v>
      </c>
    </row>
    <row r="178" spans="3:6" x14ac:dyDescent="0.5">
      <c r="C178">
        <v>7000</v>
      </c>
      <c r="D178">
        <v>178</v>
      </c>
      <c r="E178">
        <v>5000</v>
      </c>
      <c r="F178">
        <v>178</v>
      </c>
    </row>
    <row r="179" spans="3:6" x14ac:dyDescent="0.5">
      <c r="C179">
        <v>5</v>
      </c>
      <c r="D179">
        <v>179</v>
      </c>
      <c r="E179">
        <v>7000</v>
      </c>
      <c r="F179">
        <v>179</v>
      </c>
    </row>
    <row r="180" spans="3:6" x14ac:dyDescent="0.5">
      <c r="C180">
        <v>60</v>
      </c>
      <c r="D180">
        <v>180</v>
      </c>
      <c r="E180">
        <v>5</v>
      </c>
      <c r="F180">
        <v>180</v>
      </c>
    </row>
    <row r="181" spans="3:6" x14ac:dyDescent="0.5">
      <c r="C181">
        <v>45</v>
      </c>
      <c r="D181">
        <v>181</v>
      </c>
      <c r="E181">
        <v>60</v>
      </c>
      <c r="F181">
        <v>181</v>
      </c>
    </row>
    <row r="182" spans="3:6" x14ac:dyDescent="0.5">
      <c r="C182">
        <v>20</v>
      </c>
      <c r="D182">
        <v>182</v>
      </c>
      <c r="E182">
        <v>45</v>
      </c>
      <c r="F182">
        <v>182</v>
      </c>
    </row>
    <row r="183" spans="3:6" x14ac:dyDescent="0.5">
      <c r="C183">
        <v>200</v>
      </c>
      <c r="D183">
        <v>183</v>
      </c>
      <c r="E183">
        <v>20</v>
      </c>
      <c r="F183">
        <v>183</v>
      </c>
    </row>
    <row r="184" spans="3:6" x14ac:dyDescent="0.5">
      <c r="C184">
        <v>170</v>
      </c>
      <c r="D184">
        <v>184</v>
      </c>
      <c r="E184">
        <v>200</v>
      </c>
      <c r="F184">
        <v>184</v>
      </c>
    </row>
    <row r="185" spans="3:6" x14ac:dyDescent="0.5">
      <c r="C185">
        <v>150</v>
      </c>
      <c r="D185">
        <v>185</v>
      </c>
      <c r="E185">
        <v>170</v>
      </c>
      <c r="F185">
        <v>185</v>
      </c>
    </row>
    <row r="186" spans="3:6" x14ac:dyDescent="0.5">
      <c r="C186">
        <v>270</v>
      </c>
      <c r="D186">
        <v>186</v>
      </c>
      <c r="E186">
        <v>150</v>
      </c>
      <c r="F186">
        <v>186</v>
      </c>
    </row>
    <row r="187" spans="3:6" x14ac:dyDescent="0.5">
      <c r="C187">
        <v>120</v>
      </c>
      <c r="D187">
        <v>187</v>
      </c>
      <c r="E187">
        <v>270</v>
      </c>
      <c r="F187">
        <v>187</v>
      </c>
    </row>
    <row r="188" spans="3:6" x14ac:dyDescent="0.5">
      <c r="C188">
        <v>200</v>
      </c>
      <c r="D188">
        <v>188</v>
      </c>
      <c r="E188">
        <v>120</v>
      </c>
      <c r="F188">
        <v>188</v>
      </c>
    </row>
    <row r="189" spans="3:6" x14ac:dyDescent="0.5">
      <c r="C189">
        <v>200</v>
      </c>
      <c r="D189">
        <v>189</v>
      </c>
      <c r="E189">
        <v>200</v>
      </c>
      <c r="F189">
        <v>189</v>
      </c>
    </row>
    <row r="190" spans="3:6" x14ac:dyDescent="0.5">
      <c r="C190">
        <v>280</v>
      </c>
      <c r="D190">
        <v>190</v>
      </c>
      <c r="E190">
        <v>200</v>
      </c>
      <c r="F190">
        <v>190</v>
      </c>
    </row>
    <row r="191" spans="3:6" x14ac:dyDescent="0.5">
      <c r="C191">
        <v>65</v>
      </c>
      <c r="D191">
        <v>191</v>
      </c>
      <c r="E191">
        <v>280</v>
      </c>
      <c r="F191">
        <v>191</v>
      </c>
    </row>
    <row r="192" spans="3:6" x14ac:dyDescent="0.5">
      <c r="C192">
        <v>20</v>
      </c>
      <c r="D192">
        <v>192</v>
      </c>
      <c r="E192">
        <v>65</v>
      </c>
      <c r="F192">
        <v>192</v>
      </c>
    </row>
    <row r="193" spans="3:6" x14ac:dyDescent="0.5">
      <c r="C193">
        <v>60</v>
      </c>
      <c r="D193">
        <v>193</v>
      </c>
      <c r="E193">
        <v>20</v>
      </c>
      <c r="F193">
        <v>193</v>
      </c>
    </row>
    <row r="194" spans="3:6" x14ac:dyDescent="0.5">
      <c r="C194">
        <v>40</v>
      </c>
      <c r="D194">
        <v>194</v>
      </c>
      <c r="E194">
        <v>60</v>
      </c>
      <c r="F194">
        <v>194</v>
      </c>
    </row>
    <row r="195" spans="3:6" x14ac:dyDescent="0.5">
      <c r="C195">
        <v>50</v>
      </c>
      <c r="D195">
        <v>195</v>
      </c>
      <c r="E195">
        <v>40</v>
      </c>
      <c r="F195">
        <v>195</v>
      </c>
    </row>
    <row r="196" spans="3:6" x14ac:dyDescent="0.5">
      <c r="C196">
        <v>30</v>
      </c>
      <c r="D196">
        <v>196</v>
      </c>
      <c r="E196">
        <v>50</v>
      </c>
      <c r="F196">
        <v>196</v>
      </c>
    </row>
    <row r="197" spans="3:6" x14ac:dyDescent="0.5">
      <c r="C197">
        <v>15</v>
      </c>
      <c r="D197">
        <v>197</v>
      </c>
      <c r="E197">
        <v>30</v>
      </c>
      <c r="F197">
        <v>197</v>
      </c>
    </row>
    <row r="198" spans="3:6" x14ac:dyDescent="0.5">
      <c r="C198">
        <v>15</v>
      </c>
      <c r="D198">
        <v>198</v>
      </c>
      <c r="E198">
        <v>15</v>
      </c>
      <c r="F198">
        <v>198</v>
      </c>
    </row>
    <row r="199" spans="3:6" x14ac:dyDescent="0.5">
      <c r="C199">
        <v>110</v>
      </c>
      <c r="D199">
        <v>199</v>
      </c>
      <c r="E199">
        <v>15</v>
      </c>
      <c r="F199">
        <v>199</v>
      </c>
    </row>
    <row r="200" spans="3:6" x14ac:dyDescent="0.5">
      <c r="C200">
        <v>60</v>
      </c>
      <c r="D200">
        <v>200</v>
      </c>
      <c r="E200">
        <v>110</v>
      </c>
      <c r="F200">
        <v>200</v>
      </c>
    </row>
    <row r="201" spans="3:6" x14ac:dyDescent="0.5">
      <c r="C201">
        <v>30</v>
      </c>
      <c r="D201">
        <v>201</v>
      </c>
      <c r="E201">
        <v>60</v>
      </c>
      <c r="F201">
        <v>201</v>
      </c>
    </row>
    <row r="202" spans="3:6" x14ac:dyDescent="0.5">
      <c r="C202">
        <v>90</v>
      </c>
      <c r="D202">
        <v>202</v>
      </c>
      <c r="E202">
        <v>30</v>
      </c>
      <c r="F202">
        <v>202</v>
      </c>
    </row>
    <row r="203" spans="3:6" x14ac:dyDescent="0.5">
      <c r="C203">
        <v>35</v>
      </c>
      <c r="D203">
        <v>203</v>
      </c>
      <c r="E203">
        <v>90</v>
      </c>
      <c r="F203">
        <v>203</v>
      </c>
    </row>
    <row r="204" spans="3:6" x14ac:dyDescent="0.5">
      <c r="C204">
        <v>50</v>
      </c>
      <c r="D204">
        <v>204</v>
      </c>
      <c r="E204">
        <v>35</v>
      </c>
      <c r="F204">
        <v>204</v>
      </c>
    </row>
    <row r="205" spans="3:6" x14ac:dyDescent="0.5">
      <c r="C205">
        <v>28</v>
      </c>
      <c r="D205">
        <v>205</v>
      </c>
      <c r="E205">
        <v>50</v>
      </c>
      <c r="F205">
        <v>205</v>
      </c>
    </row>
    <row r="206" spans="3:6" x14ac:dyDescent="0.5">
      <c r="C206">
        <v>260</v>
      </c>
      <c r="D206">
        <v>206</v>
      </c>
      <c r="E206">
        <v>28</v>
      </c>
      <c r="F206">
        <v>206</v>
      </c>
    </row>
    <row r="207" spans="3:6" x14ac:dyDescent="0.5">
      <c r="C207">
        <v>8</v>
      </c>
      <c r="D207">
        <v>207</v>
      </c>
      <c r="E207">
        <v>260</v>
      </c>
      <c r="F207">
        <v>207</v>
      </c>
    </row>
    <row r="208" spans="3:6" x14ac:dyDescent="0.5">
      <c r="C208">
        <v>12</v>
      </c>
      <c r="D208">
        <v>208</v>
      </c>
      <c r="E208">
        <v>8</v>
      </c>
      <c r="F208">
        <v>208</v>
      </c>
    </row>
    <row r="209" spans="3:6" x14ac:dyDescent="0.5">
      <c r="C209">
        <v>300</v>
      </c>
      <c r="D209">
        <v>209</v>
      </c>
      <c r="E209">
        <v>12</v>
      </c>
      <c r="F209">
        <v>209</v>
      </c>
    </row>
    <row r="210" spans="3:6" x14ac:dyDescent="0.5">
      <c r="C210">
        <v>2</v>
      </c>
      <c r="D210">
        <v>210</v>
      </c>
      <c r="E210">
        <v>300</v>
      </c>
      <c r="F210">
        <v>210</v>
      </c>
    </row>
    <row r="211" spans="3:6" x14ac:dyDescent="0.5">
      <c r="C211">
        <v>166</v>
      </c>
      <c r="D211">
        <v>211</v>
      </c>
      <c r="E211">
        <v>2</v>
      </c>
      <c r="F211">
        <v>211</v>
      </c>
    </row>
    <row r="212" spans="3:6" x14ac:dyDescent="0.5">
      <c r="C212">
        <v>86</v>
      </c>
      <c r="D212">
        <v>212</v>
      </c>
      <c r="E212">
        <v>166</v>
      </c>
      <c r="F212">
        <v>212</v>
      </c>
    </row>
    <row r="213" spans="3:6" x14ac:dyDescent="0.5">
      <c r="C213">
        <v>100</v>
      </c>
      <c r="D213">
        <v>213</v>
      </c>
      <c r="E213">
        <v>86</v>
      </c>
      <c r="F213">
        <v>213</v>
      </c>
    </row>
    <row r="214" spans="3:6" x14ac:dyDescent="0.5">
      <c r="C214">
        <v>90</v>
      </c>
      <c r="D214">
        <v>214</v>
      </c>
      <c r="E214">
        <v>100</v>
      </c>
      <c r="F214">
        <v>214</v>
      </c>
    </row>
    <row r="215" spans="3:6" x14ac:dyDescent="0.5">
      <c r="C215">
        <v>10</v>
      </c>
      <c r="D215">
        <v>215</v>
      </c>
      <c r="E215">
        <v>90</v>
      </c>
      <c r="F215">
        <v>215</v>
      </c>
    </row>
    <row r="216" spans="3:6" x14ac:dyDescent="0.5">
      <c r="C216">
        <v>120</v>
      </c>
      <c r="D216">
        <v>216</v>
      </c>
      <c r="E216">
        <v>10</v>
      </c>
      <c r="F216">
        <v>216</v>
      </c>
    </row>
    <row r="217" spans="3:6" x14ac:dyDescent="0.5">
      <c r="C217">
        <v>60</v>
      </c>
      <c r="D217">
        <v>217</v>
      </c>
      <c r="E217">
        <v>120</v>
      </c>
      <c r="F217">
        <v>217</v>
      </c>
    </row>
    <row r="218" spans="3:6" x14ac:dyDescent="0.5">
      <c r="C218">
        <v>460</v>
      </c>
      <c r="D218">
        <v>218</v>
      </c>
      <c r="E218">
        <v>60</v>
      </c>
      <c r="F218">
        <v>218</v>
      </c>
    </row>
    <row r="219" spans="3:6" x14ac:dyDescent="0.5">
      <c r="C219">
        <v>95</v>
      </c>
      <c r="D219">
        <v>219</v>
      </c>
      <c r="E219">
        <v>460</v>
      </c>
      <c r="F219">
        <v>219</v>
      </c>
    </row>
    <row r="220" spans="3:6" x14ac:dyDescent="0.5">
      <c r="C220">
        <v>410</v>
      </c>
      <c r="D220">
        <v>220</v>
      </c>
      <c r="E220">
        <v>95</v>
      </c>
      <c r="F220">
        <v>220</v>
      </c>
    </row>
    <row r="221" spans="3:6" x14ac:dyDescent="0.5">
      <c r="C221">
        <v>30</v>
      </c>
      <c r="D221">
        <v>221</v>
      </c>
      <c r="E221">
        <v>410</v>
      </c>
      <c r="F221">
        <v>221</v>
      </c>
    </row>
    <row r="222" spans="3:6" x14ac:dyDescent="0.5">
      <c r="C222">
        <v>80</v>
      </c>
      <c r="D222">
        <v>222</v>
      </c>
      <c r="E222">
        <v>30</v>
      </c>
      <c r="F222">
        <v>222</v>
      </c>
    </row>
    <row r="223" spans="3:6" x14ac:dyDescent="0.5">
      <c r="C223">
        <v>30</v>
      </c>
      <c r="D223">
        <v>223</v>
      </c>
      <c r="E223">
        <v>80</v>
      </c>
      <c r="F223">
        <v>223</v>
      </c>
    </row>
    <row r="224" spans="3:6" x14ac:dyDescent="0.5">
      <c r="C224">
        <v>1460</v>
      </c>
      <c r="D224">
        <v>224</v>
      </c>
      <c r="E224">
        <v>30</v>
      </c>
      <c r="F224">
        <v>224</v>
      </c>
    </row>
    <row r="225" spans="3:6" x14ac:dyDescent="0.5">
      <c r="C225">
        <v>20</v>
      </c>
      <c r="D225">
        <v>225</v>
      </c>
      <c r="E225">
        <v>1460</v>
      </c>
      <c r="F225">
        <v>225</v>
      </c>
    </row>
    <row r="226" spans="3:6" x14ac:dyDescent="0.5">
      <c r="C226">
        <v>5</v>
      </c>
      <c r="D226">
        <v>226</v>
      </c>
      <c r="E226">
        <v>20</v>
      </c>
      <c r="F226">
        <v>226</v>
      </c>
    </row>
    <row r="227" spans="3:6" x14ac:dyDescent="0.5">
      <c r="C227">
        <v>10</v>
      </c>
      <c r="D227">
        <v>227</v>
      </c>
      <c r="E227">
        <v>5</v>
      </c>
      <c r="F227">
        <v>227</v>
      </c>
    </row>
    <row r="228" spans="3:6" x14ac:dyDescent="0.5">
      <c r="C228">
        <v>2500</v>
      </c>
      <c r="D228">
        <v>228</v>
      </c>
      <c r="E228">
        <v>10</v>
      </c>
      <c r="F228">
        <v>228</v>
      </c>
    </row>
    <row r="229" spans="3:6" x14ac:dyDescent="0.5">
      <c r="C229">
        <v>170</v>
      </c>
      <c r="D229">
        <v>229</v>
      </c>
      <c r="E229">
        <v>2500</v>
      </c>
      <c r="F229">
        <v>229</v>
      </c>
    </row>
    <row r="230" spans="3:6" x14ac:dyDescent="0.5">
      <c r="C230">
        <v>80000</v>
      </c>
      <c r="D230">
        <v>230</v>
      </c>
      <c r="E230">
        <v>170</v>
      </c>
      <c r="F230">
        <v>230</v>
      </c>
    </row>
    <row r="231" spans="3:6" x14ac:dyDescent="0.5">
      <c r="C231">
        <v>1200000</v>
      </c>
      <c r="D231">
        <v>231</v>
      </c>
      <c r="E231">
        <v>80000</v>
      </c>
      <c r="F231">
        <v>231</v>
      </c>
    </row>
    <row r="232" spans="3:6" x14ac:dyDescent="0.5">
      <c r="C232">
        <v>50000</v>
      </c>
      <c r="D232">
        <v>232</v>
      </c>
      <c r="E232">
        <v>1200000</v>
      </c>
      <c r="F232">
        <v>232</v>
      </c>
    </row>
    <row r="233" spans="3:6" x14ac:dyDescent="0.5">
      <c r="C233">
        <v>93</v>
      </c>
      <c r="D233">
        <v>233</v>
      </c>
      <c r="E233">
        <v>50000</v>
      </c>
      <c r="F233">
        <v>233</v>
      </c>
    </row>
    <row r="234" spans="3:6" x14ac:dyDescent="0.5">
      <c r="C234">
        <v>11</v>
      </c>
      <c r="D234">
        <v>234</v>
      </c>
      <c r="E234">
        <v>93</v>
      </c>
      <c r="F234">
        <v>234</v>
      </c>
    </row>
    <row r="235" spans="3:6" x14ac:dyDescent="0.5">
      <c r="C235">
        <v>13</v>
      </c>
      <c r="D235">
        <v>235</v>
      </c>
      <c r="E235">
        <v>11</v>
      </c>
      <c r="F235">
        <v>235</v>
      </c>
    </row>
    <row r="236" spans="3:6" x14ac:dyDescent="0.5">
      <c r="C236">
        <v>20</v>
      </c>
      <c r="D236">
        <v>236</v>
      </c>
      <c r="E236">
        <v>13</v>
      </c>
      <c r="F236">
        <v>236</v>
      </c>
    </row>
    <row r="237" spans="3:6" x14ac:dyDescent="0.5">
      <c r="C237">
        <v>100</v>
      </c>
      <c r="D237">
        <v>237</v>
      </c>
      <c r="E237">
        <v>20</v>
      </c>
      <c r="F237">
        <v>237</v>
      </c>
    </row>
    <row r="238" spans="3:6" x14ac:dyDescent="0.5">
      <c r="C238">
        <v>340</v>
      </c>
      <c r="D238">
        <v>238</v>
      </c>
      <c r="E238">
        <v>100</v>
      </c>
      <c r="F238">
        <v>238</v>
      </c>
    </row>
    <row r="239" spans="3:6" x14ac:dyDescent="0.5">
      <c r="C239">
        <v>5000</v>
      </c>
      <c r="D239">
        <v>239</v>
      </c>
      <c r="E239">
        <v>340</v>
      </c>
      <c r="F239">
        <v>239</v>
      </c>
    </row>
    <row r="240" spans="3:6" x14ac:dyDescent="0.5">
      <c r="C240">
        <v>7500</v>
      </c>
      <c r="D240">
        <v>240</v>
      </c>
      <c r="E240">
        <v>5000</v>
      </c>
      <c r="F240">
        <v>240</v>
      </c>
    </row>
    <row r="241" spans="3:6" x14ac:dyDescent="0.5">
      <c r="C241">
        <v>780</v>
      </c>
      <c r="D241">
        <v>241</v>
      </c>
      <c r="E241">
        <v>7500</v>
      </c>
      <c r="F241">
        <v>241</v>
      </c>
    </row>
    <row r="242" spans="3:6" x14ac:dyDescent="0.5">
      <c r="C242">
        <v>1390</v>
      </c>
      <c r="D242">
        <v>242</v>
      </c>
      <c r="E242">
        <v>780</v>
      </c>
      <c r="F242">
        <v>242</v>
      </c>
    </row>
    <row r="243" spans="3:6" x14ac:dyDescent="0.5">
      <c r="C243">
        <v>100</v>
      </c>
      <c r="D243">
        <v>243</v>
      </c>
      <c r="E243">
        <v>1390</v>
      </c>
      <c r="F243">
        <v>243</v>
      </c>
    </row>
    <row r="244" spans="3:6" x14ac:dyDescent="0.5">
      <c r="C244">
        <v>120</v>
      </c>
      <c r="D244">
        <v>244</v>
      </c>
      <c r="E244">
        <v>100</v>
      </c>
      <c r="F244">
        <v>244</v>
      </c>
    </row>
    <row r="245" spans="3:6" x14ac:dyDescent="0.5">
      <c r="C245">
        <v>1400</v>
      </c>
      <c r="D245">
        <v>245</v>
      </c>
      <c r="E245">
        <v>120</v>
      </c>
      <c r="F245">
        <v>245</v>
      </c>
    </row>
    <row r="246" spans="3:6" x14ac:dyDescent="0.5">
      <c r="C246">
        <v>85</v>
      </c>
      <c r="D246">
        <v>246</v>
      </c>
      <c r="E246">
        <v>1400</v>
      </c>
      <c r="F246">
        <v>246</v>
      </c>
    </row>
    <row r="247" spans="3:6" x14ac:dyDescent="0.5">
      <c r="C247">
        <v>300</v>
      </c>
      <c r="D247">
        <v>247</v>
      </c>
      <c r="E247">
        <v>85</v>
      </c>
      <c r="F247">
        <v>247</v>
      </c>
    </row>
    <row r="248" spans="3:6" x14ac:dyDescent="0.5">
      <c r="C248">
        <v>218</v>
      </c>
      <c r="D248">
        <v>248</v>
      </c>
      <c r="E248">
        <v>300</v>
      </c>
      <c r="F248">
        <v>248</v>
      </c>
    </row>
    <row r="249" spans="3:6" x14ac:dyDescent="0.5">
      <c r="C249">
        <v>50</v>
      </c>
      <c r="D249">
        <v>249</v>
      </c>
      <c r="E249">
        <v>218</v>
      </c>
      <c r="F249">
        <v>249</v>
      </c>
    </row>
    <row r="250" spans="3:6" x14ac:dyDescent="0.5">
      <c r="C250">
        <v>5</v>
      </c>
      <c r="D250">
        <v>250</v>
      </c>
      <c r="E250">
        <v>50</v>
      </c>
      <c r="F250">
        <v>250</v>
      </c>
    </row>
    <row r="251" spans="3:6" x14ac:dyDescent="0.5">
      <c r="C251">
        <v>84</v>
      </c>
      <c r="D251">
        <v>251</v>
      </c>
      <c r="E251">
        <v>5</v>
      </c>
      <c r="F251">
        <v>251</v>
      </c>
    </row>
    <row r="252" spans="3:6" x14ac:dyDescent="0.5">
      <c r="C252">
        <v>27000</v>
      </c>
      <c r="D252">
        <v>252</v>
      </c>
      <c r="E252">
        <v>84</v>
      </c>
      <c r="F252">
        <v>252</v>
      </c>
    </row>
    <row r="253" spans="3:6" x14ac:dyDescent="0.5">
      <c r="C253">
        <v>200</v>
      </c>
      <c r="D253">
        <v>253</v>
      </c>
      <c r="E253">
        <v>27000</v>
      </c>
      <c r="F253">
        <v>253</v>
      </c>
    </row>
    <row r="254" spans="3:6" x14ac:dyDescent="0.5">
      <c r="C254">
        <v>25</v>
      </c>
      <c r="D254">
        <v>254</v>
      </c>
      <c r="E254">
        <v>200</v>
      </c>
      <c r="F254">
        <v>254</v>
      </c>
    </row>
    <row r="255" spans="3:6" x14ac:dyDescent="0.5">
      <c r="C255">
        <v>45</v>
      </c>
      <c r="D255">
        <v>255</v>
      </c>
      <c r="E255">
        <v>25</v>
      </c>
      <c r="F255">
        <v>255</v>
      </c>
    </row>
    <row r="256" spans="3:6" x14ac:dyDescent="0.5">
      <c r="C256">
        <v>5</v>
      </c>
      <c r="D256">
        <v>256</v>
      </c>
      <c r="E256">
        <v>45</v>
      </c>
      <c r="F256">
        <v>256</v>
      </c>
    </row>
    <row r="257" spans="3:6" x14ac:dyDescent="0.5">
      <c r="C257">
        <v>90</v>
      </c>
      <c r="D257">
        <v>257</v>
      </c>
      <c r="E257">
        <v>5</v>
      </c>
      <c r="F257">
        <v>257</v>
      </c>
    </row>
    <row r="258" spans="3:6" x14ac:dyDescent="0.5">
      <c r="C258">
        <v>20000</v>
      </c>
      <c r="D258">
        <v>258</v>
      </c>
      <c r="E258">
        <v>90</v>
      </c>
      <c r="F258">
        <v>258</v>
      </c>
    </row>
    <row r="259" spans="3:6" x14ac:dyDescent="0.5">
      <c r="C259">
        <v>2000</v>
      </c>
      <c r="D259">
        <v>259</v>
      </c>
      <c r="E259">
        <v>20000</v>
      </c>
      <c r="F259">
        <v>259</v>
      </c>
    </row>
    <row r="260" spans="3:6" x14ac:dyDescent="0.5">
      <c r="C260">
        <v>10</v>
      </c>
      <c r="D260">
        <v>260</v>
      </c>
      <c r="E260">
        <v>2000</v>
      </c>
      <c r="F260">
        <v>260</v>
      </c>
    </row>
    <row r="261" spans="3:6" x14ac:dyDescent="0.5">
      <c r="E261">
        <v>10</v>
      </c>
      <c r="F261">
        <v>261</v>
      </c>
    </row>
    <row r="262" spans="3:6" x14ac:dyDescent="0.5">
      <c r="E262">
        <v>300</v>
      </c>
      <c r="F262">
        <v>262</v>
      </c>
    </row>
    <row r="263" spans="3:6" x14ac:dyDescent="0.5">
      <c r="E263">
        <v>223</v>
      </c>
      <c r="F263">
        <v>263</v>
      </c>
    </row>
    <row r="264" spans="3:6" x14ac:dyDescent="0.5">
      <c r="E264">
        <v>50</v>
      </c>
      <c r="F264">
        <v>264</v>
      </c>
    </row>
    <row r="265" spans="3:6" x14ac:dyDescent="0.5">
      <c r="E265">
        <v>5</v>
      </c>
      <c r="F265">
        <v>265</v>
      </c>
    </row>
    <row r="266" spans="3:6" x14ac:dyDescent="0.5">
      <c r="E266">
        <v>100</v>
      </c>
      <c r="F266">
        <v>266</v>
      </c>
    </row>
    <row r="267" spans="3:6" x14ac:dyDescent="0.5">
      <c r="E267">
        <v>107</v>
      </c>
      <c r="F267">
        <v>267</v>
      </c>
    </row>
    <row r="268" spans="3:6" x14ac:dyDescent="0.5">
      <c r="E268">
        <v>27000</v>
      </c>
      <c r="F268">
        <v>268</v>
      </c>
    </row>
    <row r="269" spans="3:6" x14ac:dyDescent="0.5">
      <c r="E269">
        <v>200</v>
      </c>
      <c r="F269">
        <v>269</v>
      </c>
    </row>
    <row r="270" spans="3:6" x14ac:dyDescent="0.5">
      <c r="E270">
        <v>25</v>
      </c>
      <c r="F270">
        <v>270</v>
      </c>
    </row>
    <row r="271" spans="3:6" x14ac:dyDescent="0.5">
      <c r="E271">
        <v>45</v>
      </c>
      <c r="F271">
        <v>271</v>
      </c>
    </row>
    <row r="272" spans="3:6" x14ac:dyDescent="0.5">
      <c r="E272">
        <v>5</v>
      </c>
      <c r="F272">
        <v>272</v>
      </c>
    </row>
    <row r="273" spans="5:6" x14ac:dyDescent="0.5">
      <c r="E273">
        <v>45</v>
      </c>
      <c r="F273">
        <v>273</v>
      </c>
    </row>
    <row r="274" spans="5:6" x14ac:dyDescent="0.5">
      <c r="E274">
        <v>90</v>
      </c>
      <c r="F274">
        <v>274</v>
      </c>
    </row>
    <row r="275" spans="5:6" x14ac:dyDescent="0.5">
      <c r="E275">
        <v>20155</v>
      </c>
      <c r="F275">
        <v>275</v>
      </c>
    </row>
    <row r="276" spans="5:6" x14ac:dyDescent="0.5">
      <c r="E276">
        <v>2722</v>
      </c>
      <c r="F276">
        <v>276</v>
      </c>
    </row>
    <row r="277" spans="5:6" x14ac:dyDescent="0.5">
      <c r="E277">
        <v>760</v>
      </c>
      <c r="F277">
        <v>277</v>
      </c>
    </row>
    <row r="278" spans="5:6" x14ac:dyDescent="0.5">
      <c r="E278">
        <v>23</v>
      </c>
      <c r="F278">
        <v>278</v>
      </c>
    </row>
    <row r="279" spans="5:6" x14ac:dyDescent="0.5">
      <c r="E279">
        <v>10</v>
      </c>
      <c r="F279">
        <v>279</v>
      </c>
    </row>
    <row r="280" spans="5:6" x14ac:dyDescent="0.5">
      <c r="F280">
        <v>280</v>
      </c>
    </row>
    <row r="281" spans="5:6" x14ac:dyDescent="0.5">
      <c r="F281">
        <v>281</v>
      </c>
    </row>
    <row r="282" spans="5:6" x14ac:dyDescent="0.5">
      <c r="F282">
        <v>282</v>
      </c>
    </row>
    <row r="283" spans="5:6" x14ac:dyDescent="0.5">
      <c r="F283">
        <v>283</v>
      </c>
    </row>
    <row r="284" spans="5:6" x14ac:dyDescent="0.5">
      <c r="F284">
        <v>284</v>
      </c>
    </row>
    <row r="285" spans="5:6" x14ac:dyDescent="0.5">
      <c r="F285">
        <v>285</v>
      </c>
    </row>
    <row r="286" spans="5:6" x14ac:dyDescent="0.5">
      <c r="F286">
        <v>286</v>
      </c>
    </row>
    <row r="287" spans="5:6" x14ac:dyDescent="0.5">
      <c r="F287">
        <v>287</v>
      </c>
    </row>
    <row r="288" spans="5:6" x14ac:dyDescent="0.5">
      <c r="F288">
        <v>288</v>
      </c>
    </row>
    <row r="289" spans="6:6" x14ac:dyDescent="0.5">
      <c r="F289">
        <v>289</v>
      </c>
    </row>
    <row r="290" spans="6:6" x14ac:dyDescent="0.5">
      <c r="F290">
        <v>290</v>
      </c>
    </row>
    <row r="291" spans="6:6" x14ac:dyDescent="0.5">
      <c r="F291">
        <v>291</v>
      </c>
    </row>
    <row r="292" spans="6:6" x14ac:dyDescent="0.5">
      <c r="F292">
        <v>292</v>
      </c>
    </row>
    <row r="293" spans="6:6" x14ac:dyDescent="0.5">
      <c r="F293">
        <v>293</v>
      </c>
    </row>
    <row r="294" spans="6:6" x14ac:dyDescent="0.5">
      <c r="F294">
        <v>294</v>
      </c>
    </row>
    <row r="295" spans="6:6" x14ac:dyDescent="0.5">
      <c r="F295">
        <v>295</v>
      </c>
    </row>
    <row r="296" spans="6:6" x14ac:dyDescent="0.5">
      <c r="F296">
        <v>296</v>
      </c>
    </row>
    <row r="297" spans="6:6" x14ac:dyDescent="0.5">
      <c r="F297">
        <v>297</v>
      </c>
    </row>
    <row r="298" spans="6:6" x14ac:dyDescent="0.5">
      <c r="F298">
        <v>298</v>
      </c>
    </row>
    <row r="299" spans="6:6" x14ac:dyDescent="0.5">
      <c r="F299">
        <v>299</v>
      </c>
    </row>
    <row r="300" spans="6:6" x14ac:dyDescent="0.5">
      <c r="F300">
        <v>300</v>
      </c>
    </row>
    <row r="301" spans="6:6" x14ac:dyDescent="0.5">
      <c r="F301">
        <v>301</v>
      </c>
    </row>
    <row r="302" spans="6:6" x14ac:dyDescent="0.5">
      <c r="F302">
        <v>302</v>
      </c>
    </row>
    <row r="303" spans="6:6" x14ac:dyDescent="0.5">
      <c r="F303">
        <v>303</v>
      </c>
    </row>
    <row r="304" spans="6:6" x14ac:dyDescent="0.5">
      <c r="F304">
        <v>304</v>
      </c>
    </row>
    <row r="305" spans="6:6" x14ac:dyDescent="0.5">
      <c r="F305">
        <v>305</v>
      </c>
    </row>
    <row r="306" spans="6:6" x14ac:dyDescent="0.5">
      <c r="F306">
        <v>306</v>
      </c>
    </row>
    <row r="307" spans="6:6" x14ac:dyDescent="0.5">
      <c r="F307">
        <v>307</v>
      </c>
    </row>
    <row r="308" spans="6:6" x14ac:dyDescent="0.5">
      <c r="F308">
        <v>308</v>
      </c>
    </row>
    <row r="309" spans="6:6" x14ac:dyDescent="0.5">
      <c r="F309">
        <v>309</v>
      </c>
    </row>
    <row r="310" spans="6:6" x14ac:dyDescent="0.5">
      <c r="F310">
        <v>310</v>
      </c>
    </row>
    <row r="311" spans="6:6" x14ac:dyDescent="0.5">
      <c r="F311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5</vt:i4>
      </vt:variant>
      <vt:variant>
        <vt:lpstr>ช่วงที่มีชื่อ</vt:lpstr>
      </vt:variant>
      <vt:variant>
        <vt:i4>4</vt:i4>
      </vt:variant>
    </vt:vector>
  </HeadingPairs>
  <TitlesOfParts>
    <vt:vector size="9" baseType="lpstr">
      <vt:lpstr>เวชภัณฑ์ </vt:lpstr>
      <vt:lpstr>การพยาบาล</vt:lpstr>
      <vt:lpstr>เภสัช</vt:lpstr>
      <vt:lpstr>เฝือก</vt:lpstr>
      <vt:lpstr>Sheet1</vt:lpstr>
      <vt:lpstr>การพยาบาล!Print_Titles</vt:lpstr>
      <vt:lpstr>เฝือก!Print_Titles</vt:lpstr>
      <vt:lpstr>เภสัช!Print_Titles</vt:lpstr>
      <vt:lpstr>'เวชภัณฑ์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ssb</dc:creator>
  <cp:lastModifiedBy>ssb</cp:lastModifiedBy>
  <cp:lastPrinted>2025-10-02T08:42:05Z</cp:lastPrinted>
  <dcterms:created xsi:type="dcterms:W3CDTF">2020-06-02T03:39:31Z</dcterms:created>
  <dcterms:modified xsi:type="dcterms:W3CDTF">2025-10-03T01:57:39Z</dcterms:modified>
</cp:coreProperties>
</file>