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กีฬา งปม." sheetId="1" r:id="rId1"/>
  </sheets>
  <definedNames>
    <definedName name="_xlnm._FilterDatabase" localSheetId="0" hidden="1">'กีฬา งปม.'!$A$5:$E$5</definedName>
    <definedName name="_xlnm.Print_Area" localSheetId="0">'กีฬา งปม.'!$A$2:$L$47</definedName>
  </definedNames>
  <calcPr calcId="124519"/>
</workbook>
</file>

<file path=xl/calcChain.xml><?xml version="1.0" encoding="utf-8"?>
<calcChain xmlns="http://schemas.openxmlformats.org/spreadsheetml/2006/main">
  <c r="G52" i="1"/>
  <c r="F52"/>
  <c r="E52"/>
  <c r="D52"/>
  <c r="I6"/>
  <c r="L6" s="1"/>
  <c r="J6"/>
  <c r="K6" s="1"/>
  <c r="I7"/>
  <c r="L7" s="1"/>
  <c r="J7"/>
  <c r="K7" s="1"/>
  <c r="I41"/>
  <c r="L41" s="1"/>
  <c r="J41"/>
  <c r="K41" s="1"/>
  <c r="I42"/>
  <c r="L42" s="1"/>
  <c r="J42"/>
  <c r="K42" s="1"/>
  <c r="I43"/>
  <c r="L43" s="1"/>
  <c r="J43"/>
  <c r="K43" s="1"/>
  <c r="I44"/>
  <c r="L44" s="1"/>
  <c r="J44"/>
  <c r="K44" s="1"/>
  <c r="I45"/>
  <c r="L45" s="1"/>
  <c r="J45"/>
  <c r="K45" s="1"/>
  <c r="I46"/>
  <c r="L46" s="1"/>
  <c r="J46"/>
  <c r="K46" s="1"/>
  <c r="I47"/>
  <c r="L47" s="1"/>
  <c r="J47"/>
  <c r="K47" s="1"/>
  <c r="D48"/>
  <c r="E48"/>
  <c r="F48"/>
  <c r="G48"/>
  <c r="H48"/>
</calcChain>
</file>

<file path=xl/sharedStrings.xml><?xml version="1.0" encoding="utf-8"?>
<sst xmlns="http://schemas.openxmlformats.org/spreadsheetml/2006/main" count="103" uniqueCount="76">
  <si>
    <t>ครุภัณฑ์ประจำปี 69</t>
  </si>
  <si>
    <t>มูลค่าสุทธิ</t>
  </si>
  <si>
    <t>ค่าเสื่อมสะสม</t>
  </si>
  <si>
    <t>ประจำปี</t>
  </si>
  <si>
    <t>มูลค่ารวม</t>
  </si>
  <si>
    <t>ประจำปี70</t>
  </si>
  <si>
    <t>มูลค่าสุทธิ69</t>
  </si>
  <si>
    <t>ค่าเสื่อมสะสม69</t>
  </si>
  <si>
    <t>ประจำปี69</t>
  </si>
  <si>
    <t>อายุการใช้งาน</t>
  </si>
  <si>
    <t>รหัสครุภัณฑ์</t>
  </si>
  <si>
    <t>รายการ</t>
  </si>
  <si>
    <t>ลำดับที่</t>
  </si>
  <si>
    <t>รายงานค่าเสื่อมประจำปีโรงพยาบาลวชิระภูเก็ต</t>
  </si>
  <si>
    <t>ประเภทครุภัณฑ์  กีฬาและกายภาพ</t>
  </si>
  <si>
    <t>อุปกรณ์ยืดหลังเพื่อปรับสมดุลสรีระร่างกาย</t>
  </si>
  <si>
    <t>เครื่องยืดกล้ามเนื้อ</t>
  </si>
  <si>
    <t>จักรยานปั่นแบบไม่มีพนักพิง</t>
  </si>
  <si>
    <t>เครื่องบริหารกล้ามเนื้อแบบเคเบิ้ลเอนกประสงค์</t>
  </si>
  <si>
    <t>ลู่วิ่งไฟฟ้า</t>
  </si>
  <si>
    <t>6530-001-1387/1(68)</t>
  </si>
  <si>
    <t>6530-001-1387/2(68)</t>
  </si>
  <si>
    <t>6530-001-1382/3(68)</t>
  </si>
  <si>
    <t>6530-001-1382/1(68)</t>
  </si>
  <si>
    <t>6530-001-1382/2(68)</t>
  </si>
  <si>
    <t>6530-004-1381/1(68)</t>
  </si>
  <si>
    <t>6530-004-1381/2(68)</t>
  </si>
  <si>
    <t>ชนิด 1600022 เครื่องคำนวนไนโตรเจนในร่างกาย</t>
  </si>
  <si>
    <t>ชนิด 1600013 เครื่องบริหารข้อเข่าและสะโพกแบบต่อเนื่อง</t>
  </si>
  <si>
    <t>ชนิด 1600025 อ่างสปา</t>
  </si>
  <si>
    <t>ชนิด 1600017 เตียง</t>
  </si>
  <si>
    <t>ชนิด 1600026 เครื่องอบเซาน่าและไอน้ำ</t>
  </si>
  <si>
    <t>ชนิด 1600003 เครื่องดึงหลัง</t>
  </si>
  <si>
    <t>ชนิด 1600016 เครื่องบำบัดรักษากล้ามเนื้อด้วยไฟฟ้าชนิดคลื่นสั้น</t>
  </si>
  <si>
    <t>ชนิด 1600007 เครื่องให้การรักษาด้วยคลื่นอัลตร้าซาวด์</t>
  </si>
  <si>
    <t>ชนิด 1600002 เครื่องมือรักษาทางกายภาพ</t>
  </si>
  <si>
    <t>ชนิด 1600027 เครื่องนวดสปาเท้า</t>
  </si>
  <si>
    <t>ชนิด 1600001 เครื่องช่วยการเคลื่อนไหวแบบต่อเนื่อง</t>
  </si>
  <si>
    <t>ชนิด 1600018 ชุดโครงโลหะสำหรับช่วยพยุงตัว</t>
  </si>
  <si>
    <t>ชนิด 1600019 อุปกรณ์ดึงขา</t>
  </si>
  <si>
    <t>ชนิด 1600015 จักรยานออกกำลังกาย</t>
  </si>
  <si>
    <t>6515-026-1003/2(52)</t>
  </si>
  <si>
    <t>6515-036-1213/2</t>
  </si>
  <si>
    <t>6515-038-5005/1(52)</t>
  </si>
  <si>
    <t>6515-038-5005/2(52)</t>
  </si>
  <si>
    <t>6530-001-0001/10(51)</t>
  </si>
  <si>
    <t>6530-001-0001/13(53)</t>
  </si>
  <si>
    <t>6530-001-0001/14(53)</t>
  </si>
  <si>
    <t>6530-001-0001/15(53)</t>
  </si>
  <si>
    <t>6530-001-0001/16(53)</t>
  </si>
  <si>
    <t>6530-001-0001/17(53)</t>
  </si>
  <si>
    <t>6530-001-0001/32(51)</t>
  </si>
  <si>
    <t>6530-001-0001/33(51)</t>
  </si>
  <si>
    <t>6530-001-0001/34(51)</t>
  </si>
  <si>
    <t>6530-001-0001/35(51)</t>
  </si>
  <si>
    <t>6530-001-0001/36(51)</t>
  </si>
  <si>
    <t>6530-001-0001/37(51)</t>
  </si>
  <si>
    <t>6530-001-0001/38(51)</t>
  </si>
  <si>
    <t>6530-001-0001/39(51)</t>
  </si>
  <si>
    <t>6530-001-0001/40(51)</t>
  </si>
  <si>
    <t>6530-001-0001/8(51)</t>
  </si>
  <si>
    <t>6530-003-1200/1(52)</t>
  </si>
  <si>
    <t>6530-004-0005/8</t>
  </si>
  <si>
    <t>6530-004-1101/2(50)</t>
  </si>
  <si>
    <t>6530-004-1105/2</t>
  </si>
  <si>
    <t>6530-004-1111/1</t>
  </si>
  <si>
    <t>6530-004-1114/1(52)</t>
  </si>
  <si>
    <t>6530-004-1351/1</t>
  </si>
  <si>
    <t>6530-025-0001/1(51)</t>
  </si>
  <si>
    <t>6530-025-0001/2(51)</t>
  </si>
  <si>
    <t>6530-025-0001/3(51)</t>
  </si>
  <si>
    <t>6530-025-0001/4(51)</t>
  </si>
  <si>
    <t>6530-025-0001/5(51)</t>
  </si>
  <si>
    <t>6530-025-0002/1(51)</t>
  </si>
  <si>
    <t>6530-025-0002/2(51)</t>
  </si>
  <si>
    <t>6530-038-4001/3(50)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</si>
</sst>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7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0" fontId="6" fillId="0" borderId="0">
      <alignment vertical="top"/>
    </xf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</cellStyleXfs>
  <cellXfs count="28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Alignment="1">
      <alignment horizontal="center"/>
    </xf>
    <xf numFmtId="43" fontId="2" fillId="2" borderId="0" xfId="2" applyFont="1" applyFill="1" applyBorder="1" applyAlignment="1">
      <alignment horizontal="center"/>
    </xf>
    <xf numFmtId="43" fontId="2" fillId="2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3" fontId="2" fillId="0" borderId="1" xfId="1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43" fontId="2" fillId="0" borderId="1" xfId="1" applyFont="1" applyFill="1" applyBorder="1" applyAlignment="1">
      <alignment horizontal="center"/>
    </xf>
    <xf numFmtId="43" fontId="2" fillId="0" borderId="1" xfId="0" applyNumberFormat="1" applyFont="1" applyBorder="1"/>
    <xf numFmtId="43" fontId="2" fillId="0" borderId="2" xfId="0" applyNumberFormat="1" applyFont="1" applyBorder="1"/>
    <xf numFmtId="0" fontId="2" fillId="3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" fontId="5" fillId="0" borderId="1" xfId="8" applyNumberFormat="1" applyFont="1" applyBorder="1"/>
    <xf numFmtId="1" fontId="5" fillId="0" borderId="1" xfId="22" applyNumberFormat="1" applyFont="1" applyBorder="1"/>
    <xf numFmtId="0" fontId="5" fillId="0" borderId="1" xfId="8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8" applyFont="1" applyBorder="1" applyAlignment="1">
      <alignment horizontal="left"/>
    </xf>
    <xf numFmtId="43" fontId="2" fillId="0" borderId="0" xfId="1" applyFont="1" applyFill="1" applyAlignment="1">
      <alignment horizontal="center"/>
    </xf>
    <xf numFmtId="43" fontId="5" fillId="0" borderId="1" xfId="5" applyFont="1" applyBorder="1" applyAlignment="1">
      <alignment horizontal="center"/>
    </xf>
    <xf numFmtId="43" fontId="5" fillId="0" borderId="1" xfId="7" applyFont="1" applyBorder="1" applyAlignment="1">
      <alignment horizontal="center"/>
    </xf>
    <xf numFmtId="43" fontId="3" fillId="0" borderId="0" xfId="1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30">
    <cellStyle name="Comma" xfId="1" builtinId="3"/>
    <cellStyle name="Comma 2" xfId="12"/>
    <cellStyle name="Comma 3" xfId="15"/>
    <cellStyle name="Comma 6" xfId="3"/>
    <cellStyle name="Normal" xfId="0" builtinId="0"/>
    <cellStyle name="Normal 2" xfId="11"/>
    <cellStyle name="Normal 2 2" xfId="16"/>
    <cellStyle name="Normal 3" xfId="4"/>
    <cellStyle name="เครื่องหมายจุลภาค 2" xfId="2"/>
    <cellStyle name="จุลภาค 10 2" xfId="17"/>
    <cellStyle name="จุลภาค 11 3" xfId="18"/>
    <cellStyle name="จุลภาค 13" xfId="19"/>
    <cellStyle name="จุลภาค 2" xfId="9"/>
    <cellStyle name="จุลภาค 2 2" xfId="5"/>
    <cellStyle name="จุลภาค 3" xfId="20"/>
    <cellStyle name="จุลภาค 4" xfId="7"/>
    <cellStyle name="จุลภาค 5" xfId="21"/>
    <cellStyle name="ปกติ 11" xfId="22"/>
    <cellStyle name="ปกติ 12" xfId="23"/>
    <cellStyle name="ปกติ 2" xfId="14"/>
    <cellStyle name="ปกติ 2 2" xfId="24"/>
    <cellStyle name="ปกติ 2 2 2" xfId="25"/>
    <cellStyle name="ปกติ 3" xfId="13"/>
    <cellStyle name="ปกติ 3 2" xfId="26"/>
    <cellStyle name="ปกติ 4" xfId="8"/>
    <cellStyle name="ปกติ 4 2" xfId="27"/>
    <cellStyle name="ปกติ 5" xfId="10"/>
    <cellStyle name="ปกติ 6" xfId="28"/>
    <cellStyle name="ปกติ 7" xfId="29"/>
    <cellStyle name="ปกติ 8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6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256222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1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2</xdr:row>
      <xdr:rowOff>9524</xdr:rowOff>
    </xdr:from>
    <xdr:to>
      <xdr:col>1</xdr:col>
      <xdr:colOff>4331</xdr:colOff>
      <xdr:row>3</xdr:row>
      <xdr:rowOff>256221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600074"/>
          <a:ext cx="642506" cy="541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L52"/>
  <sheetViews>
    <sheetView tabSelected="1" topLeftCell="A2" zoomScaleSheetLayoutView="90" workbookViewId="0">
      <selection activeCell="B4" sqref="B4"/>
    </sheetView>
  </sheetViews>
  <sheetFormatPr defaultColWidth="9" defaultRowHeight="23.25"/>
  <cols>
    <col min="1" max="1" width="9" style="1"/>
    <col min="2" max="2" width="48.25" style="1" customWidth="1"/>
    <col min="3" max="3" width="22.5" style="3" customWidth="1"/>
    <col min="4" max="4" width="14.875" style="23" customWidth="1"/>
    <col min="5" max="5" width="13.125" style="1" customWidth="1"/>
    <col min="6" max="6" width="12.25" style="2" customWidth="1"/>
    <col min="7" max="7" width="12.625" style="2" customWidth="1"/>
    <col min="8" max="8" width="11.875" style="2" customWidth="1"/>
    <col min="9" max="9" width="11.875" style="1" hidden="1" customWidth="1"/>
    <col min="10" max="11" width="12" style="1" hidden="1" customWidth="1"/>
    <col min="12" max="12" width="9" style="1" hidden="1" customWidth="1"/>
    <col min="13" max="16384" width="9" style="1"/>
  </cols>
  <sheetData>
    <row r="1" spans="1:12" hidden="1"/>
    <row r="2" spans="1:12">
      <c r="A2" s="27" t="s">
        <v>13</v>
      </c>
      <c r="B2" s="27"/>
      <c r="C2" s="27"/>
      <c r="D2" s="27"/>
      <c r="E2" s="27"/>
    </row>
    <row r="3" spans="1:12">
      <c r="A3" s="3"/>
      <c r="B3" s="3"/>
      <c r="D3" s="17"/>
      <c r="E3" s="3"/>
    </row>
    <row r="4" spans="1:12">
      <c r="B4" s="1" t="s">
        <v>14</v>
      </c>
      <c r="D4" s="17"/>
    </row>
    <row r="5" spans="1:12">
      <c r="A5" s="16" t="s">
        <v>12</v>
      </c>
      <c r="B5" s="16" t="s">
        <v>11</v>
      </c>
      <c r="C5" s="16" t="s">
        <v>10</v>
      </c>
      <c r="D5" s="10" t="s">
        <v>4</v>
      </c>
      <c r="E5" s="15" t="s">
        <v>9</v>
      </c>
      <c r="F5" s="14" t="s">
        <v>8</v>
      </c>
      <c r="G5" s="14" t="s">
        <v>7</v>
      </c>
      <c r="H5" s="14" t="s">
        <v>6</v>
      </c>
      <c r="I5" s="13" t="s">
        <v>8</v>
      </c>
      <c r="J5" s="13" t="s">
        <v>7</v>
      </c>
      <c r="K5" s="13" t="s">
        <v>6</v>
      </c>
      <c r="L5" s="13" t="s">
        <v>5</v>
      </c>
    </row>
    <row r="6" spans="1:12">
      <c r="A6" s="16">
        <v>1</v>
      </c>
      <c r="B6" s="21" t="s">
        <v>27</v>
      </c>
      <c r="C6" s="21" t="s">
        <v>41</v>
      </c>
      <c r="D6" s="10">
        <v>16366.7</v>
      </c>
      <c r="E6" s="16">
        <v>5</v>
      </c>
      <c r="F6" s="7">
        <v>0</v>
      </c>
      <c r="G6" s="7">
        <v>16365.7</v>
      </c>
      <c r="H6" s="7">
        <v>1</v>
      </c>
      <c r="I6" s="12">
        <f t="shared" ref="I6:I47" si="0">F6</f>
        <v>0</v>
      </c>
      <c r="J6" s="11">
        <f t="shared" ref="J6:J47" si="1">G6-F6</f>
        <v>16365.7</v>
      </c>
      <c r="K6" s="11">
        <f t="shared" ref="K6:K47" si="2">D6-J6</f>
        <v>1</v>
      </c>
      <c r="L6" s="11">
        <f t="shared" ref="L6:L47" si="3">I6</f>
        <v>0</v>
      </c>
    </row>
    <row r="7" spans="1:12">
      <c r="A7" s="16">
        <v>2</v>
      </c>
      <c r="B7" s="21" t="s">
        <v>28</v>
      </c>
      <c r="C7" s="21" t="s">
        <v>42</v>
      </c>
      <c r="D7" s="10">
        <v>200000</v>
      </c>
      <c r="E7" s="16">
        <v>5</v>
      </c>
      <c r="F7" s="7">
        <v>0</v>
      </c>
      <c r="G7" s="7">
        <v>199999</v>
      </c>
      <c r="H7" s="7">
        <v>1</v>
      </c>
      <c r="I7" s="12">
        <f t="shared" si="0"/>
        <v>0</v>
      </c>
      <c r="J7" s="11">
        <f t="shared" si="1"/>
        <v>199999</v>
      </c>
      <c r="K7" s="11">
        <f t="shared" si="2"/>
        <v>1</v>
      </c>
      <c r="L7" s="11">
        <f t="shared" si="3"/>
        <v>0</v>
      </c>
    </row>
    <row r="8" spans="1:12">
      <c r="A8" s="16">
        <v>3</v>
      </c>
      <c r="B8" s="21" t="s">
        <v>29</v>
      </c>
      <c r="C8" s="21" t="s">
        <v>43</v>
      </c>
      <c r="D8" s="10">
        <v>510000</v>
      </c>
      <c r="E8" s="16">
        <v>5</v>
      </c>
      <c r="F8" s="7">
        <v>0</v>
      </c>
      <c r="G8" s="7">
        <v>509999</v>
      </c>
      <c r="H8" s="7">
        <v>1</v>
      </c>
      <c r="I8" s="12"/>
      <c r="J8" s="11"/>
      <c r="K8" s="11"/>
      <c r="L8" s="11"/>
    </row>
    <row r="9" spans="1:12">
      <c r="A9" s="16">
        <v>4</v>
      </c>
      <c r="B9" s="21" t="s">
        <v>29</v>
      </c>
      <c r="C9" s="21" t="s">
        <v>44</v>
      </c>
      <c r="D9" s="10">
        <v>510000</v>
      </c>
      <c r="E9" s="16">
        <v>5</v>
      </c>
      <c r="F9" s="7">
        <v>0</v>
      </c>
      <c r="G9" s="7">
        <v>509999</v>
      </c>
      <c r="H9" s="7">
        <v>1</v>
      </c>
      <c r="I9" s="12"/>
      <c r="J9" s="11"/>
      <c r="K9" s="11"/>
      <c r="L9" s="11"/>
    </row>
    <row r="10" spans="1:12">
      <c r="A10" s="16">
        <v>5</v>
      </c>
      <c r="B10" s="21" t="s">
        <v>30</v>
      </c>
      <c r="C10" s="21" t="s">
        <v>45</v>
      </c>
      <c r="D10" s="10">
        <v>188000</v>
      </c>
      <c r="E10" s="16">
        <v>5</v>
      </c>
      <c r="F10" s="7">
        <v>0</v>
      </c>
      <c r="G10" s="7">
        <v>187999</v>
      </c>
      <c r="H10" s="7">
        <v>1</v>
      </c>
      <c r="I10" s="12"/>
      <c r="J10" s="11"/>
      <c r="K10" s="11"/>
      <c r="L10" s="11"/>
    </row>
    <row r="11" spans="1:12">
      <c r="A11" s="16">
        <v>6</v>
      </c>
      <c r="B11" s="21" t="s">
        <v>30</v>
      </c>
      <c r="C11" s="21" t="s">
        <v>46</v>
      </c>
      <c r="D11" s="10">
        <v>180000</v>
      </c>
      <c r="E11" s="16">
        <v>5</v>
      </c>
      <c r="F11" s="7">
        <v>0</v>
      </c>
      <c r="G11" s="7">
        <v>179999</v>
      </c>
      <c r="H11" s="7">
        <v>1</v>
      </c>
      <c r="I11" s="12"/>
      <c r="J11" s="11"/>
      <c r="K11" s="11"/>
      <c r="L11" s="11"/>
    </row>
    <row r="12" spans="1:12">
      <c r="A12" s="16">
        <v>7</v>
      </c>
      <c r="B12" s="21" t="s">
        <v>30</v>
      </c>
      <c r="C12" s="21" t="s">
        <v>47</v>
      </c>
      <c r="D12" s="10">
        <v>180000</v>
      </c>
      <c r="E12" s="16">
        <v>5</v>
      </c>
      <c r="F12" s="7">
        <v>0</v>
      </c>
      <c r="G12" s="7">
        <v>179999</v>
      </c>
      <c r="H12" s="7">
        <v>1</v>
      </c>
      <c r="I12" s="12"/>
      <c r="J12" s="11"/>
      <c r="K12" s="11"/>
      <c r="L12" s="11"/>
    </row>
    <row r="13" spans="1:12">
      <c r="A13" s="16">
        <v>8</v>
      </c>
      <c r="B13" s="21" t="s">
        <v>30</v>
      </c>
      <c r="C13" s="21" t="s">
        <v>48</v>
      </c>
      <c r="D13" s="10">
        <v>180000</v>
      </c>
      <c r="E13" s="16">
        <v>5</v>
      </c>
      <c r="F13" s="7">
        <v>0</v>
      </c>
      <c r="G13" s="7">
        <v>179999</v>
      </c>
      <c r="H13" s="7">
        <v>1</v>
      </c>
      <c r="I13" s="12"/>
      <c r="J13" s="11"/>
      <c r="K13" s="11"/>
      <c r="L13" s="11"/>
    </row>
    <row r="14" spans="1:12">
      <c r="A14" s="16">
        <v>9</v>
      </c>
      <c r="B14" s="21" t="s">
        <v>30</v>
      </c>
      <c r="C14" s="21" t="s">
        <v>49</v>
      </c>
      <c r="D14" s="10">
        <v>180000</v>
      </c>
      <c r="E14" s="16">
        <v>5</v>
      </c>
      <c r="F14" s="7">
        <v>0</v>
      </c>
      <c r="G14" s="7">
        <v>179999</v>
      </c>
      <c r="H14" s="7">
        <v>1</v>
      </c>
      <c r="I14" s="12"/>
      <c r="J14" s="11"/>
      <c r="K14" s="11"/>
      <c r="L14" s="11"/>
    </row>
    <row r="15" spans="1:12">
      <c r="A15" s="16">
        <v>10</v>
      </c>
      <c r="B15" s="21" t="s">
        <v>30</v>
      </c>
      <c r="C15" s="21" t="s">
        <v>50</v>
      </c>
      <c r="D15" s="10">
        <v>180000</v>
      </c>
      <c r="E15" s="16">
        <v>5</v>
      </c>
      <c r="F15" s="7">
        <v>0</v>
      </c>
      <c r="G15" s="7">
        <v>179999</v>
      </c>
      <c r="H15" s="7">
        <v>1</v>
      </c>
      <c r="I15" s="12"/>
      <c r="J15" s="11"/>
      <c r="K15" s="11"/>
      <c r="L15" s="11"/>
    </row>
    <row r="16" spans="1:12">
      <c r="A16" s="16">
        <v>11</v>
      </c>
      <c r="B16" s="21" t="s">
        <v>30</v>
      </c>
      <c r="C16" s="21" t="s">
        <v>51</v>
      </c>
      <c r="D16" s="10">
        <v>7800</v>
      </c>
      <c r="E16" s="16">
        <v>5</v>
      </c>
      <c r="F16" s="7">
        <v>0</v>
      </c>
      <c r="G16" s="7">
        <v>7799</v>
      </c>
      <c r="H16" s="7">
        <v>1</v>
      </c>
      <c r="I16" s="12"/>
      <c r="J16" s="11"/>
      <c r="K16" s="11"/>
      <c r="L16" s="11"/>
    </row>
    <row r="17" spans="1:12">
      <c r="A17" s="16">
        <v>12</v>
      </c>
      <c r="B17" s="21" t="s">
        <v>30</v>
      </c>
      <c r="C17" s="21" t="s">
        <v>52</v>
      </c>
      <c r="D17" s="10">
        <v>7800</v>
      </c>
      <c r="E17" s="16">
        <v>5</v>
      </c>
      <c r="F17" s="7">
        <v>0</v>
      </c>
      <c r="G17" s="7">
        <v>7799</v>
      </c>
      <c r="H17" s="7">
        <v>1</v>
      </c>
      <c r="I17" s="12"/>
      <c r="J17" s="11"/>
      <c r="K17" s="11"/>
      <c r="L17" s="11"/>
    </row>
    <row r="18" spans="1:12">
      <c r="A18" s="16">
        <v>13</v>
      </c>
      <c r="B18" s="21" t="s">
        <v>30</v>
      </c>
      <c r="C18" s="21" t="s">
        <v>53</v>
      </c>
      <c r="D18" s="10">
        <v>7800</v>
      </c>
      <c r="E18" s="16">
        <v>5</v>
      </c>
      <c r="F18" s="7">
        <v>0</v>
      </c>
      <c r="G18" s="7">
        <v>7799</v>
      </c>
      <c r="H18" s="7">
        <v>1</v>
      </c>
      <c r="I18" s="12"/>
      <c r="J18" s="11"/>
      <c r="K18" s="11"/>
      <c r="L18" s="11"/>
    </row>
    <row r="19" spans="1:12">
      <c r="A19" s="16">
        <v>14</v>
      </c>
      <c r="B19" s="21" t="s">
        <v>30</v>
      </c>
      <c r="C19" s="21" t="s">
        <v>54</v>
      </c>
      <c r="D19" s="10">
        <v>7800</v>
      </c>
      <c r="E19" s="16">
        <v>5</v>
      </c>
      <c r="F19" s="7">
        <v>0</v>
      </c>
      <c r="G19" s="7">
        <v>7799</v>
      </c>
      <c r="H19" s="7">
        <v>1</v>
      </c>
      <c r="I19" s="12"/>
      <c r="J19" s="11"/>
      <c r="K19" s="11"/>
      <c r="L19" s="11"/>
    </row>
    <row r="20" spans="1:12">
      <c r="A20" s="16">
        <v>15</v>
      </c>
      <c r="B20" s="21" t="s">
        <v>30</v>
      </c>
      <c r="C20" s="21" t="s">
        <v>55</v>
      </c>
      <c r="D20" s="10">
        <v>7800</v>
      </c>
      <c r="E20" s="16">
        <v>5</v>
      </c>
      <c r="F20" s="7">
        <v>0</v>
      </c>
      <c r="G20" s="7">
        <v>7799</v>
      </c>
      <c r="H20" s="7">
        <v>1</v>
      </c>
      <c r="I20" s="12"/>
      <c r="J20" s="11"/>
      <c r="K20" s="11"/>
      <c r="L20" s="11"/>
    </row>
    <row r="21" spans="1:12">
      <c r="A21" s="16">
        <v>16</v>
      </c>
      <c r="B21" s="21" t="s">
        <v>30</v>
      </c>
      <c r="C21" s="21" t="s">
        <v>56</v>
      </c>
      <c r="D21" s="10">
        <v>7800</v>
      </c>
      <c r="E21" s="16">
        <v>5</v>
      </c>
      <c r="F21" s="7">
        <v>0</v>
      </c>
      <c r="G21" s="7">
        <v>7799</v>
      </c>
      <c r="H21" s="7">
        <v>1</v>
      </c>
      <c r="I21" s="12"/>
      <c r="J21" s="11"/>
      <c r="K21" s="11"/>
      <c r="L21" s="11"/>
    </row>
    <row r="22" spans="1:12">
      <c r="A22" s="16">
        <v>17</v>
      </c>
      <c r="B22" s="21" t="s">
        <v>30</v>
      </c>
      <c r="C22" s="21" t="s">
        <v>57</v>
      </c>
      <c r="D22" s="10">
        <v>7800</v>
      </c>
      <c r="E22" s="16">
        <v>5</v>
      </c>
      <c r="F22" s="7">
        <v>0</v>
      </c>
      <c r="G22" s="7">
        <v>7799</v>
      </c>
      <c r="H22" s="7">
        <v>1</v>
      </c>
      <c r="I22" s="12"/>
      <c r="J22" s="11"/>
      <c r="K22" s="11"/>
      <c r="L22" s="11"/>
    </row>
    <row r="23" spans="1:12">
      <c r="A23" s="16">
        <v>18</v>
      </c>
      <c r="B23" s="21" t="s">
        <v>30</v>
      </c>
      <c r="C23" s="21" t="s">
        <v>58</v>
      </c>
      <c r="D23" s="10">
        <v>7800</v>
      </c>
      <c r="E23" s="16">
        <v>5</v>
      </c>
      <c r="F23" s="7">
        <v>0</v>
      </c>
      <c r="G23" s="7">
        <v>7799</v>
      </c>
      <c r="H23" s="7">
        <v>1</v>
      </c>
      <c r="I23" s="12"/>
      <c r="J23" s="11"/>
      <c r="K23" s="11"/>
      <c r="L23" s="11"/>
    </row>
    <row r="24" spans="1:12">
      <c r="A24" s="16">
        <v>19</v>
      </c>
      <c r="B24" s="21" t="s">
        <v>30</v>
      </c>
      <c r="C24" s="21" t="s">
        <v>59</v>
      </c>
      <c r="D24" s="10">
        <v>7800</v>
      </c>
      <c r="E24" s="16">
        <v>5</v>
      </c>
      <c r="F24" s="7">
        <v>0</v>
      </c>
      <c r="G24" s="7">
        <v>7799</v>
      </c>
      <c r="H24" s="7">
        <v>1</v>
      </c>
      <c r="I24" s="12"/>
      <c r="J24" s="11"/>
      <c r="K24" s="11"/>
      <c r="L24" s="11"/>
    </row>
    <row r="25" spans="1:12">
      <c r="A25" s="16">
        <v>20</v>
      </c>
      <c r="B25" s="21" t="s">
        <v>30</v>
      </c>
      <c r="C25" s="21" t="s">
        <v>60</v>
      </c>
      <c r="D25" s="10">
        <v>188000</v>
      </c>
      <c r="E25" s="16">
        <v>5</v>
      </c>
      <c r="F25" s="7">
        <v>0</v>
      </c>
      <c r="G25" s="7">
        <v>187999</v>
      </c>
      <c r="H25" s="7">
        <v>1</v>
      </c>
      <c r="I25" s="12"/>
      <c r="J25" s="11"/>
      <c r="K25" s="11"/>
      <c r="L25" s="11"/>
    </row>
    <row r="26" spans="1:12">
      <c r="A26" s="16">
        <v>21</v>
      </c>
      <c r="B26" s="21" t="s">
        <v>31</v>
      </c>
      <c r="C26" s="21" t="s">
        <v>61</v>
      </c>
      <c r="D26" s="10">
        <v>1040000</v>
      </c>
      <c r="E26" s="16">
        <v>5</v>
      </c>
      <c r="F26" s="7">
        <v>0</v>
      </c>
      <c r="G26" s="7">
        <v>1039999</v>
      </c>
      <c r="H26" s="7">
        <v>1</v>
      </c>
      <c r="I26" s="12"/>
      <c r="J26" s="11"/>
      <c r="K26" s="11"/>
      <c r="L26" s="11"/>
    </row>
    <row r="27" spans="1:12">
      <c r="A27" s="16">
        <v>22</v>
      </c>
      <c r="B27" s="21" t="s">
        <v>32</v>
      </c>
      <c r="C27" s="21" t="s">
        <v>62</v>
      </c>
      <c r="D27" s="10">
        <v>238000</v>
      </c>
      <c r="E27" s="16">
        <v>5</v>
      </c>
      <c r="F27" s="7">
        <v>0</v>
      </c>
      <c r="G27" s="7">
        <v>237999</v>
      </c>
      <c r="H27" s="7">
        <v>1</v>
      </c>
      <c r="I27" s="12"/>
      <c r="J27" s="11"/>
      <c r="K27" s="11"/>
      <c r="L27" s="11"/>
    </row>
    <row r="28" spans="1:12">
      <c r="A28" s="16">
        <v>23</v>
      </c>
      <c r="B28" s="21" t="s">
        <v>33</v>
      </c>
      <c r="C28" s="21" t="s">
        <v>63</v>
      </c>
      <c r="D28" s="10">
        <v>485000</v>
      </c>
      <c r="E28" s="16">
        <v>5</v>
      </c>
      <c r="F28" s="7">
        <v>0</v>
      </c>
      <c r="G28" s="7">
        <v>484999</v>
      </c>
      <c r="H28" s="7">
        <v>1</v>
      </c>
      <c r="I28" s="12"/>
      <c r="J28" s="11"/>
      <c r="K28" s="11"/>
      <c r="L28" s="11"/>
    </row>
    <row r="29" spans="1:12">
      <c r="A29" s="16">
        <v>24</v>
      </c>
      <c r="B29" s="21" t="s">
        <v>34</v>
      </c>
      <c r="C29" s="21" t="s">
        <v>64</v>
      </c>
      <c r="D29" s="10">
        <v>190000</v>
      </c>
      <c r="E29" s="16">
        <v>5</v>
      </c>
      <c r="F29" s="7">
        <v>0</v>
      </c>
      <c r="G29" s="7">
        <v>189999</v>
      </c>
      <c r="H29" s="7">
        <v>1</v>
      </c>
      <c r="I29" s="12"/>
      <c r="J29" s="11"/>
      <c r="K29" s="11"/>
      <c r="L29" s="11"/>
    </row>
    <row r="30" spans="1:12">
      <c r="A30" s="16">
        <v>25</v>
      </c>
      <c r="B30" s="21" t="s">
        <v>35</v>
      </c>
      <c r="C30" s="21" t="s">
        <v>65</v>
      </c>
      <c r="D30" s="10">
        <v>200000</v>
      </c>
      <c r="E30" s="16">
        <v>5</v>
      </c>
      <c r="F30" s="7">
        <v>0</v>
      </c>
      <c r="G30" s="7">
        <v>199999</v>
      </c>
      <c r="H30" s="7">
        <v>1</v>
      </c>
      <c r="I30" s="12"/>
      <c r="J30" s="11"/>
      <c r="K30" s="11"/>
      <c r="L30" s="11"/>
    </row>
    <row r="31" spans="1:12">
      <c r="A31" s="16">
        <v>26</v>
      </c>
      <c r="B31" s="21" t="s">
        <v>36</v>
      </c>
      <c r="C31" s="21" t="s">
        <v>66</v>
      </c>
      <c r="D31" s="10">
        <v>24000</v>
      </c>
      <c r="E31" s="16">
        <v>5</v>
      </c>
      <c r="F31" s="7">
        <v>0</v>
      </c>
      <c r="G31" s="7">
        <v>23999</v>
      </c>
      <c r="H31" s="7">
        <v>1</v>
      </c>
      <c r="I31" s="12"/>
      <c r="J31" s="11"/>
      <c r="K31" s="11"/>
      <c r="L31" s="11"/>
    </row>
    <row r="32" spans="1:12">
      <c r="A32" s="16">
        <v>27</v>
      </c>
      <c r="B32" s="21" t="s">
        <v>37</v>
      </c>
      <c r="C32" s="21" t="s">
        <v>67</v>
      </c>
      <c r="D32" s="10">
        <v>200000</v>
      </c>
      <c r="E32" s="16">
        <v>5</v>
      </c>
      <c r="F32" s="7">
        <v>0</v>
      </c>
      <c r="G32" s="7">
        <v>199999</v>
      </c>
      <c r="H32" s="7">
        <v>1</v>
      </c>
      <c r="I32" s="12"/>
      <c r="J32" s="11"/>
      <c r="K32" s="11"/>
      <c r="L32" s="11"/>
    </row>
    <row r="33" spans="1:12">
      <c r="A33" s="16">
        <v>28</v>
      </c>
      <c r="B33" s="21" t="s">
        <v>38</v>
      </c>
      <c r="C33" s="21" t="s">
        <v>68</v>
      </c>
      <c r="D33" s="10">
        <v>24500</v>
      </c>
      <c r="E33" s="16">
        <v>5</v>
      </c>
      <c r="F33" s="7">
        <v>0</v>
      </c>
      <c r="G33" s="7">
        <v>24499</v>
      </c>
      <c r="H33" s="7">
        <v>1</v>
      </c>
      <c r="I33" s="12"/>
      <c r="J33" s="11"/>
      <c r="K33" s="11"/>
      <c r="L33" s="11"/>
    </row>
    <row r="34" spans="1:12">
      <c r="A34" s="16">
        <v>29</v>
      </c>
      <c r="B34" s="21" t="s">
        <v>38</v>
      </c>
      <c r="C34" s="21" t="s">
        <v>69</v>
      </c>
      <c r="D34" s="10">
        <v>24500</v>
      </c>
      <c r="E34" s="16">
        <v>5</v>
      </c>
      <c r="F34" s="7">
        <v>0</v>
      </c>
      <c r="G34" s="7">
        <v>24499</v>
      </c>
      <c r="H34" s="7">
        <v>1</v>
      </c>
      <c r="I34" s="12"/>
      <c r="J34" s="11"/>
      <c r="K34" s="11"/>
      <c r="L34" s="11"/>
    </row>
    <row r="35" spans="1:12">
      <c r="A35" s="16">
        <v>30</v>
      </c>
      <c r="B35" s="21" t="s">
        <v>38</v>
      </c>
      <c r="C35" s="21" t="s">
        <v>70</v>
      </c>
      <c r="D35" s="10">
        <v>24500</v>
      </c>
      <c r="E35" s="16">
        <v>5</v>
      </c>
      <c r="F35" s="7">
        <v>0</v>
      </c>
      <c r="G35" s="7">
        <v>24499</v>
      </c>
      <c r="H35" s="7">
        <v>1</v>
      </c>
      <c r="I35" s="12"/>
      <c r="J35" s="11"/>
      <c r="K35" s="11"/>
      <c r="L35" s="11"/>
    </row>
    <row r="36" spans="1:12">
      <c r="A36" s="16">
        <v>31</v>
      </c>
      <c r="B36" s="21" t="s">
        <v>38</v>
      </c>
      <c r="C36" s="21" t="s">
        <v>71</v>
      </c>
      <c r="D36" s="10">
        <v>24500</v>
      </c>
      <c r="E36" s="16">
        <v>5</v>
      </c>
      <c r="F36" s="7">
        <v>0</v>
      </c>
      <c r="G36" s="7">
        <v>24499</v>
      </c>
      <c r="H36" s="7">
        <v>1</v>
      </c>
      <c r="I36" s="12"/>
      <c r="J36" s="11"/>
      <c r="K36" s="11"/>
      <c r="L36" s="11"/>
    </row>
    <row r="37" spans="1:12">
      <c r="A37" s="16">
        <v>32</v>
      </c>
      <c r="B37" s="21" t="s">
        <v>38</v>
      </c>
      <c r="C37" s="21" t="s">
        <v>72</v>
      </c>
      <c r="D37" s="10">
        <v>24500</v>
      </c>
      <c r="E37" s="16">
        <v>5</v>
      </c>
      <c r="F37" s="7">
        <v>0</v>
      </c>
      <c r="G37" s="7">
        <v>24499</v>
      </c>
      <c r="H37" s="7">
        <v>1</v>
      </c>
      <c r="I37" s="12"/>
      <c r="J37" s="11"/>
      <c r="K37" s="11"/>
      <c r="L37" s="11"/>
    </row>
    <row r="38" spans="1:12">
      <c r="A38" s="16">
        <v>33</v>
      </c>
      <c r="B38" s="21" t="s">
        <v>39</v>
      </c>
      <c r="C38" s="21" t="s">
        <v>73</v>
      </c>
      <c r="D38" s="10">
        <v>5500</v>
      </c>
      <c r="E38" s="16">
        <v>5</v>
      </c>
      <c r="F38" s="7">
        <v>0</v>
      </c>
      <c r="G38" s="7">
        <v>5499</v>
      </c>
      <c r="H38" s="7">
        <v>1</v>
      </c>
      <c r="I38" s="12"/>
      <c r="J38" s="11"/>
      <c r="K38" s="11"/>
      <c r="L38" s="11"/>
    </row>
    <row r="39" spans="1:12">
      <c r="A39" s="16">
        <v>34</v>
      </c>
      <c r="B39" s="21" t="s">
        <v>39</v>
      </c>
      <c r="C39" s="21" t="s">
        <v>74</v>
      </c>
      <c r="D39" s="10">
        <v>5500</v>
      </c>
      <c r="E39" s="16">
        <v>5</v>
      </c>
      <c r="F39" s="7">
        <v>0</v>
      </c>
      <c r="G39" s="7">
        <v>5499</v>
      </c>
      <c r="H39" s="7">
        <v>1</v>
      </c>
      <c r="I39" s="12"/>
      <c r="J39" s="11"/>
      <c r="K39" s="11"/>
      <c r="L39" s="11"/>
    </row>
    <row r="40" spans="1:12">
      <c r="A40" s="16">
        <v>35</v>
      </c>
      <c r="B40" s="21" t="s">
        <v>40</v>
      </c>
      <c r="C40" s="21" t="s">
        <v>75</v>
      </c>
      <c r="D40" s="10">
        <v>11600</v>
      </c>
      <c r="E40" s="16">
        <v>5</v>
      </c>
      <c r="F40" s="7">
        <v>0</v>
      </c>
      <c r="G40" s="7">
        <v>11599</v>
      </c>
      <c r="H40" s="7">
        <v>1</v>
      </c>
      <c r="I40" s="12"/>
      <c r="J40" s="11"/>
      <c r="K40" s="11"/>
      <c r="L40" s="11"/>
    </row>
    <row r="41" spans="1:12">
      <c r="A41" s="16">
        <v>3</v>
      </c>
      <c r="B41" s="18" t="s">
        <v>15</v>
      </c>
      <c r="C41" s="22" t="s">
        <v>20</v>
      </c>
      <c r="D41" s="24">
        <v>40010</v>
      </c>
      <c r="E41" s="20">
        <v>5</v>
      </c>
      <c r="F41" s="7">
        <v>8002</v>
      </c>
      <c r="G41" s="7">
        <v>11336.15</v>
      </c>
      <c r="H41" s="7">
        <v>28673.85</v>
      </c>
      <c r="I41" s="12">
        <f t="shared" si="0"/>
        <v>8002</v>
      </c>
      <c r="J41" s="11">
        <f t="shared" si="1"/>
        <v>3334.1499999999996</v>
      </c>
      <c r="K41" s="11">
        <f t="shared" si="2"/>
        <v>36675.85</v>
      </c>
      <c r="L41" s="11">
        <f t="shared" si="3"/>
        <v>8002</v>
      </c>
    </row>
    <row r="42" spans="1:12">
      <c r="A42" s="16">
        <v>4</v>
      </c>
      <c r="B42" s="18" t="s">
        <v>15</v>
      </c>
      <c r="C42" s="22" t="s">
        <v>21</v>
      </c>
      <c r="D42" s="24">
        <v>40010</v>
      </c>
      <c r="E42" s="20">
        <v>5</v>
      </c>
      <c r="F42" s="7">
        <v>8002</v>
      </c>
      <c r="G42" s="7">
        <v>11336.15</v>
      </c>
      <c r="H42" s="7">
        <v>28673.85</v>
      </c>
      <c r="I42" s="12">
        <f t="shared" si="0"/>
        <v>8002</v>
      </c>
      <c r="J42" s="11">
        <f t="shared" si="1"/>
        <v>3334.1499999999996</v>
      </c>
      <c r="K42" s="11">
        <f t="shared" si="2"/>
        <v>36675.85</v>
      </c>
      <c r="L42" s="11">
        <f t="shared" si="3"/>
        <v>8002</v>
      </c>
    </row>
    <row r="43" spans="1:12">
      <c r="A43" s="16">
        <v>5</v>
      </c>
      <c r="B43" s="19" t="s">
        <v>16</v>
      </c>
      <c r="C43" s="22" t="s">
        <v>22</v>
      </c>
      <c r="D43" s="25">
        <v>12840</v>
      </c>
      <c r="E43" s="20">
        <v>5</v>
      </c>
      <c r="F43" s="7">
        <v>2568</v>
      </c>
      <c r="G43" s="7">
        <v>3210</v>
      </c>
      <c r="H43" s="7">
        <v>9630</v>
      </c>
      <c r="I43" s="12">
        <f t="shared" si="0"/>
        <v>2568</v>
      </c>
      <c r="J43" s="11">
        <f t="shared" si="1"/>
        <v>642</v>
      </c>
      <c r="K43" s="11">
        <f t="shared" si="2"/>
        <v>12198</v>
      </c>
      <c r="L43" s="11">
        <f t="shared" si="3"/>
        <v>2568</v>
      </c>
    </row>
    <row r="44" spans="1:12">
      <c r="A44" s="16">
        <v>6</v>
      </c>
      <c r="B44" s="19" t="s">
        <v>17</v>
      </c>
      <c r="C44" s="22" t="s">
        <v>23</v>
      </c>
      <c r="D44" s="25">
        <v>64200</v>
      </c>
      <c r="E44" s="20">
        <v>5</v>
      </c>
      <c r="F44" s="7">
        <v>12840</v>
      </c>
      <c r="G44" s="7">
        <v>16050</v>
      </c>
      <c r="H44" s="7">
        <v>48150</v>
      </c>
      <c r="I44" s="12">
        <f t="shared" si="0"/>
        <v>12840</v>
      </c>
      <c r="J44" s="11">
        <f t="shared" si="1"/>
        <v>3210</v>
      </c>
      <c r="K44" s="11">
        <f t="shared" si="2"/>
        <v>60990</v>
      </c>
      <c r="L44" s="11">
        <f t="shared" si="3"/>
        <v>12840</v>
      </c>
    </row>
    <row r="45" spans="1:12">
      <c r="A45" s="16">
        <v>7</v>
      </c>
      <c r="B45" s="19" t="s">
        <v>18</v>
      </c>
      <c r="C45" s="22" t="s">
        <v>24</v>
      </c>
      <c r="D45" s="25">
        <v>90950</v>
      </c>
      <c r="E45" s="20">
        <v>5</v>
      </c>
      <c r="F45" s="7">
        <v>18190</v>
      </c>
      <c r="G45" s="7">
        <v>22737.5</v>
      </c>
      <c r="H45" s="7">
        <v>68212.5</v>
      </c>
      <c r="I45" s="12">
        <f t="shared" si="0"/>
        <v>18190</v>
      </c>
      <c r="J45" s="11">
        <f t="shared" si="1"/>
        <v>4547.5</v>
      </c>
      <c r="K45" s="11">
        <f t="shared" si="2"/>
        <v>86402.5</v>
      </c>
      <c r="L45" s="11">
        <f t="shared" si="3"/>
        <v>18190</v>
      </c>
    </row>
    <row r="46" spans="1:12">
      <c r="A46" s="16">
        <v>8</v>
      </c>
      <c r="B46" s="19" t="s">
        <v>19</v>
      </c>
      <c r="C46" s="22" t="s">
        <v>25</v>
      </c>
      <c r="D46" s="25">
        <v>107000</v>
      </c>
      <c r="E46" s="20">
        <v>5</v>
      </c>
      <c r="F46" s="7">
        <v>21400</v>
      </c>
      <c r="G46" s="7">
        <v>26750</v>
      </c>
      <c r="H46" s="7">
        <v>80250</v>
      </c>
      <c r="I46" s="12">
        <f t="shared" si="0"/>
        <v>21400</v>
      </c>
      <c r="J46" s="11">
        <f t="shared" si="1"/>
        <v>5350</v>
      </c>
      <c r="K46" s="11">
        <f t="shared" si="2"/>
        <v>101650</v>
      </c>
      <c r="L46" s="11">
        <f t="shared" si="3"/>
        <v>21400</v>
      </c>
    </row>
    <row r="47" spans="1:12">
      <c r="A47" s="16">
        <v>9</v>
      </c>
      <c r="B47" s="19" t="s">
        <v>19</v>
      </c>
      <c r="C47" s="22" t="s">
        <v>26</v>
      </c>
      <c r="D47" s="25">
        <v>107000</v>
      </c>
      <c r="E47" s="20">
        <v>5</v>
      </c>
      <c r="F47" s="7">
        <v>21400</v>
      </c>
      <c r="G47" s="7">
        <v>26750</v>
      </c>
      <c r="H47" s="7">
        <v>80250</v>
      </c>
      <c r="I47" s="12">
        <f t="shared" si="0"/>
        <v>21400</v>
      </c>
      <c r="J47" s="11">
        <f t="shared" si="1"/>
        <v>5350</v>
      </c>
      <c r="K47" s="11">
        <f t="shared" si="2"/>
        <v>101650</v>
      </c>
      <c r="L47" s="11">
        <f t="shared" si="3"/>
        <v>21400</v>
      </c>
    </row>
    <row r="48" spans="1:12">
      <c r="A48" s="9"/>
      <c r="B48" s="9"/>
      <c r="C48" s="8"/>
      <c r="D48" s="10">
        <f>SUM(D6:D47)</f>
        <v>5566676.7000000002</v>
      </c>
      <c r="E48" s="7">
        <f>SUM(E6:E47)</f>
        <v>210</v>
      </c>
      <c r="F48" s="7">
        <f>SUM(F6:F47)</f>
        <v>92402</v>
      </c>
      <c r="G48" s="7">
        <f>SUM(G6:G47)</f>
        <v>5222801.5000000009</v>
      </c>
      <c r="H48" s="7">
        <f>SUM(H6:H47)</f>
        <v>343875.2</v>
      </c>
    </row>
    <row r="51" spans="3:7">
      <c r="D51" s="5" t="s">
        <v>4</v>
      </c>
      <c r="E51" s="6" t="s">
        <v>3</v>
      </c>
      <c r="F51" s="5" t="s">
        <v>2</v>
      </c>
      <c r="G51" s="5" t="s">
        <v>1</v>
      </c>
    </row>
    <row r="52" spans="3:7" ht="25.5">
      <c r="C52" s="4" t="s">
        <v>0</v>
      </c>
      <c r="D52" s="26">
        <f>D48</f>
        <v>5566676.7000000002</v>
      </c>
      <c r="E52" s="26">
        <f>F48</f>
        <v>92402</v>
      </c>
      <c r="F52" s="26">
        <f>G48</f>
        <v>5222801.5000000009</v>
      </c>
      <c r="G52" s="26">
        <f>H48</f>
        <v>343875.2</v>
      </c>
    </row>
  </sheetData>
  <autoFilter ref="A5:E5"/>
  <mergeCells count="1">
    <mergeCell ref="A2:E2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กีฬา งปม.</vt:lpstr>
      <vt:lpstr>'กีฬา งปม.'!Print_Area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2026-10-08T08:07:49Z</dcterms:created>
  <dcterms:modified xsi:type="dcterms:W3CDTF">2026-10-10T04:18:37Z</dcterms:modified>
</cp:coreProperties>
</file>