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งานแนน\ศูนย์แพทย์ปีงบ 69\ปีงบประมาณ 2569\"/>
    </mc:Choice>
  </mc:AlternateContent>
  <xr:revisionPtr revIDLastSave="0" documentId="13_ncr:1_{EAADE8C2-2A93-4325-BE26-F870C292304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แยกประเภทเงินบำรุงศูนย์แพทย " sheetId="3" r:id="rId1"/>
    <sheet name="ศูนย์แพทย์เงินบำรุง44-3 รายวัน" sheetId="1" r:id="rId2"/>
  </sheets>
  <externalReferences>
    <externalReference r:id="rId3"/>
  </externalReferences>
  <definedNames>
    <definedName name="_xlnm.Print_Area" localSheetId="0">'แยกประเภทเงินบำรุงศูนย์แพทย '!$A$115:$I$133</definedName>
    <definedName name="_xlnm.Print_Area" localSheetId="1">'ศูนย์แพทย์เงินบำรุง44-3 รายวัน'!$A$113:$I$127</definedName>
  </definedNames>
  <calcPr calcId="191029"/>
</workbook>
</file>

<file path=xl/calcChain.xml><?xml version="1.0" encoding="utf-8"?>
<calcChain xmlns="http://schemas.openxmlformats.org/spreadsheetml/2006/main">
  <c r="G132" i="3" l="1"/>
  <c r="K132" i="3"/>
  <c r="H132" i="3"/>
  <c r="H126" i="1"/>
  <c r="G126" i="1"/>
  <c r="H133" i="3"/>
  <c r="G133" i="3"/>
  <c r="G113" i="3"/>
  <c r="G114" i="3"/>
  <c r="H113" i="3"/>
  <c r="G100" i="1"/>
  <c r="G101" i="1" s="1"/>
  <c r="H100" i="1"/>
  <c r="H101" i="1" s="1"/>
  <c r="H89" i="1"/>
  <c r="H90" i="1" s="1"/>
  <c r="G53" i="3"/>
  <c r="G54" i="3" s="1"/>
  <c r="G65" i="1"/>
  <c r="H65" i="1"/>
  <c r="H66" i="1" s="1"/>
  <c r="H94" i="3"/>
  <c r="H95" i="3" s="1"/>
  <c r="G94" i="3"/>
  <c r="G95" i="3" s="1"/>
  <c r="K94" i="3"/>
  <c r="G89" i="1"/>
  <c r="G79" i="3"/>
  <c r="G80" i="3" s="1"/>
  <c r="H77" i="1"/>
  <c r="H69" i="3"/>
  <c r="H70" i="3" s="1"/>
  <c r="G69" i="3"/>
  <c r="G77" i="1"/>
  <c r="J69" i="3"/>
  <c r="G66" i="1"/>
  <c r="H52" i="1"/>
  <c r="H53" i="1" s="1"/>
  <c r="G52" i="1"/>
  <c r="G53" i="1" s="1"/>
  <c r="H42" i="1"/>
  <c r="H43" i="1" s="1"/>
  <c r="G42" i="1"/>
  <c r="H53" i="3"/>
  <c r="H54" i="3" s="1"/>
  <c r="G44" i="3"/>
  <c r="H31" i="1"/>
  <c r="H32" i="1" s="1"/>
  <c r="G31" i="1"/>
  <c r="G32" i="1" s="1"/>
  <c r="H35" i="3"/>
  <c r="G35" i="3"/>
  <c r="K35" i="3"/>
  <c r="I89" i="1" l="1"/>
  <c r="I94" i="3"/>
  <c r="I100" i="1"/>
  <c r="G90" i="1"/>
  <c r="I54" i="3"/>
  <c r="I69" i="3"/>
  <c r="I53" i="3"/>
  <c r="G70" i="3"/>
  <c r="I70" i="3" s="1"/>
  <c r="I65" i="1"/>
  <c r="I53" i="1"/>
  <c r="I52" i="1"/>
  <c r="I32" i="1"/>
  <c r="I31" i="1"/>
  <c r="G36" i="3" l="1"/>
  <c r="I35" i="3" l="1"/>
  <c r="H36" i="3"/>
  <c r="I36" i="3" s="1"/>
  <c r="H8" i="1"/>
  <c r="H9" i="1" s="1"/>
  <c r="G8" i="1"/>
  <c r="G9" i="1" s="1"/>
  <c r="I8" i="1" l="1"/>
  <c r="K146" i="3"/>
  <c r="H146" i="3"/>
  <c r="H147" i="3" s="1"/>
  <c r="G146" i="3"/>
  <c r="H127" i="1"/>
  <c r="G127" i="1"/>
  <c r="K113" i="3"/>
  <c r="H110" i="1"/>
  <c r="G110" i="1"/>
  <c r="G111" i="1" s="1"/>
  <c r="H111" i="1"/>
  <c r="H103" i="3"/>
  <c r="G103" i="3"/>
  <c r="K79" i="3"/>
  <c r="H79" i="3"/>
  <c r="H78" i="1"/>
  <c r="G78" i="1"/>
  <c r="G43" i="1"/>
  <c r="H44" i="3"/>
  <c r="K15" i="3"/>
  <c r="I7" i="3"/>
  <c r="H114" i="3"/>
  <c r="H80" i="3" l="1"/>
  <c r="I79" i="3"/>
  <c r="I146" i="3"/>
  <c r="G147" i="3"/>
  <c r="I147" i="3" s="1"/>
  <c r="I133" i="3"/>
  <c r="I132" i="3"/>
  <c r="I95" i="3"/>
  <c r="I90" i="1"/>
  <c r="I103" i="3"/>
  <c r="I114" i="3"/>
  <c r="I80" i="3"/>
  <c r="I113" i="3"/>
  <c r="J95" i="3" l="1"/>
  <c r="J54" i="3"/>
  <c r="J44" i="3"/>
  <c r="J133" i="3"/>
  <c r="J114" i="3"/>
  <c r="J80" i="3"/>
  <c r="J15" i="3"/>
  <c r="I9" i="1" l="1"/>
  <c r="H137" i="1"/>
  <c r="H138" i="1" s="1"/>
  <c r="G137" i="1"/>
  <c r="K90" i="1"/>
  <c r="L138" i="1"/>
  <c r="L127" i="1"/>
  <c r="L90" i="1"/>
  <c r="L78" i="1"/>
  <c r="L66" i="1"/>
  <c r="K127" i="1" l="1"/>
  <c r="I42" i="1"/>
  <c r="I126" i="1"/>
  <c r="I137" i="1"/>
  <c r="I127" i="1"/>
  <c r="I110" i="1"/>
  <c r="G138" i="1"/>
  <c r="I138" i="1" s="1"/>
  <c r="I111" i="1"/>
  <c r="I101" i="1"/>
  <c r="I77" i="1"/>
  <c r="I78" i="1"/>
  <c r="K78" i="1"/>
  <c r="M78" i="1" s="1"/>
  <c r="I66" i="1"/>
  <c r="M90" i="1"/>
  <c r="K66" i="1"/>
  <c r="K138" i="1"/>
  <c r="M138" i="1" s="1"/>
  <c r="J138" i="1" l="1"/>
  <c r="J53" i="1"/>
  <c r="I43" i="1"/>
  <c r="J43" i="1" s="1"/>
  <c r="J66" i="1"/>
  <c r="J127" i="1"/>
  <c r="J111" i="1"/>
  <c r="J90" i="1"/>
  <c r="J78" i="1"/>
</calcChain>
</file>

<file path=xl/sharedStrings.xml><?xml version="1.0" encoding="utf-8"?>
<sst xmlns="http://schemas.openxmlformats.org/spreadsheetml/2006/main" count="606" uniqueCount="142">
  <si>
    <t>เงินฝากธนาคารกระแสรายวัน เลขที่บัญชี 805-6-05844-3</t>
  </si>
  <si>
    <t>พ.ศ.</t>
  </si>
  <si>
    <t>ที่</t>
  </si>
  <si>
    <t>เลขที่เช็ค</t>
  </si>
  <si>
    <t>รายการ</t>
  </si>
  <si>
    <t>บริษัท/ห้าง/ร้าน/บุคคล</t>
  </si>
  <si>
    <t>เดบิต</t>
  </si>
  <si>
    <t>เครดิต</t>
  </si>
  <si>
    <t>ยอดคงเหลือ</t>
  </si>
  <si>
    <t>เดือน</t>
  </si>
  <si>
    <t>วันที่</t>
  </si>
  <si>
    <t>เอกสาร</t>
  </si>
  <si>
    <t>ยอดยกมา</t>
  </si>
  <si>
    <t>รวมประจำเดือน</t>
  </si>
  <si>
    <t>ภาษี ต.ค. 64</t>
  </si>
  <si>
    <t>รวมประจำปี</t>
  </si>
  <si>
    <t>พ.ย.</t>
  </si>
  <si>
    <t>ภาษี รายตัวตามแยกประเภท</t>
  </si>
  <si>
    <t>ธ.ค.</t>
  </si>
  <si>
    <t>ม.ค.</t>
  </si>
  <si>
    <t>มี.ค.</t>
  </si>
  <si>
    <t>ภาษี มีค. 64</t>
  </si>
  <si>
    <t>เม.ย.</t>
  </si>
  <si>
    <t>ภาษี เม.ย. 64</t>
  </si>
  <si>
    <t>พ.ค.</t>
  </si>
  <si>
    <t>ภาษี พ.ค. 64</t>
  </si>
  <si>
    <t>มิ.ย.</t>
  </si>
  <si>
    <t>ก.ค.</t>
  </si>
  <si>
    <t>ภาษี ก.ค. 64</t>
  </si>
  <si>
    <t>ส.ค.</t>
  </si>
  <si>
    <t>ภาษี ส.ค. 64</t>
  </si>
  <si>
    <t>ก.ย.</t>
  </si>
  <si>
    <t>ภาษี ก.ย. 64</t>
  </si>
  <si>
    <t>แยกประเภทเงินบำรุง - ศูนย์แพทย์ศาสตร์ชั้นคลีนิค</t>
  </si>
  <si>
    <t>ประจำเดือน กันยายน 2568</t>
  </si>
  <si>
    <t>ประจำเดือน ตุลาคม 2568</t>
  </si>
  <si>
    <t>ประจำเดือน พฤศจิกายน 2568</t>
  </si>
  <si>
    <t>ประจำเดือน ธันวาคม 2568</t>
  </si>
  <si>
    <t>ประจำเดือน มกราคม 2569</t>
  </si>
  <si>
    <t>ประจำเดือน มีนาคม 2569</t>
  </si>
  <si>
    <t>ประจำเดือน เมษายน 2569</t>
  </si>
  <si>
    <t>ประจำเดือน ก.ย. 2569</t>
  </si>
  <si>
    <t>ประจำเดือน มกราคม  2569</t>
  </si>
  <si>
    <t>ประจำเดือน สิงหาคม 2569</t>
  </si>
  <si>
    <t>กรมสรรพกร</t>
  </si>
  <si>
    <t xml:space="preserve">     ภาษี เดือน ก.ย.68 ภงด.53</t>
  </si>
  <si>
    <t>OE6900067</t>
  </si>
  <si>
    <t>OE6900636</t>
  </si>
  <si>
    <t>ค่าซ่อมน้ำรั่วห้องพักนักศึกษาแพทย์</t>
  </si>
  <si>
    <t>นางสาววิชชุกร วิเชียรธร</t>
  </si>
  <si>
    <t>ภาษี</t>
  </si>
  <si>
    <t>JV68120003</t>
  </si>
  <si>
    <t>OE6900714</t>
  </si>
  <si>
    <t>JV681223007</t>
  </si>
  <si>
    <t>OE6900715</t>
  </si>
  <si>
    <t>ค่ากำจัดปลวก</t>
  </si>
  <si>
    <t>บจก.ไทยซัคเซสโซลูชั่น</t>
  </si>
  <si>
    <t>JV681223008</t>
  </si>
  <si>
    <t>OE6900716</t>
  </si>
  <si>
    <t>ค่ากำจัดปลวก ก.ย.69</t>
  </si>
  <si>
    <t>JV681223010</t>
  </si>
  <si>
    <t>JV681223009</t>
  </si>
  <si>
    <t>OE6900717</t>
  </si>
  <si>
    <t>ค่ากำจัดปลวก ต.ค.68</t>
  </si>
  <si>
    <t>OE6900718</t>
  </si>
  <si>
    <t>ค่ากำจัดปลวก พ.ย.68</t>
  </si>
  <si>
    <t>JV681223001</t>
  </si>
  <si>
    <t>ค่าติดตั้งเหล็กกันตก ค่าติดตั้งกันสาดหน้าต่าง</t>
  </si>
  <si>
    <t>OE6900946</t>
  </si>
  <si>
    <t>OE6900947</t>
  </si>
  <si>
    <t xml:space="preserve">     ภาษี เดือน ธ.ค.68 ภงด.53</t>
  </si>
  <si>
    <t xml:space="preserve">     ภาษี เดือน ธ.ค.68 ภงด.54</t>
  </si>
  <si>
    <t>OE6901578</t>
  </si>
  <si>
    <t>ค่าธรรมเนียมการสอบประมวลความรู้ส่วนที่ 3</t>
  </si>
  <si>
    <t>คณะแพทย์ศาสตร์ มหาวิทยาลัยสงขลานครินทร์</t>
  </si>
  <si>
    <t>ค่าธรรมเนียมการสอบประมวลความรู้ส่วนที่3</t>
  </si>
  <si>
    <t>คณะแพทย์ศาสตร์มหาวิทยาลัยสงขลานครรินทร์</t>
  </si>
  <si>
    <t>OE6901749</t>
  </si>
  <si>
    <t>ค่ากำจัดปลวก ม.ค.69</t>
  </si>
  <si>
    <t>บจก. ไทยซัคเซสโซลูชั่น</t>
  </si>
  <si>
    <t>JV690407009</t>
  </si>
  <si>
    <t>OE6901750</t>
  </si>
  <si>
    <t>ค่ากำจัดปลวก ก.พ.69</t>
  </si>
  <si>
    <t>JV690407010</t>
  </si>
  <si>
    <t>OE6901751</t>
  </si>
  <si>
    <t>คณะแพทยศาสตร์ มหาวิทยาลัยสงขลานครินทร์</t>
  </si>
  <si>
    <t>ค่าธรรมเนียมการสอบประมวลความรู้ส่วนที่ 3 ครั้งที่2</t>
  </si>
  <si>
    <t>OE6901845</t>
  </si>
  <si>
    <t>ค่าซ่อมแซมห้องน้ำ ห้องสอบ</t>
  </si>
  <si>
    <t>JV690427002</t>
  </si>
  <si>
    <t>ประจำเดือน พ.ค. 2569</t>
  </si>
  <si>
    <t>OE6901973</t>
  </si>
  <si>
    <t>ค่าธรรมเนียมการสอบประมวลความรู้ส่วนที่2 ปี68</t>
  </si>
  <si>
    <t>OE6901971</t>
  </si>
  <si>
    <t>OE6901972</t>
  </si>
  <si>
    <t xml:space="preserve">     ภาษี เดือน เม.ย.69 ภงด.53</t>
  </si>
  <si>
    <t xml:space="preserve">     ภาษี เดือน เม.ย.69 ภงด.54</t>
  </si>
  <si>
    <t>ประจำเดือน พ.ค.2569</t>
  </si>
  <si>
    <t>OE6902361</t>
  </si>
  <si>
    <t>ค่าติดตั้งม่านม้วน กันแสง UV ร้านสากลผ้าม่าน</t>
  </si>
  <si>
    <t>นายศุภกิจ แซ่ว่อง</t>
  </si>
  <si>
    <t>JV690609007</t>
  </si>
  <si>
    <t>OE6902369</t>
  </si>
  <si>
    <t>ค่าปรับปรุงห้องพัก นศพ.</t>
  </si>
  <si>
    <t>นางสาววิชชุกร วิเซียรธร</t>
  </si>
  <si>
    <t>JV690625006</t>
  </si>
  <si>
    <t>OE6902362</t>
  </si>
  <si>
    <t>ค่ากำจัดปลวก มี.ค.-พ.ค.69</t>
  </si>
  <si>
    <t>JV690629001</t>
  </si>
  <si>
    <t>ประจำเดือน มิถุนายน 2569</t>
  </si>
  <si>
    <t>ประจำเดือน กรกฎาคม 2569</t>
  </si>
  <si>
    <t>OE6902513</t>
  </si>
  <si>
    <t>OE6902514</t>
  </si>
  <si>
    <t xml:space="preserve">     ภาษี เดือน มิ.ย.69 ภงด.53</t>
  </si>
  <si>
    <t xml:space="preserve">     ภาษี เดือน มิ.ย.69 ภงด.54</t>
  </si>
  <si>
    <t>OE6902776</t>
  </si>
  <si>
    <t>ค่าซ่อมน้ำรั่วเข้าลิฟท์</t>
  </si>
  <si>
    <t>หจก.พัฒนสุธาคาร</t>
  </si>
  <si>
    <t>JV690817012</t>
  </si>
  <si>
    <t>ประจำเดือน กันยายน 2569</t>
  </si>
  <si>
    <t>OE6903022</t>
  </si>
  <si>
    <t>ค่ากำจัดปลวก มิ.ย.69</t>
  </si>
  <si>
    <t>JV690901002</t>
  </si>
  <si>
    <t>OE6903023</t>
  </si>
  <si>
    <t>ค่ากำจัดปลวก ก.ค.69</t>
  </si>
  <si>
    <t>JV690901003</t>
  </si>
  <si>
    <t>OE6903024</t>
  </si>
  <si>
    <t>ค่าซ่อมผนังน้ำรั่ว</t>
  </si>
  <si>
    <t>นายสหรัตน์ วิเชียรธร</t>
  </si>
  <si>
    <t>JV690911002</t>
  </si>
  <si>
    <t>OE6903125</t>
  </si>
  <si>
    <t>ติดตั้งกันซึมและซ่อมแซมรอยร้าว</t>
  </si>
  <si>
    <t>บจก.ดีเค รีโนเวชั่น</t>
  </si>
  <si>
    <t>JV690917006</t>
  </si>
  <si>
    <t>OE6903126</t>
  </si>
  <si>
    <t>ค่าวัสดุก่อสร้าง</t>
  </si>
  <si>
    <t>บจก. พี พี ซี ซัพพลาย 2000</t>
  </si>
  <si>
    <t>JV690917007</t>
  </si>
  <si>
    <t>BD6901609</t>
  </si>
  <si>
    <t>เงินสมทบทุนร.พ.ร่วมผลิตแพทย์ ปีงบ 2569</t>
  </si>
  <si>
    <t>มหาวิทยาลัยวลัยลักษณ์</t>
  </si>
  <si>
    <t>OE6903025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</si>
</sst>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bbb"/>
    <numFmt numFmtId="165" formatCode="mmm"/>
  </numFmts>
  <fonts count="11" x14ac:knownFonts="1">
    <font>
      <sz val="16"/>
      <name val="TH SarabunPSK"/>
      <family val="2"/>
    </font>
    <font>
      <sz val="16"/>
      <color theme="1"/>
      <name val="TH SarabunPSK"/>
      <family val="2"/>
      <charset val="222"/>
    </font>
    <font>
      <b/>
      <sz val="18"/>
      <name val="Angsana New"/>
      <family val="1"/>
    </font>
    <font>
      <b/>
      <sz val="16"/>
      <name val="Angsana New"/>
      <family val="1"/>
    </font>
    <font>
      <b/>
      <sz val="14"/>
      <name val="Angsana New"/>
      <family val="1"/>
    </font>
    <font>
      <sz val="14"/>
      <name val="Angsana New"/>
      <family val="1"/>
    </font>
    <font>
      <sz val="16"/>
      <name val="Angsana New"/>
      <family val="1"/>
    </font>
    <font>
      <sz val="14"/>
      <color theme="1"/>
      <name val="Angsana New"/>
      <family val="1"/>
    </font>
    <font>
      <sz val="12"/>
      <color theme="1"/>
      <name val="Angsana New"/>
      <family val="1"/>
    </font>
    <font>
      <sz val="12"/>
      <name val="Angsana New"/>
      <family val="1"/>
    </font>
    <font>
      <sz val="8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theme="0" tint="-4.9989318521683403E-2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4" fontId="0" fillId="0" borderId="0" applyFill="0" applyBorder="0" applyProtection="0">
      <alignment horizontal="left" vertical="center"/>
    </xf>
    <xf numFmtId="0" fontId="1" fillId="0" borderId="0"/>
  </cellStyleXfs>
  <cellXfs count="232">
    <xf numFmtId="4" fontId="0" fillId="0" borderId="0" xfId="0">
      <alignment horizontal="left" vertical="center"/>
    </xf>
    <xf numFmtId="4" fontId="2" fillId="0" borderId="0" xfId="0" applyFont="1">
      <alignment horizontal="left" vertical="center"/>
    </xf>
    <xf numFmtId="4" fontId="2" fillId="0" borderId="1" xfId="0" applyFont="1" applyBorder="1" applyAlignment="1">
      <alignment horizontal="center" vertical="center"/>
    </xf>
    <xf numFmtId="4" fontId="2" fillId="0" borderId="0" xfId="0" applyFont="1" applyBorder="1" applyAlignment="1">
      <alignment horizontal="center" vertical="center"/>
    </xf>
    <xf numFmtId="4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" fontId="3" fillId="0" borderId="0" xfId="0" applyFont="1">
      <alignment horizontal="left" vertical="center"/>
    </xf>
    <xf numFmtId="4" fontId="3" fillId="0" borderId="3" xfId="0" applyFont="1" applyBorder="1" applyAlignment="1">
      <alignment horizontal="center" vertical="center"/>
    </xf>
    <xf numFmtId="165" fontId="3" fillId="0" borderId="3" xfId="0" applyNumberFormat="1" applyFont="1" applyBorder="1" applyAlignment="1">
      <alignment vertical="top"/>
    </xf>
    <xf numFmtId="0" fontId="4" fillId="0" borderId="3" xfId="0" applyNumberFormat="1" applyFont="1" applyBorder="1" applyAlignment="1">
      <alignment vertical="top"/>
    </xf>
    <xf numFmtId="4" fontId="4" fillId="0" borderId="2" xfId="0" applyFont="1" applyBorder="1" applyAlignment="1">
      <alignment vertical="center"/>
    </xf>
    <xf numFmtId="4" fontId="4" fillId="0" borderId="2" xfId="0" applyFont="1" applyBorder="1" applyAlignment="1">
      <alignment horizontal="center" vertical="center"/>
    </xf>
    <xf numFmtId="4" fontId="3" fillId="0" borderId="2" xfId="0" applyFont="1" applyBorder="1" applyAlignment="1">
      <alignment horizontal="left" vertical="center" indent="1"/>
    </xf>
    <xf numFmtId="4" fontId="3" fillId="0" borderId="2" xfId="0" applyFont="1" applyBorder="1">
      <alignment horizontal="left" vertical="center"/>
    </xf>
    <xf numFmtId="0" fontId="4" fillId="0" borderId="7" xfId="0" applyNumberFormat="1" applyFont="1" applyBorder="1" applyAlignment="1">
      <alignment horizontal="center" vertical="center"/>
    </xf>
    <xf numFmtId="4" fontId="6" fillId="0" borderId="0" xfId="0" applyFont="1">
      <alignment horizontal="left" vertical="center"/>
    </xf>
    <xf numFmtId="4" fontId="3" fillId="0" borderId="10" xfId="0" applyFont="1" applyBorder="1">
      <alignment horizontal="left" vertical="center"/>
    </xf>
    <xf numFmtId="4" fontId="3" fillId="0" borderId="3" xfId="0" applyFont="1" applyBorder="1">
      <alignment horizontal="left" vertical="center"/>
    </xf>
    <xf numFmtId="0" fontId="3" fillId="0" borderId="3" xfId="0" applyNumberFormat="1" applyFont="1" applyBorder="1" applyAlignment="1">
      <alignment horizontal="center" vertical="center"/>
    </xf>
    <xf numFmtId="4" fontId="3" fillId="0" borderId="3" xfId="0" applyFont="1" applyBorder="1" applyAlignment="1">
      <alignment vertical="center"/>
    </xf>
    <xf numFmtId="4" fontId="3" fillId="0" borderId="14" xfId="0" applyFont="1" applyBorder="1">
      <alignment horizontal="left" vertical="center"/>
    </xf>
    <xf numFmtId="0" fontId="3" fillId="0" borderId="14" xfId="0" applyNumberFormat="1" applyFont="1" applyBorder="1" applyAlignment="1">
      <alignment horizontal="center" vertical="center"/>
    </xf>
    <xf numFmtId="4" fontId="3" fillId="0" borderId="14" xfId="0" applyFont="1" applyBorder="1" applyAlignment="1">
      <alignment vertical="center"/>
    </xf>
    <xf numFmtId="4" fontId="6" fillId="0" borderId="0" xfId="0" applyFont="1" applyBorder="1">
      <alignment horizontal="left" vertical="center"/>
    </xf>
    <xf numFmtId="4" fontId="3" fillId="0" borderId="2" xfId="0" applyFont="1" applyBorder="1" applyAlignment="1">
      <alignment horizontal="right" vertical="center"/>
    </xf>
    <xf numFmtId="4" fontId="5" fillId="0" borderId="7" xfId="0" applyFont="1" applyBorder="1">
      <alignment horizontal="left" vertical="center"/>
    </xf>
    <xf numFmtId="4" fontId="5" fillId="0" borderId="3" xfId="0" applyFont="1" applyBorder="1" applyAlignment="1">
      <alignment horizontal="right" vertical="center"/>
    </xf>
    <xf numFmtId="0" fontId="5" fillId="0" borderId="7" xfId="0" applyNumberFormat="1" applyFont="1" applyBorder="1" applyAlignment="1">
      <alignment horizontal="center" vertical="center"/>
    </xf>
    <xf numFmtId="4" fontId="5" fillId="0" borderId="7" xfId="0" applyFont="1" applyBorder="1" applyAlignment="1">
      <alignment horizontal="right" vertical="center"/>
    </xf>
    <xf numFmtId="4" fontId="3" fillId="0" borderId="7" xfId="0" applyFont="1" applyBorder="1">
      <alignment horizontal="left" vertical="center"/>
    </xf>
    <xf numFmtId="4" fontId="4" fillId="2" borderId="0" xfId="0" applyFont="1" applyFill="1" applyAlignment="1">
      <alignment horizontal="center" vertical="center"/>
    </xf>
    <xf numFmtId="4" fontId="3" fillId="0" borderId="0" xfId="0" applyFont="1" applyBorder="1">
      <alignment horizontal="left" vertical="center"/>
    </xf>
    <xf numFmtId="0" fontId="3" fillId="0" borderId="0" xfId="0" applyNumberFormat="1" applyFont="1" applyBorder="1" applyAlignment="1">
      <alignment horizontal="center" vertical="center"/>
    </xf>
    <xf numFmtId="4" fontId="3" fillId="0" borderId="0" xfId="0" applyFont="1" applyBorder="1" applyAlignment="1">
      <alignment horizontal="center" vertical="center"/>
    </xf>
    <xf numFmtId="4" fontId="3" fillId="0" borderId="0" xfId="0" applyFont="1" applyBorder="1" applyAlignment="1">
      <alignment vertical="center"/>
    </xf>
    <xf numFmtId="4" fontId="6" fillId="0" borderId="10" xfId="0" applyFont="1" applyBorder="1">
      <alignment horizontal="left" vertical="center"/>
    </xf>
    <xf numFmtId="4" fontId="6" fillId="0" borderId="3" xfId="0" applyFont="1" applyBorder="1">
      <alignment horizontal="left" vertical="center"/>
    </xf>
    <xf numFmtId="4" fontId="6" fillId="0" borderId="7" xfId="0" applyFont="1" applyBorder="1">
      <alignment horizontal="left" vertical="center"/>
    </xf>
    <xf numFmtId="0" fontId="6" fillId="0" borderId="0" xfId="0" applyNumberFormat="1" applyFont="1" applyBorder="1" applyAlignment="1">
      <alignment horizontal="center" vertical="center"/>
    </xf>
    <xf numFmtId="4" fontId="5" fillId="0" borderId="0" xfId="0" applyFont="1" applyBorder="1" applyAlignment="1">
      <alignment horizontal="left" vertical="center" indent="1"/>
    </xf>
    <xf numFmtId="4" fontId="6" fillId="0" borderId="0" xfId="0" applyFont="1" applyBorder="1" applyAlignment="1">
      <alignment horizontal="center" vertical="center"/>
    </xf>
    <xf numFmtId="0" fontId="7" fillId="0" borderId="8" xfId="1" applyFont="1" applyBorder="1" applyAlignment="1">
      <alignment horizontal="left" indent="1"/>
    </xf>
    <xf numFmtId="0" fontId="6" fillId="0" borderId="0" xfId="0" applyNumberFormat="1" applyFont="1" applyAlignment="1">
      <alignment horizontal="center" vertical="center"/>
    </xf>
    <xf numFmtId="4" fontId="5" fillId="0" borderId="0" xfId="0" applyFont="1" applyAlignment="1">
      <alignment horizontal="left" vertical="center" indent="1"/>
    </xf>
    <xf numFmtId="4" fontId="6" fillId="0" borderId="0" xfId="0" applyFont="1" applyAlignment="1">
      <alignment horizontal="center" vertical="center"/>
    </xf>
    <xf numFmtId="4" fontId="5" fillId="0" borderId="3" xfId="0" applyFont="1" applyBorder="1">
      <alignment horizontal="left" vertical="center"/>
    </xf>
    <xf numFmtId="4" fontId="6" fillId="0" borderId="7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vertical="top"/>
    </xf>
    <xf numFmtId="0" fontId="4" fillId="0" borderId="3" xfId="0" applyNumberFormat="1" applyFont="1" applyBorder="1" applyAlignment="1">
      <alignment horizontal="center" vertical="center"/>
    </xf>
    <xf numFmtId="4" fontId="6" fillId="0" borderId="3" xfId="0" applyFont="1" applyBorder="1" applyAlignment="1">
      <alignment horizontal="center" vertical="center"/>
    </xf>
    <xf numFmtId="4" fontId="4" fillId="0" borderId="5" xfId="0" applyFont="1" applyBorder="1" applyAlignment="1">
      <alignment horizontal="center" vertical="center"/>
    </xf>
    <xf numFmtId="0" fontId="3" fillId="0" borderId="13" xfId="0" applyNumberFormat="1" applyFont="1" applyBorder="1" applyAlignment="1">
      <alignment horizontal="center" vertical="center"/>
    </xf>
    <xf numFmtId="4" fontId="3" fillId="0" borderId="4" xfId="0" applyFont="1" applyBorder="1">
      <alignment horizontal="left" vertical="center"/>
    </xf>
    <xf numFmtId="165" fontId="3" fillId="0" borderId="10" xfId="0" applyNumberFormat="1" applyFont="1" applyBorder="1" applyAlignment="1">
      <alignment vertical="top"/>
    </xf>
    <xf numFmtId="4" fontId="5" fillId="0" borderId="7" xfId="0" applyFont="1" applyBorder="1" applyAlignment="1">
      <alignment vertical="center"/>
    </xf>
    <xf numFmtId="4" fontId="2" fillId="0" borderId="0" xfId="0" applyFont="1" applyBorder="1">
      <alignment horizontal="left" vertical="center"/>
    </xf>
    <xf numFmtId="4" fontId="3" fillId="0" borderId="7" xfId="0" applyFont="1" applyBorder="1" applyAlignment="1">
      <alignment horizontal="center" vertical="center"/>
    </xf>
    <xf numFmtId="4" fontId="3" fillId="0" borderId="7" xfId="0" applyFont="1" applyBorder="1" applyAlignment="1">
      <alignment vertical="center"/>
    </xf>
    <xf numFmtId="4" fontId="2" fillId="0" borderId="16" xfId="0" applyFont="1" applyBorder="1" applyAlignment="1">
      <alignment horizontal="center" vertical="center"/>
    </xf>
    <xf numFmtId="4" fontId="2" fillId="0" borderId="20" xfId="0" applyFont="1" applyBorder="1" applyAlignment="1">
      <alignment horizontal="center" vertical="center"/>
    </xf>
    <xf numFmtId="4" fontId="3" fillId="0" borderId="2" xfId="0" applyFont="1" applyBorder="1" applyAlignment="1">
      <alignment vertical="center"/>
    </xf>
    <xf numFmtId="4" fontId="3" fillId="0" borderId="7" xfId="0" applyFont="1" applyBorder="1" applyAlignment="1">
      <alignment horizontal="right" vertical="center"/>
    </xf>
    <xf numFmtId="4" fontId="5" fillId="3" borderId="0" xfId="0" applyFont="1" applyFill="1" applyBorder="1">
      <alignment horizontal="left" vertical="center"/>
    </xf>
    <xf numFmtId="4" fontId="5" fillId="0" borderId="17" xfId="0" applyFont="1" applyBorder="1">
      <alignment horizontal="left" vertical="center"/>
    </xf>
    <xf numFmtId="4" fontId="5" fillId="3" borderId="7" xfId="0" applyFont="1" applyFill="1" applyBorder="1" applyAlignment="1">
      <alignment horizontal="right" vertical="center"/>
    </xf>
    <xf numFmtId="4" fontId="3" fillId="0" borderId="14" xfId="0" applyFont="1" applyBorder="1" applyAlignment="1">
      <alignment horizontal="right" vertical="center"/>
    </xf>
    <xf numFmtId="0" fontId="3" fillId="0" borderId="2" xfId="0" applyNumberFormat="1" applyFont="1" applyBorder="1" applyAlignment="1">
      <alignment horizontal="center" vertical="center"/>
    </xf>
    <xf numFmtId="4" fontId="3" fillId="0" borderId="0" xfId="0" applyFont="1" applyBorder="1" applyAlignment="1">
      <alignment horizontal="right" vertical="center"/>
    </xf>
    <xf numFmtId="0" fontId="3" fillId="0" borderId="5" xfId="0" applyNumberFormat="1" applyFont="1" applyBorder="1" applyAlignment="1">
      <alignment horizontal="center" vertical="center"/>
    </xf>
    <xf numFmtId="4" fontId="6" fillId="0" borderId="0" xfId="0" applyFont="1" applyBorder="1" applyAlignment="1">
      <alignment horizontal="right" vertical="center"/>
    </xf>
    <xf numFmtId="4" fontId="3" fillId="0" borderId="18" xfId="0" applyFont="1" applyBorder="1">
      <alignment horizontal="left" vertical="center"/>
    </xf>
    <xf numFmtId="0" fontId="3" fillId="0" borderId="18" xfId="0" applyNumberFormat="1" applyFont="1" applyBorder="1" applyAlignment="1">
      <alignment horizontal="center" vertical="center"/>
    </xf>
    <xf numFmtId="4" fontId="3" fillId="0" borderId="18" xfId="0" applyFont="1" applyBorder="1" applyAlignment="1">
      <alignment horizontal="center" vertical="center"/>
    </xf>
    <xf numFmtId="4" fontId="3" fillId="0" borderId="18" xfId="0" applyFont="1" applyBorder="1" applyAlignment="1">
      <alignment vertical="center"/>
    </xf>
    <xf numFmtId="4" fontId="3" fillId="0" borderId="18" xfId="0" applyFont="1" applyBorder="1" applyAlignment="1">
      <alignment horizontal="right" vertical="center"/>
    </xf>
    <xf numFmtId="4" fontId="5" fillId="3" borderId="7" xfId="0" applyFont="1" applyFill="1" applyBorder="1">
      <alignment horizontal="left" vertical="center"/>
    </xf>
    <xf numFmtId="0" fontId="5" fillId="3" borderId="7" xfId="0" applyNumberFormat="1" applyFont="1" applyFill="1" applyBorder="1" applyAlignment="1">
      <alignment horizontal="center" vertical="center"/>
    </xf>
    <xf numFmtId="4" fontId="5" fillId="3" borderId="7" xfId="0" applyFont="1" applyFill="1" applyBorder="1" applyAlignment="1">
      <alignment vertical="center"/>
    </xf>
    <xf numFmtId="4" fontId="2" fillId="3" borderId="0" xfId="0" applyFont="1" applyFill="1">
      <alignment horizontal="left" vertical="center"/>
    </xf>
    <xf numFmtId="4" fontId="2" fillId="3" borderId="0" xfId="0" applyFont="1" applyFill="1" applyBorder="1" applyAlignment="1">
      <alignment horizontal="center" vertical="center"/>
    </xf>
    <xf numFmtId="4" fontId="2" fillId="3" borderId="1" xfId="0" applyFont="1" applyFill="1" applyBorder="1" applyAlignment="1">
      <alignment horizontal="center" vertical="center"/>
    </xf>
    <xf numFmtId="4" fontId="3" fillId="3" borderId="2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4" fontId="3" fillId="3" borderId="3" xfId="0" applyFont="1" applyFill="1" applyBorder="1" applyAlignment="1">
      <alignment horizontal="center" vertical="center"/>
    </xf>
    <xf numFmtId="4" fontId="3" fillId="3" borderId="0" xfId="0" applyFont="1" applyFill="1">
      <alignment horizontal="left" vertical="center"/>
    </xf>
    <xf numFmtId="0" fontId="3" fillId="3" borderId="3" xfId="0" applyNumberFormat="1" applyFont="1" applyFill="1" applyBorder="1" applyAlignment="1">
      <alignment horizontal="center" vertical="center"/>
    </xf>
    <xf numFmtId="165" fontId="3" fillId="3" borderId="3" xfId="0" applyNumberFormat="1" applyFont="1" applyFill="1" applyBorder="1" applyAlignment="1">
      <alignment vertical="top"/>
    </xf>
    <xf numFmtId="0" fontId="4" fillId="3" borderId="3" xfId="0" applyNumberFormat="1" applyFont="1" applyFill="1" applyBorder="1" applyAlignment="1">
      <alignment vertical="top"/>
    </xf>
    <xf numFmtId="4" fontId="4" fillId="3" borderId="2" xfId="0" applyFont="1" applyFill="1" applyBorder="1" applyAlignment="1">
      <alignment vertical="center"/>
    </xf>
    <xf numFmtId="4" fontId="4" fillId="3" borderId="2" xfId="0" applyFont="1" applyFill="1" applyBorder="1" applyAlignment="1">
      <alignment horizontal="center" vertical="center"/>
    </xf>
    <xf numFmtId="4" fontId="3" fillId="3" borderId="2" xfId="0" applyFont="1" applyFill="1" applyBorder="1" applyAlignment="1">
      <alignment horizontal="left" vertical="center" indent="1"/>
    </xf>
    <xf numFmtId="4" fontId="3" fillId="3" borderId="2" xfId="0" applyFont="1" applyFill="1" applyBorder="1">
      <alignment horizontal="left" vertical="center"/>
    </xf>
    <xf numFmtId="0" fontId="4" fillId="3" borderId="7" xfId="0" applyNumberFormat="1" applyFont="1" applyFill="1" applyBorder="1" applyAlignment="1">
      <alignment horizontal="center" vertical="center"/>
    </xf>
    <xf numFmtId="4" fontId="6" fillId="3" borderId="0" xfId="0" applyFont="1" applyFill="1">
      <alignment horizontal="left" vertical="center"/>
    </xf>
    <xf numFmtId="4" fontId="5" fillId="3" borderId="7" xfId="0" applyFont="1" applyFill="1" applyBorder="1" applyAlignment="1">
      <alignment horizontal="left" vertical="center" indent="1"/>
    </xf>
    <xf numFmtId="4" fontId="5" fillId="3" borderId="7" xfId="0" applyFont="1" applyFill="1" applyBorder="1" applyAlignment="1">
      <alignment horizontal="center" vertical="center"/>
    </xf>
    <xf numFmtId="4" fontId="3" fillId="3" borderId="3" xfId="0" applyFont="1" applyFill="1" applyBorder="1">
      <alignment horizontal="left" vertical="center"/>
    </xf>
    <xf numFmtId="4" fontId="3" fillId="3" borderId="3" xfId="0" applyFont="1" applyFill="1" applyBorder="1" applyAlignment="1">
      <alignment vertical="center"/>
    </xf>
    <xf numFmtId="4" fontId="6" fillId="3" borderId="0" xfId="0" applyFont="1" applyFill="1" applyAlignment="1">
      <alignment horizontal="center" vertical="center"/>
    </xf>
    <xf numFmtId="4" fontId="3" fillId="3" borderId="14" xfId="0" applyFont="1" applyFill="1" applyBorder="1">
      <alignment horizontal="left" vertical="center"/>
    </xf>
    <xf numFmtId="0" fontId="3" fillId="3" borderId="14" xfId="0" applyNumberFormat="1" applyFont="1" applyFill="1" applyBorder="1" applyAlignment="1">
      <alignment horizontal="center" vertical="center"/>
    </xf>
    <xf numFmtId="4" fontId="3" fillId="3" borderId="14" xfId="0" applyFont="1" applyFill="1" applyBorder="1" applyAlignment="1">
      <alignment horizontal="center" vertical="center"/>
    </xf>
    <xf numFmtId="4" fontId="3" fillId="3" borderId="14" xfId="0" applyFont="1" applyFill="1" applyBorder="1" applyAlignment="1">
      <alignment vertical="center"/>
    </xf>
    <xf numFmtId="4" fontId="3" fillId="3" borderId="0" xfId="0" applyFont="1" applyFill="1" applyAlignment="1">
      <alignment horizontal="center" vertical="center"/>
    </xf>
    <xf numFmtId="4" fontId="3" fillId="3" borderId="0" xfId="0" applyFont="1" applyFill="1" applyBorder="1">
      <alignment horizontal="left" vertical="center"/>
    </xf>
    <xf numFmtId="0" fontId="3" fillId="3" borderId="0" xfId="0" applyNumberFormat="1" applyFont="1" applyFill="1" applyBorder="1" applyAlignment="1">
      <alignment horizontal="center" vertical="center"/>
    </xf>
    <xf numFmtId="4" fontId="3" fillId="3" borderId="0" xfId="0" applyFont="1" applyFill="1" applyBorder="1" applyAlignment="1">
      <alignment horizontal="center" vertical="center"/>
    </xf>
    <xf numFmtId="4" fontId="3" fillId="3" borderId="0" xfId="0" applyFont="1" applyFill="1" applyBorder="1" applyAlignment="1">
      <alignment horizontal="left" vertical="center" indent="1"/>
    </xf>
    <xf numFmtId="4" fontId="3" fillId="3" borderId="0" xfId="0" applyFont="1" applyFill="1" applyBorder="1" applyAlignment="1">
      <alignment vertical="center"/>
    </xf>
    <xf numFmtId="4" fontId="6" fillId="3" borderId="0" xfId="0" applyFont="1" applyFill="1" applyBorder="1">
      <alignment horizontal="left" vertical="center"/>
    </xf>
    <xf numFmtId="165" fontId="3" fillId="3" borderId="2" xfId="0" applyNumberFormat="1" applyFont="1" applyFill="1" applyBorder="1" applyAlignment="1">
      <alignment vertical="top"/>
    </xf>
    <xf numFmtId="0" fontId="4" fillId="3" borderId="2" xfId="0" applyNumberFormat="1" applyFont="1" applyFill="1" applyBorder="1" applyAlignment="1">
      <alignment vertical="top"/>
    </xf>
    <xf numFmtId="4" fontId="3" fillId="3" borderId="2" xfId="0" applyFont="1" applyFill="1" applyBorder="1" applyAlignment="1">
      <alignment horizontal="right" vertical="center"/>
    </xf>
    <xf numFmtId="4" fontId="3" fillId="3" borderId="7" xfId="0" applyFont="1" applyFill="1" applyBorder="1">
      <alignment horizontal="left" vertical="center"/>
    </xf>
    <xf numFmtId="4" fontId="3" fillId="3" borderId="4" xfId="0" applyFont="1" applyFill="1" applyBorder="1">
      <alignment horizontal="left" vertical="center"/>
    </xf>
    <xf numFmtId="4" fontId="4" fillId="3" borderId="0" xfId="0" applyFont="1" applyFill="1" applyAlignment="1">
      <alignment horizontal="center" vertical="center"/>
    </xf>
    <xf numFmtId="4" fontId="3" fillId="3" borderId="6" xfId="0" applyFont="1" applyFill="1" applyBorder="1">
      <alignment horizontal="left" vertical="center"/>
    </xf>
    <xf numFmtId="4" fontId="6" fillId="3" borderId="10" xfId="0" applyFont="1" applyFill="1" applyBorder="1">
      <alignment horizontal="left" vertical="center"/>
    </xf>
    <xf numFmtId="4" fontId="6" fillId="3" borderId="3" xfId="0" applyFont="1" applyFill="1" applyBorder="1">
      <alignment horizontal="left" vertical="center"/>
    </xf>
    <xf numFmtId="4" fontId="6" fillId="3" borderId="17" xfId="0" applyFont="1" applyFill="1" applyBorder="1" applyAlignment="1">
      <alignment horizontal="center" vertical="center"/>
    </xf>
    <xf numFmtId="4" fontId="3" fillId="3" borderId="11" xfId="0" applyFont="1" applyFill="1" applyBorder="1" applyAlignment="1">
      <alignment horizontal="right" vertical="center"/>
    </xf>
    <xf numFmtId="4" fontId="3" fillId="3" borderId="22" xfId="0" applyFont="1" applyFill="1" applyBorder="1">
      <alignment horizontal="left" vertical="center"/>
    </xf>
    <xf numFmtId="0" fontId="6" fillId="3" borderId="0" xfId="0" applyNumberFormat="1" applyFont="1" applyFill="1" applyBorder="1" applyAlignment="1">
      <alignment horizontal="center" vertical="center"/>
    </xf>
    <xf numFmtId="4" fontId="5" fillId="3" borderId="0" xfId="0" applyFont="1" applyFill="1" applyBorder="1" applyAlignment="1">
      <alignment horizontal="left" vertical="center" indent="1"/>
    </xf>
    <xf numFmtId="4" fontId="6" fillId="3" borderId="0" xfId="0" applyFont="1" applyFill="1" applyBorder="1" applyAlignment="1">
      <alignment horizontal="center" vertical="center"/>
    </xf>
    <xf numFmtId="4" fontId="4" fillId="3" borderId="0" xfId="0" applyFont="1" applyFill="1">
      <alignment horizontal="left" vertical="center"/>
    </xf>
    <xf numFmtId="4" fontId="3" fillId="3" borderId="11" xfId="0" applyFont="1" applyFill="1" applyBorder="1" applyAlignment="1">
      <alignment vertical="center"/>
    </xf>
    <xf numFmtId="4" fontId="3" fillId="3" borderId="3" xfId="0" applyFont="1" applyFill="1" applyBorder="1" applyAlignment="1">
      <alignment horizontal="right" vertical="center"/>
    </xf>
    <xf numFmtId="4" fontId="3" fillId="3" borderId="14" xfId="0" applyFont="1" applyFill="1" applyBorder="1" applyAlignment="1">
      <alignment horizontal="right" vertical="center"/>
    </xf>
    <xf numFmtId="4" fontId="3" fillId="3" borderId="2" xfId="0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horizontal="center" vertical="top"/>
    </xf>
    <xf numFmtId="165" fontId="3" fillId="3" borderId="3" xfId="0" applyNumberFormat="1" applyFont="1" applyFill="1" applyBorder="1" applyAlignment="1">
      <alignment horizontal="center" vertical="center"/>
    </xf>
    <xf numFmtId="0" fontId="6" fillId="3" borderId="0" xfId="0" applyNumberFormat="1" applyFont="1" applyFill="1" applyAlignment="1">
      <alignment horizontal="center" vertical="center"/>
    </xf>
    <xf numFmtId="4" fontId="5" fillId="3" borderId="0" xfId="0" applyFont="1" applyFill="1" applyAlignment="1">
      <alignment horizontal="left" vertical="center" indent="1"/>
    </xf>
    <xf numFmtId="4" fontId="3" fillId="3" borderId="16" xfId="0" applyFont="1" applyFill="1" applyBorder="1">
      <alignment horizontal="left" vertical="center"/>
    </xf>
    <xf numFmtId="4" fontId="3" fillId="0" borderId="16" xfId="0" applyFont="1" applyBorder="1">
      <alignment horizontal="left" vertical="center"/>
    </xf>
    <xf numFmtId="4" fontId="3" fillId="0" borderId="22" xfId="0" applyFont="1" applyBorder="1" applyAlignment="1">
      <alignment vertical="center"/>
    </xf>
    <xf numFmtId="4" fontId="4" fillId="0" borderId="7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8" fillId="0" borderId="8" xfId="1" applyFont="1" applyBorder="1" applyAlignment="1">
      <alignment horizontal="left" indent="1"/>
    </xf>
    <xf numFmtId="4" fontId="9" fillId="0" borderId="7" xfId="0" applyFont="1" applyBorder="1">
      <alignment horizontal="left" vertical="center"/>
    </xf>
    <xf numFmtId="4" fontId="3" fillId="3" borderId="2" xfId="0" applyFont="1" applyFill="1" applyBorder="1" applyAlignment="1">
      <alignment horizontal="right"/>
    </xf>
    <xf numFmtId="4" fontId="3" fillId="3" borderId="2" xfId="0" applyFont="1" applyFill="1" applyBorder="1" applyAlignment="1"/>
    <xf numFmtId="165" fontId="3" fillId="0" borderId="3" xfId="0" applyNumberFormat="1" applyFont="1" applyBorder="1" applyAlignment="1">
      <alignment horizontal="center" vertical="center"/>
    </xf>
    <xf numFmtId="0" fontId="8" fillId="0" borderId="9" xfId="1" applyFont="1" applyBorder="1" applyAlignment="1">
      <alignment horizontal="left" indent="1"/>
    </xf>
    <xf numFmtId="165" fontId="3" fillId="3" borderId="7" xfId="0" applyNumberFormat="1" applyFont="1" applyFill="1" applyBorder="1" applyAlignment="1">
      <alignment vertical="top"/>
    </xf>
    <xf numFmtId="4" fontId="3" fillId="3" borderId="7" xfId="0" applyFont="1" applyFill="1" applyBorder="1" applyAlignment="1">
      <alignment vertical="center"/>
    </xf>
    <xf numFmtId="0" fontId="4" fillId="3" borderId="7" xfId="0" applyNumberFormat="1" applyFont="1" applyFill="1" applyBorder="1" applyAlignment="1">
      <alignment horizontal="center" vertical="top"/>
    </xf>
    <xf numFmtId="4" fontId="3" fillId="3" borderId="2" xfId="0" applyFont="1" applyFill="1" applyBorder="1" applyAlignment="1">
      <alignment horizontal="right" vertical="center" indent="1"/>
    </xf>
    <xf numFmtId="165" fontId="3" fillId="0" borderId="3" xfId="0" applyNumberFormat="1" applyFont="1" applyBorder="1" applyAlignment="1">
      <alignment horizontal="center" vertical="top"/>
    </xf>
    <xf numFmtId="165" fontId="3" fillId="0" borderId="10" xfId="0" applyNumberFormat="1" applyFont="1" applyBorder="1" applyAlignment="1">
      <alignment horizontal="center" vertical="top"/>
    </xf>
    <xf numFmtId="0" fontId="4" fillId="0" borderId="7" xfId="0" applyNumberFormat="1" applyFont="1" applyBorder="1" applyAlignment="1">
      <alignment horizontal="center" vertical="top"/>
    </xf>
    <xf numFmtId="165" fontId="3" fillId="3" borderId="10" xfId="0" applyNumberFormat="1" applyFont="1" applyFill="1" applyBorder="1" applyAlignment="1">
      <alignment vertical="top"/>
    </xf>
    <xf numFmtId="0" fontId="4" fillId="3" borderId="3" xfId="0" applyNumberFormat="1" applyFont="1" applyFill="1" applyBorder="1" applyAlignment="1">
      <alignment horizontal="center" vertical="top"/>
    </xf>
    <xf numFmtId="4" fontId="5" fillId="3" borderId="2" xfId="0" applyFont="1" applyFill="1" applyBorder="1" applyAlignment="1">
      <alignment vertical="center"/>
    </xf>
    <xf numFmtId="4" fontId="6" fillId="3" borderId="7" xfId="0" applyFont="1" applyFill="1" applyBorder="1">
      <alignment horizontal="left" vertical="center"/>
    </xf>
    <xf numFmtId="165" fontId="4" fillId="3" borderId="10" xfId="0" applyNumberFormat="1" applyFont="1" applyFill="1" applyBorder="1" applyAlignment="1">
      <alignment vertical="top"/>
    </xf>
    <xf numFmtId="4" fontId="4" fillId="3" borderId="7" xfId="0" applyFont="1" applyFill="1" applyBorder="1" applyAlignment="1">
      <alignment horizontal="left" vertical="center" indent="1"/>
    </xf>
    <xf numFmtId="4" fontId="4" fillId="3" borderId="7" xfId="0" applyFont="1" applyFill="1" applyBorder="1" applyAlignment="1">
      <alignment horizontal="center" vertical="center"/>
    </xf>
    <xf numFmtId="4" fontId="3" fillId="0" borderId="14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vertical="top"/>
    </xf>
    <xf numFmtId="4" fontId="5" fillId="3" borderId="2" xfId="0" applyFont="1" applyFill="1" applyBorder="1" applyAlignment="1">
      <alignment horizontal="right" vertical="center"/>
    </xf>
    <xf numFmtId="4" fontId="4" fillId="2" borderId="0" xfId="0" applyFont="1" applyFill="1" applyAlignment="1">
      <alignment horizontal="right" vertical="center"/>
    </xf>
    <xf numFmtId="4" fontId="4" fillId="3" borderId="7" xfId="0" applyFont="1" applyFill="1" applyBorder="1" applyAlignment="1">
      <alignment horizontal="right" vertical="center"/>
    </xf>
    <xf numFmtId="4" fontId="5" fillId="3" borderId="2" xfId="0" applyFont="1" applyFill="1" applyBorder="1" applyAlignment="1">
      <alignment horizontal="center" vertical="center"/>
    </xf>
    <xf numFmtId="4" fontId="6" fillId="3" borderId="2" xfId="0" applyFont="1" applyFill="1" applyBorder="1" applyAlignment="1">
      <alignment horizontal="right" vertical="center"/>
    </xf>
    <xf numFmtId="4" fontId="9" fillId="3" borderId="2" xfId="0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4" fontId="4" fillId="0" borderId="3" xfId="0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top"/>
    </xf>
    <xf numFmtId="4" fontId="5" fillId="0" borderId="3" xfId="0" applyFont="1" applyBorder="1" applyAlignment="1">
      <alignment vertical="center"/>
    </xf>
    <xf numFmtId="4" fontId="5" fillId="0" borderId="2" xfId="0" applyFont="1" applyBorder="1">
      <alignment horizontal="left" vertical="center"/>
    </xf>
    <xf numFmtId="4" fontId="5" fillId="0" borderId="4" xfId="0" applyFont="1" applyBorder="1">
      <alignment horizontal="left" vertical="center"/>
    </xf>
    <xf numFmtId="4" fontId="9" fillId="0" borderId="4" xfId="0" applyFont="1" applyBorder="1">
      <alignment horizontal="left" vertical="center"/>
    </xf>
    <xf numFmtId="0" fontId="3" fillId="0" borderId="19" xfId="0" applyNumberFormat="1" applyFont="1" applyBorder="1" applyAlignment="1">
      <alignment horizontal="center" vertical="center"/>
    </xf>
    <xf numFmtId="4" fontId="3" fillId="0" borderId="22" xfId="0" applyFont="1" applyBorder="1">
      <alignment horizontal="left" vertical="center"/>
    </xf>
    <xf numFmtId="0" fontId="3" fillId="0" borderId="22" xfId="0" applyNumberFormat="1" applyFont="1" applyBorder="1" applyAlignment="1">
      <alignment horizontal="center" vertical="center"/>
    </xf>
    <xf numFmtId="4" fontId="3" fillId="0" borderId="4" xfId="0" applyFont="1" applyBorder="1" applyAlignment="1">
      <alignment vertical="center"/>
    </xf>
    <xf numFmtId="0" fontId="8" fillId="0" borderId="7" xfId="1" applyFont="1" applyBorder="1" applyAlignment="1">
      <alignment horizontal="left" indent="1"/>
    </xf>
    <xf numFmtId="4" fontId="3" fillId="3" borderId="17" xfId="0" applyFont="1" applyFill="1" applyBorder="1" applyAlignment="1">
      <alignment vertical="center"/>
    </xf>
    <xf numFmtId="0" fontId="4" fillId="3" borderId="2" xfId="0" applyNumberFormat="1" applyFont="1" applyFill="1" applyBorder="1" applyAlignment="1">
      <alignment horizontal="center" vertical="top"/>
    </xf>
    <xf numFmtId="4" fontId="5" fillId="3" borderId="2" xfId="0" applyFont="1" applyFill="1" applyBorder="1">
      <alignment horizontal="left" vertical="center"/>
    </xf>
    <xf numFmtId="165" fontId="3" fillId="0" borderId="2" xfId="0" applyNumberFormat="1" applyFont="1" applyBorder="1" applyAlignment="1">
      <alignment horizontal="center" vertical="top"/>
    </xf>
    <xf numFmtId="165" fontId="3" fillId="3" borderId="3" xfId="0" applyNumberFormat="1" applyFont="1" applyFill="1" applyBorder="1" applyAlignment="1">
      <alignment horizontal="center" vertical="top"/>
    </xf>
    <xf numFmtId="4" fontId="5" fillId="3" borderId="3" xfId="0" applyFont="1" applyFill="1" applyBorder="1" applyAlignment="1">
      <alignment vertical="center"/>
    </xf>
    <xf numFmtId="4" fontId="4" fillId="3" borderId="3" xfId="0" applyFont="1" applyFill="1" applyBorder="1" applyAlignment="1">
      <alignment horizontal="center" vertical="center"/>
    </xf>
    <xf numFmtId="4" fontId="6" fillId="3" borderId="3" xfId="0" applyFont="1" applyFill="1" applyBorder="1" applyAlignment="1">
      <alignment horizontal="right" vertical="center"/>
    </xf>
    <xf numFmtId="0" fontId="7" fillId="0" borderId="7" xfId="1" applyFont="1" applyBorder="1" applyAlignment="1">
      <alignment horizontal="left" indent="1"/>
    </xf>
    <xf numFmtId="4" fontId="3" fillId="0" borderId="3" xfId="0" applyFont="1" applyBorder="1" applyAlignment="1">
      <alignment horizontal="center" vertical="center"/>
    </xf>
    <xf numFmtId="4" fontId="3" fillId="0" borderId="14" xfId="0" applyFont="1" applyBorder="1" applyAlignment="1">
      <alignment horizontal="center" vertical="center"/>
    </xf>
    <xf numFmtId="4" fontId="2" fillId="0" borderId="0" xfId="0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4" fontId="3" fillId="0" borderId="2" xfId="0" applyFont="1" applyBorder="1" applyAlignment="1">
      <alignment horizontal="center" vertical="center"/>
    </xf>
    <xf numFmtId="4" fontId="3" fillId="0" borderId="4" xfId="0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4" fontId="2" fillId="0" borderId="1" xfId="0" applyFont="1" applyBorder="1" applyAlignment="1">
      <alignment horizontal="center" vertical="center"/>
    </xf>
    <xf numFmtId="4" fontId="2" fillId="0" borderId="11" xfId="0" applyFont="1" applyBorder="1" applyAlignment="1">
      <alignment horizontal="center" vertical="center"/>
    </xf>
    <xf numFmtId="4" fontId="2" fillId="0" borderId="19" xfId="0" applyFont="1" applyBorder="1" applyAlignment="1">
      <alignment horizontal="center" vertical="center"/>
    </xf>
    <xf numFmtId="4" fontId="2" fillId="0" borderId="12" xfId="0" applyFont="1" applyBorder="1" applyAlignment="1">
      <alignment horizontal="center" vertical="center"/>
    </xf>
    <xf numFmtId="4" fontId="2" fillId="0" borderId="0" xfId="0" applyFont="1" applyAlignment="1">
      <alignment horizontal="center" vertical="center"/>
    </xf>
    <xf numFmtId="4" fontId="3" fillId="0" borderId="13" xfId="0" applyFont="1" applyBorder="1" applyAlignment="1">
      <alignment horizontal="center" vertical="center"/>
    </xf>
    <xf numFmtId="4" fontId="3" fillId="0" borderId="15" xfId="0" applyFont="1" applyBorder="1" applyAlignment="1">
      <alignment horizontal="center" vertical="center"/>
    </xf>
    <xf numFmtId="4" fontId="3" fillId="0" borderId="5" xfId="0" applyFont="1" applyBorder="1" applyAlignment="1">
      <alignment horizontal="center" vertical="center"/>
    </xf>
    <xf numFmtId="4" fontId="3" fillId="0" borderId="6" xfId="0" applyFont="1" applyBorder="1" applyAlignment="1">
      <alignment horizontal="center" vertical="center"/>
    </xf>
    <xf numFmtId="4" fontId="3" fillId="0" borderId="11" xfId="0" applyFont="1" applyBorder="1" applyAlignment="1">
      <alignment horizontal="center" vertical="center"/>
    </xf>
    <xf numFmtId="4" fontId="3" fillId="0" borderId="12" xfId="0" applyFont="1" applyBorder="1" applyAlignment="1">
      <alignment horizontal="center" vertical="center"/>
    </xf>
    <xf numFmtId="4" fontId="3" fillId="0" borderId="17" xfId="0" applyFont="1" applyBorder="1" applyAlignment="1">
      <alignment horizontal="center" vertical="center"/>
    </xf>
    <xf numFmtId="4" fontId="3" fillId="0" borderId="10" xfId="0" applyFont="1" applyBorder="1" applyAlignment="1">
      <alignment horizontal="center" vertical="center"/>
    </xf>
    <xf numFmtId="4" fontId="3" fillId="0" borderId="21" xfId="0" applyFont="1" applyBorder="1" applyAlignment="1">
      <alignment horizontal="center" vertical="center"/>
    </xf>
    <xf numFmtId="4" fontId="2" fillId="0" borderId="10" xfId="0" applyFont="1" applyBorder="1" applyAlignment="1">
      <alignment horizontal="center" vertical="center"/>
    </xf>
    <xf numFmtId="4" fontId="2" fillId="0" borderId="17" xfId="0" applyFont="1" applyBorder="1" applyAlignment="1">
      <alignment horizontal="center" vertical="center"/>
    </xf>
    <xf numFmtId="4" fontId="2" fillId="3" borderId="0" xfId="0" applyFont="1" applyFill="1" applyAlignment="1">
      <alignment horizontal="center" vertical="center"/>
    </xf>
    <xf numFmtId="4" fontId="2" fillId="3" borderId="0" xfId="0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4" fontId="3" fillId="3" borderId="2" xfId="0" applyFont="1" applyFill="1" applyBorder="1" applyAlignment="1">
      <alignment horizontal="center" vertical="center"/>
    </xf>
    <xf numFmtId="4" fontId="3" fillId="3" borderId="3" xfId="0" applyFont="1" applyFill="1" applyBorder="1" applyAlignment="1">
      <alignment horizontal="center" vertical="center"/>
    </xf>
    <xf numFmtId="4" fontId="3" fillId="3" borderId="4" xfId="0" applyFont="1" applyFill="1" applyBorder="1" applyAlignment="1">
      <alignment horizontal="center" vertical="center"/>
    </xf>
    <xf numFmtId="4" fontId="3" fillId="3" borderId="5" xfId="0" applyFont="1" applyFill="1" applyBorder="1" applyAlignment="1">
      <alignment horizontal="center" vertical="center"/>
    </xf>
    <xf numFmtId="4" fontId="3" fillId="3" borderId="6" xfId="0" applyFont="1" applyFill="1" applyBorder="1" applyAlignment="1">
      <alignment horizontal="center" vertical="center"/>
    </xf>
    <xf numFmtId="4" fontId="3" fillId="3" borderId="11" xfId="0" applyFont="1" applyFill="1" applyBorder="1" applyAlignment="1">
      <alignment horizontal="center" vertical="center"/>
    </xf>
    <xf numFmtId="4" fontId="3" fillId="3" borderId="12" xfId="0" applyFont="1" applyFill="1" applyBorder="1" applyAlignment="1">
      <alignment horizontal="center" vertical="center"/>
    </xf>
    <xf numFmtId="4" fontId="3" fillId="3" borderId="13" xfId="0" applyFont="1" applyFill="1" applyBorder="1" applyAlignment="1">
      <alignment horizontal="center" vertical="center"/>
    </xf>
    <xf numFmtId="4" fontId="3" fillId="3" borderId="15" xfId="0" applyFont="1" applyFill="1" applyBorder="1" applyAlignment="1">
      <alignment horizontal="center" vertical="center"/>
    </xf>
    <xf numFmtId="0" fontId="4" fillId="0" borderId="7" xfId="0" applyNumberFormat="1" applyFont="1" applyBorder="1" applyAlignment="1">
      <alignment vertical="top"/>
    </xf>
    <xf numFmtId="4" fontId="6" fillId="0" borderId="7" xfId="0" applyFont="1" applyBorder="1" applyAlignment="1">
      <alignment horizontal="left" vertical="center"/>
    </xf>
    <xf numFmtId="4" fontId="6" fillId="0" borderId="7" xfId="0" applyFont="1" applyBorder="1" applyAlignment="1">
      <alignment vertical="center"/>
    </xf>
    <xf numFmtId="4" fontId="6" fillId="3" borderId="7" xfId="0" applyFont="1" applyFill="1" applyBorder="1" applyAlignment="1">
      <alignment vertical="center"/>
    </xf>
    <xf numFmtId="4" fontId="6" fillId="3" borderId="7" xfId="0" applyFont="1" applyFill="1" applyBorder="1" applyAlignment="1">
      <alignment horizontal="left" vertical="center"/>
    </xf>
  </cellXfs>
  <cellStyles count="2">
    <cellStyle name="Normal" xfId="0" builtinId="0"/>
    <cellStyle name="ปกติ 4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91;&#3634;&#3609;&#3649;&#3609;&#3609;/&#3624;&#3641;&#3609;&#3618;&#3660;&#3649;&#3614;&#3607;&#3618;&#3660;%20&#3611;&#3637;%20&#3591;&#3610;&#3611;&#3619;&#3632;&#3617;&#3634;&#3603;%202564%20-%20na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ลูกหนี้"/>
      <sheetName val="ศูนย์แพทย์12-1(1101030101.101E)"/>
      <sheetName val="แยกประเภทเงินอุดหนุน"/>
      <sheetName val="ออมทรัพย์ 805-0-39854-4"/>
      <sheetName val="ศูนย์แพทย์เงินบำรุง44-3 รายวัน"/>
      <sheetName val="แยกประเภทเงินบำรุ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">
          <cell r="G15">
            <v>255044.2</v>
          </cell>
        </row>
        <row r="94">
          <cell r="G94">
            <v>0</v>
          </cell>
        </row>
        <row r="110">
          <cell r="G110">
            <v>0</v>
          </cell>
        </row>
        <row r="129">
          <cell r="G129">
            <v>0</v>
          </cell>
        </row>
        <row r="189">
          <cell r="G189">
            <v>0</v>
          </cell>
        </row>
        <row r="209">
          <cell r="G20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7E69-7F8D-4CD7-9E69-00FAA5390182}">
  <sheetPr>
    <tabColor rgb="FF92D050"/>
  </sheetPr>
  <dimension ref="A1:R153"/>
  <sheetViews>
    <sheetView topLeftCell="A105" workbookViewId="0">
      <selection activeCell="A115" sqref="A115:I133"/>
    </sheetView>
  </sheetViews>
  <sheetFormatPr defaultRowHeight="23.1" customHeight="1" x14ac:dyDescent="0.35"/>
  <cols>
    <col min="1" max="1" width="4.625" style="35" customWidth="1"/>
    <col min="2" max="2" width="4.5" style="23" customWidth="1"/>
    <col min="3" max="3" width="10.125" style="35" customWidth="1"/>
    <col min="4" max="4" width="9.375" style="42" customWidth="1"/>
    <col min="5" max="5" width="30.625" style="15" customWidth="1"/>
    <col min="6" max="6" width="29.625" style="15" customWidth="1"/>
    <col min="7" max="7" width="14.25" style="43" customWidth="1"/>
    <col min="8" max="8" width="14.875" style="15" customWidth="1"/>
    <col min="9" max="9" width="12.375" style="44" customWidth="1"/>
    <col min="10" max="10" width="13.5" style="15" customWidth="1"/>
    <col min="11" max="11" width="11.375" style="15" bestFit="1" customWidth="1"/>
    <col min="12" max="16384" width="9" style="15"/>
  </cols>
  <sheetData>
    <row r="1" spans="1:14" s="1" customFormat="1" ht="45.75" customHeight="1" x14ac:dyDescent="0.35">
      <c r="A1" s="202" t="s">
        <v>33</v>
      </c>
      <c r="B1" s="202"/>
      <c r="C1" s="202"/>
      <c r="D1" s="202"/>
      <c r="E1" s="202"/>
      <c r="F1" s="202"/>
      <c r="G1" s="202"/>
      <c r="H1" s="202"/>
      <c r="I1" s="202"/>
    </row>
    <row r="2" spans="1:14" s="1" customFormat="1" ht="26.25" x14ac:dyDescent="0.35">
      <c r="A2" s="191" t="s">
        <v>35</v>
      </c>
      <c r="B2" s="191"/>
      <c r="C2" s="191"/>
      <c r="D2" s="191"/>
      <c r="E2" s="191"/>
      <c r="F2" s="191"/>
      <c r="G2" s="191"/>
      <c r="H2" s="191"/>
      <c r="I2" s="191"/>
    </row>
    <row r="3" spans="1:14" s="1" customFormat="1" ht="26.25" x14ac:dyDescent="0.35">
      <c r="A3" s="2"/>
      <c r="B3" s="2"/>
      <c r="C3" s="2"/>
      <c r="D3" s="2"/>
      <c r="E3" s="2"/>
      <c r="F3" s="2"/>
      <c r="G3" s="3"/>
      <c r="H3" s="2"/>
      <c r="I3" s="2"/>
    </row>
    <row r="4" spans="1:14" s="6" customFormat="1" ht="23.1" customHeight="1" x14ac:dyDescent="0.35">
      <c r="A4" s="4" t="s">
        <v>1</v>
      </c>
      <c r="B4" s="5">
        <v>45931</v>
      </c>
      <c r="C4" s="4" t="s">
        <v>2</v>
      </c>
      <c r="D4" s="192" t="s">
        <v>3</v>
      </c>
      <c r="E4" s="194" t="s">
        <v>4</v>
      </c>
      <c r="F4" s="194" t="s">
        <v>5</v>
      </c>
      <c r="G4" s="189" t="s">
        <v>6</v>
      </c>
      <c r="H4" s="194" t="s">
        <v>7</v>
      </c>
      <c r="I4" s="194" t="s">
        <v>8</v>
      </c>
    </row>
    <row r="5" spans="1:14" s="6" customFormat="1" ht="21.75" customHeight="1" x14ac:dyDescent="0.35">
      <c r="A5" s="4" t="s">
        <v>9</v>
      </c>
      <c r="B5" s="4" t="s">
        <v>10</v>
      </c>
      <c r="C5" s="7" t="s">
        <v>11</v>
      </c>
      <c r="D5" s="193"/>
      <c r="E5" s="189"/>
      <c r="F5" s="189"/>
      <c r="G5" s="195"/>
      <c r="H5" s="189"/>
      <c r="I5" s="189"/>
    </row>
    <row r="6" spans="1:14" s="6" customFormat="1" ht="28.5" customHeight="1" x14ac:dyDescent="0.35">
      <c r="A6" s="161">
        <v>44105</v>
      </c>
      <c r="B6" s="9"/>
      <c r="C6" s="10"/>
      <c r="D6" s="11"/>
      <c r="E6" s="205" t="s">
        <v>12</v>
      </c>
      <c r="F6" s="206"/>
      <c r="G6" s="12"/>
      <c r="H6" s="13"/>
      <c r="I6" s="4">
        <v>17088814.959999997</v>
      </c>
    </row>
    <row r="7" spans="1:14" s="6" customFormat="1" ht="23.1" customHeight="1" x14ac:dyDescent="0.35">
      <c r="A7" s="136"/>
      <c r="B7" s="13"/>
      <c r="C7" s="13"/>
      <c r="D7" s="66"/>
      <c r="E7" s="205" t="s">
        <v>13</v>
      </c>
      <c r="F7" s="206"/>
      <c r="G7" s="60">
        <v>0</v>
      </c>
      <c r="H7" s="60">
        <v>0</v>
      </c>
      <c r="I7" s="4">
        <f>+I6</f>
        <v>17088814.959999997</v>
      </c>
    </row>
    <row r="8" spans="1:14" s="6" customFormat="1" ht="22.5" customHeight="1" x14ac:dyDescent="0.35">
      <c r="A8" s="31"/>
      <c r="B8" s="31"/>
      <c r="C8" s="31"/>
      <c r="D8" s="32"/>
      <c r="E8" s="33"/>
      <c r="F8" s="33"/>
      <c r="G8" s="34"/>
      <c r="H8" s="34"/>
      <c r="I8" s="33"/>
    </row>
    <row r="9" spans="1:14" s="1" customFormat="1" ht="45.75" customHeight="1" x14ac:dyDescent="0.35">
      <c r="A9" s="199" t="s">
        <v>33</v>
      </c>
      <c r="B9" s="200"/>
      <c r="C9" s="200"/>
      <c r="D9" s="200"/>
      <c r="E9" s="200"/>
      <c r="F9" s="200"/>
      <c r="G9" s="200"/>
      <c r="H9" s="200"/>
      <c r="I9" s="201"/>
    </row>
    <row r="10" spans="1:14" s="1" customFormat="1" ht="26.25" x14ac:dyDescent="0.35">
      <c r="A10" s="212" t="s">
        <v>36</v>
      </c>
      <c r="B10" s="191"/>
      <c r="C10" s="191"/>
      <c r="D10" s="191"/>
      <c r="E10" s="191"/>
      <c r="F10" s="191"/>
      <c r="G10" s="191"/>
      <c r="H10" s="191"/>
      <c r="I10" s="213"/>
      <c r="N10" s="55"/>
    </row>
    <row r="11" spans="1:14" s="1" customFormat="1" ht="26.25" x14ac:dyDescent="0.35">
      <c r="A11" s="58"/>
      <c r="B11" s="2"/>
      <c r="C11" s="2"/>
      <c r="D11" s="2"/>
      <c r="E11" s="2"/>
      <c r="F11" s="2"/>
      <c r="G11" s="2"/>
      <c r="H11" s="2"/>
      <c r="I11" s="59"/>
    </row>
    <row r="12" spans="1:14" s="6" customFormat="1" ht="23.1" customHeight="1" x14ac:dyDescent="0.35">
      <c r="A12" s="4" t="s">
        <v>1</v>
      </c>
      <c r="B12" s="5">
        <v>45931</v>
      </c>
      <c r="C12" s="4" t="s">
        <v>2</v>
      </c>
      <c r="D12" s="192" t="s">
        <v>3</v>
      </c>
      <c r="E12" s="194" t="s">
        <v>4</v>
      </c>
      <c r="F12" s="194" t="s">
        <v>5</v>
      </c>
      <c r="G12" s="189" t="s">
        <v>6</v>
      </c>
      <c r="H12" s="194" t="s">
        <v>7</v>
      </c>
      <c r="I12" s="194" t="s">
        <v>8</v>
      </c>
    </row>
    <row r="13" spans="1:14" s="6" customFormat="1" ht="21.75" customHeight="1" x14ac:dyDescent="0.35">
      <c r="A13" s="4" t="s">
        <v>9</v>
      </c>
      <c r="B13" s="4" t="s">
        <v>10</v>
      </c>
      <c r="C13" s="7" t="s">
        <v>11</v>
      </c>
      <c r="D13" s="193"/>
      <c r="E13" s="189"/>
      <c r="F13" s="189"/>
      <c r="G13" s="195"/>
      <c r="H13" s="189"/>
      <c r="I13" s="189"/>
    </row>
    <row r="14" spans="1:14" s="6" customFormat="1" ht="28.5" customHeight="1" x14ac:dyDescent="0.35">
      <c r="A14" s="8" t="s">
        <v>16</v>
      </c>
      <c r="B14" s="47"/>
      <c r="C14" s="10"/>
      <c r="D14" s="11"/>
      <c r="E14" s="211" t="s">
        <v>12</v>
      </c>
      <c r="F14" s="206"/>
      <c r="G14" s="60">
        <v>0</v>
      </c>
      <c r="H14" s="60">
        <v>0</v>
      </c>
      <c r="I14" s="4">
        <v>17088814.959999997</v>
      </c>
    </row>
    <row r="15" spans="1:14" s="23" customFormat="1" ht="23.1" customHeight="1" thickBot="1" x14ac:dyDescent="0.4">
      <c r="A15" s="20"/>
      <c r="B15" s="20"/>
      <c r="C15" s="20"/>
      <c r="D15" s="21"/>
      <c r="E15" s="203" t="s">
        <v>15</v>
      </c>
      <c r="F15" s="204"/>
      <c r="G15" s="22">
        <v>0</v>
      </c>
      <c r="H15" s="22">
        <v>0</v>
      </c>
      <c r="I15" s="160">
        <v>17088814.960000001</v>
      </c>
      <c r="J15" s="23" t="e">
        <f>+#REF!-I15</f>
        <v>#REF!</v>
      </c>
      <c r="K15" s="67">
        <f>85.67+85.67</f>
        <v>171.34</v>
      </c>
    </row>
    <row r="16" spans="1:14" s="23" customFormat="1" ht="23.1" customHeight="1" thickTop="1" x14ac:dyDescent="0.35">
      <c r="D16" s="38"/>
      <c r="G16" s="39"/>
      <c r="I16" s="40"/>
    </row>
    <row r="17" spans="1:10" s="1" customFormat="1" ht="45.75" customHeight="1" x14ac:dyDescent="0.35">
      <c r="A17" s="202" t="s">
        <v>33</v>
      </c>
      <c r="B17" s="202"/>
      <c r="C17" s="202"/>
      <c r="D17" s="202"/>
      <c r="E17" s="202"/>
      <c r="F17" s="202"/>
      <c r="G17" s="202"/>
      <c r="H17" s="202"/>
      <c r="I17" s="202"/>
    </row>
    <row r="18" spans="1:10" s="1" customFormat="1" ht="26.25" x14ac:dyDescent="0.35">
      <c r="A18" s="191" t="s">
        <v>37</v>
      </c>
      <c r="B18" s="191"/>
      <c r="C18" s="191"/>
      <c r="D18" s="191"/>
      <c r="E18" s="191"/>
      <c r="F18" s="191"/>
      <c r="G18" s="191"/>
      <c r="H18" s="191"/>
      <c r="I18" s="191"/>
    </row>
    <row r="19" spans="1:10" s="1" customFormat="1" ht="27" thickBot="1" x14ac:dyDescent="0.4">
      <c r="A19" s="2"/>
      <c r="B19" s="2"/>
      <c r="C19" s="2"/>
      <c r="D19" s="2"/>
      <c r="E19" s="2"/>
      <c r="F19" s="2"/>
      <c r="G19" s="3"/>
      <c r="H19" s="2"/>
      <c r="I19" s="2"/>
    </row>
    <row r="20" spans="1:10" s="6" customFormat="1" ht="23.1" customHeight="1" x14ac:dyDescent="0.35">
      <c r="A20" s="4" t="s">
        <v>1</v>
      </c>
      <c r="B20" s="5">
        <v>45931</v>
      </c>
      <c r="C20" s="4" t="s">
        <v>2</v>
      </c>
      <c r="D20" s="192" t="s">
        <v>3</v>
      </c>
      <c r="E20" s="194" t="s">
        <v>4</v>
      </c>
      <c r="F20" s="194" t="s">
        <v>5</v>
      </c>
      <c r="G20" s="189" t="s">
        <v>6</v>
      </c>
      <c r="H20" s="194" t="s">
        <v>7</v>
      </c>
      <c r="I20" s="194" t="s">
        <v>8</v>
      </c>
    </row>
    <row r="21" spans="1:10" s="6" customFormat="1" ht="21.75" customHeight="1" x14ac:dyDescent="0.35">
      <c r="A21" s="4" t="s">
        <v>9</v>
      </c>
      <c r="B21" s="4" t="s">
        <v>10</v>
      </c>
      <c r="C21" s="7" t="s">
        <v>11</v>
      </c>
      <c r="D21" s="193"/>
      <c r="E21" s="189"/>
      <c r="F21" s="189"/>
      <c r="G21" s="195"/>
      <c r="H21" s="189"/>
      <c r="I21" s="189"/>
    </row>
    <row r="22" spans="1:10" s="6" customFormat="1" ht="28.5" customHeight="1" thickBot="1" x14ac:dyDescent="0.4">
      <c r="A22" s="144" t="s">
        <v>18</v>
      </c>
      <c r="B22" s="47"/>
      <c r="C22" s="10"/>
      <c r="D22" s="11"/>
      <c r="E22" s="205" t="s">
        <v>12</v>
      </c>
      <c r="F22" s="206"/>
      <c r="G22" s="22">
        <v>0</v>
      </c>
      <c r="H22" s="22">
        <v>0</v>
      </c>
      <c r="I22" s="160">
        <v>17088814.959999997</v>
      </c>
      <c r="J22" s="16"/>
    </row>
    <row r="23" spans="1:10" s="6" customFormat="1" ht="24" customHeight="1" thickTop="1" x14ac:dyDescent="0.35">
      <c r="A23" s="53"/>
      <c r="B23" s="48">
        <v>4</v>
      </c>
      <c r="C23" s="54" t="s">
        <v>47</v>
      </c>
      <c r="D23" s="27">
        <v>10718730</v>
      </c>
      <c r="E23" s="45" t="s">
        <v>48</v>
      </c>
      <c r="F23" s="63" t="s">
        <v>49</v>
      </c>
      <c r="G23" s="28">
        <v>41827.5</v>
      </c>
      <c r="H23" s="61"/>
      <c r="I23" s="56"/>
      <c r="J23" s="31"/>
    </row>
    <row r="24" spans="1:10" s="6" customFormat="1" ht="24" customHeight="1" x14ac:dyDescent="0.35">
      <c r="A24" s="53"/>
      <c r="B24" s="14"/>
      <c r="C24" s="54" t="s">
        <v>51</v>
      </c>
      <c r="D24" s="27"/>
      <c r="E24" s="25" t="s">
        <v>50</v>
      </c>
      <c r="F24" s="63"/>
      <c r="G24" s="28">
        <v>422.5</v>
      </c>
      <c r="H24" s="61"/>
      <c r="I24" s="56"/>
      <c r="J24" s="31"/>
    </row>
    <row r="25" spans="1:10" s="6" customFormat="1" ht="24" customHeight="1" x14ac:dyDescent="0.35">
      <c r="A25" s="53"/>
      <c r="B25" s="14">
        <v>23</v>
      </c>
      <c r="C25" s="54" t="s">
        <v>52</v>
      </c>
      <c r="D25" s="27">
        <v>10718731</v>
      </c>
      <c r="E25" s="25" t="s">
        <v>67</v>
      </c>
      <c r="F25" s="63" t="s">
        <v>49</v>
      </c>
      <c r="G25" s="28">
        <v>117290.25</v>
      </c>
      <c r="H25" s="61"/>
      <c r="I25" s="56"/>
      <c r="J25" s="31"/>
    </row>
    <row r="26" spans="1:10" s="6" customFormat="1" ht="24" customHeight="1" x14ac:dyDescent="0.35">
      <c r="A26" s="53"/>
      <c r="B26" s="14"/>
      <c r="C26" s="54" t="s">
        <v>53</v>
      </c>
      <c r="D26" s="27"/>
      <c r="E26" s="25" t="s">
        <v>50</v>
      </c>
      <c r="F26" s="63"/>
      <c r="G26" s="28">
        <v>1184.75</v>
      </c>
      <c r="H26" s="61"/>
      <c r="I26" s="56"/>
      <c r="J26" s="31"/>
    </row>
    <row r="27" spans="1:10" s="6" customFormat="1" ht="24" customHeight="1" x14ac:dyDescent="0.35">
      <c r="A27" s="53"/>
      <c r="B27" s="14"/>
      <c r="C27" s="54" t="s">
        <v>54</v>
      </c>
      <c r="D27" s="27"/>
      <c r="E27" s="25" t="s">
        <v>55</v>
      </c>
      <c r="F27" s="63" t="s">
        <v>56</v>
      </c>
      <c r="G27" s="28">
        <v>9080.99</v>
      </c>
      <c r="H27" s="61"/>
      <c r="I27" s="56"/>
      <c r="J27" s="31"/>
    </row>
    <row r="28" spans="1:10" s="6" customFormat="1" ht="24" customHeight="1" x14ac:dyDescent="0.35">
      <c r="A28" s="53"/>
      <c r="B28" s="14"/>
      <c r="C28" s="54" t="s">
        <v>57</v>
      </c>
      <c r="D28" s="27"/>
      <c r="E28" s="25" t="s">
        <v>50</v>
      </c>
      <c r="F28" s="63"/>
      <c r="G28" s="28">
        <v>85.67</v>
      </c>
      <c r="H28" s="61"/>
      <c r="I28" s="56"/>
      <c r="J28" s="31"/>
    </row>
    <row r="29" spans="1:10" s="6" customFormat="1" ht="24" customHeight="1" x14ac:dyDescent="0.35">
      <c r="A29" s="53"/>
      <c r="B29" s="14"/>
      <c r="C29" s="54" t="s">
        <v>58</v>
      </c>
      <c r="D29" s="27"/>
      <c r="E29" s="25" t="s">
        <v>59</v>
      </c>
      <c r="F29" s="63" t="s">
        <v>56</v>
      </c>
      <c r="G29" s="28">
        <v>9080.99</v>
      </c>
      <c r="H29" s="61"/>
      <c r="I29" s="56"/>
      <c r="J29" s="31"/>
    </row>
    <row r="30" spans="1:10" s="6" customFormat="1" ht="24" customHeight="1" x14ac:dyDescent="0.35">
      <c r="A30" s="53"/>
      <c r="B30" s="14"/>
      <c r="C30" s="54" t="s">
        <v>61</v>
      </c>
      <c r="D30" s="27"/>
      <c r="E30" s="25" t="s">
        <v>50</v>
      </c>
      <c r="F30" s="63"/>
      <c r="G30" s="28">
        <v>85.67</v>
      </c>
      <c r="H30" s="61"/>
      <c r="I30" s="56"/>
      <c r="J30" s="31"/>
    </row>
    <row r="31" spans="1:10" s="6" customFormat="1" ht="24" customHeight="1" x14ac:dyDescent="0.35">
      <c r="A31" s="53"/>
      <c r="B31" s="14"/>
      <c r="C31" s="54" t="s">
        <v>62</v>
      </c>
      <c r="D31" s="27"/>
      <c r="E31" s="25" t="s">
        <v>63</v>
      </c>
      <c r="F31" s="63" t="s">
        <v>56</v>
      </c>
      <c r="G31" s="28">
        <v>9080.99</v>
      </c>
      <c r="H31" s="61"/>
      <c r="I31" s="56"/>
      <c r="J31" s="31"/>
    </row>
    <row r="32" spans="1:10" s="6" customFormat="1" ht="24" customHeight="1" x14ac:dyDescent="0.35">
      <c r="A32" s="53"/>
      <c r="B32" s="14"/>
      <c r="C32" s="54" t="s">
        <v>60</v>
      </c>
      <c r="D32" s="27"/>
      <c r="E32" s="25" t="s">
        <v>50</v>
      </c>
      <c r="F32" s="63"/>
      <c r="G32" s="28">
        <v>85.67</v>
      </c>
      <c r="H32" s="61"/>
      <c r="I32" s="56"/>
      <c r="J32" s="31"/>
    </row>
    <row r="33" spans="1:12" s="6" customFormat="1" ht="24" customHeight="1" x14ac:dyDescent="0.35">
      <c r="A33" s="53"/>
      <c r="B33" s="14"/>
      <c r="C33" s="54" t="s">
        <v>64</v>
      </c>
      <c r="D33" s="27"/>
      <c r="E33" s="25" t="s">
        <v>65</v>
      </c>
      <c r="F33" s="63" t="s">
        <v>56</v>
      </c>
      <c r="G33" s="28">
        <v>9081.23</v>
      </c>
      <c r="H33" s="61"/>
      <c r="I33" s="56"/>
      <c r="J33" s="31"/>
    </row>
    <row r="34" spans="1:12" s="6" customFormat="1" ht="24" customHeight="1" x14ac:dyDescent="0.35">
      <c r="A34" s="53"/>
      <c r="B34" s="14"/>
      <c r="C34" s="54" t="s">
        <v>66</v>
      </c>
      <c r="D34" s="27"/>
      <c r="E34" s="25" t="s">
        <v>50</v>
      </c>
      <c r="F34" s="63"/>
      <c r="G34" s="28">
        <v>85.67</v>
      </c>
      <c r="H34" s="61"/>
      <c r="I34" s="56"/>
      <c r="J34" s="31"/>
    </row>
    <row r="35" spans="1:12" s="23" customFormat="1" ht="23.1" customHeight="1" x14ac:dyDescent="0.35">
      <c r="A35" s="29"/>
      <c r="B35" s="17"/>
      <c r="C35" s="17"/>
      <c r="D35" s="18"/>
      <c r="E35" s="207" t="s">
        <v>13</v>
      </c>
      <c r="F35" s="208"/>
      <c r="G35" s="19">
        <f>SUM(G23:G34)</f>
        <v>197391.88000000003</v>
      </c>
      <c r="H35" s="19">
        <f>SUM(H23:H34)</f>
        <v>0</v>
      </c>
      <c r="I35" s="60">
        <f>+I22+H35-G35</f>
        <v>16891423.079999998</v>
      </c>
      <c r="K35" s="163">
        <f>+G24+G26+G28+G30+G32+G34</f>
        <v>1949.9300000000003</v>
      </c>
      <c r="L35" s="30"/>
    </row>
    <row r="36" spans="1:12" s="23" customFormat="1" ht="23.1" customHeight="1" thickBot="1" x14ac:dyDescent="0.4">
      <c r="A36" s="20"/>
      <c r="B36" s="20"/>
      <c r="C36" s="20"/>
      <c r="D36" s="21"/>
      <c r="E36" s="203" t="s">
        <v>15</v>
      </c>
      <c r="F36" s="204"/>
      <c r="G36" s="22">
        <f>+G22+G35</f>
        <v>197391.88000000003</v>
      </c>
      <c r="H36" s="22">
        <f>+H22+H35</f>
        <v>0</v>
      </c>
      <c r="I36" s="22">
        <f>+I6+H36-G36</f>
        <v>16891423.079999998</v>
      </c>
    </row>
    <row r="37" spans="1:12" s="23" customFormat="1" ht="23.1" customHeight="1" thickTop="1" x14ac:dyDescent="0.35">
      <c r="D37" s="38"/>
      <c r="G37" s="39"/>
      <c r="I37" s="40"/>
    </row>
    <row r="38" spans="1:12" s="1" customFormat="1" ht="45.75" customHeight="1" x14ac:dyDescent="0.35">
      <c r="A38" s="202" t="s">
        <v>33</v>
      </c>
      <c r="B38" s="202"/>
      <c r="C38" s="202"/>
      <c r="D38" s="202"/>
      <c r="E38" s="202"/>
      <c r="F38" s="202"/>
      <c r="G38" s="202"/>
      <c r="H38" s="202"/>
      <c r="I38" s="202"/>
    </row>
    <row r="39" spans="1:12" s="1" customFormat="1" ht="26.25" x14ac:dyDescent="0.35">
      <c r="A39" s="191" t="s">
        <v>38</v>
      </c>
      <c r="B39" s="191"/>
      <c r="C39" s="191"/>
      <c r="D39" s="191"/>
      <c r="E39" s="191"/>
      <c r="F39" s="191"/>
      <c r="G39" s="191"/>
      <c r="H39" s="191"/>
      <c r="I39" s="191"/>
    </row>
    <row r="40" spans="1:12" s="1" customFormat="1" ht="26.25" x14ac:dyDescent="0.35">
      <c r="A40" s="2"/>
      <c r="B40" s="2"/>
      <c r="C40" s="2"/>
      <c r="D40" s="2"/>
      <c r="E40" s="2"/>
      <c r="F40" s="2"/>
      <c r="G40" s="3"/>
      <c r="H40" s="2"/>
      <c r="I40" s="2"/>
    </row>
    <row r="41" spans="1:12" s="6" customFormat="1" ht="23.1" customHeight="1" x14ac:dyDescent="0.35">
      <c r="A41" s="4" t="s">
        <v>1</v>
      </c>
      <c r="B41" s="5">
        <v>46296</v>
      </c>
      <c r="C41" s="4" t="s">
        <v>2</v>
      </c>
      <c r="D41" s="192" t="s">
        <v>3</v>
      </c>
      <c r="E41" s="194" t="s">
        <v>4</v>
      </c>
      <c r="F41" s="194" t="s">
        <v>5</v>
      </c>
      <c r="G41" s="189" t="s">
        <v>6</v>
      </c>
      <c r="H41" s="194" t="s">
        <v>7</v>
      </c>
      <c r="I41" s="194" t="s">
        <v>8</v>
      </c>
    </row>
    <row r="42" spans="1:12" s="6" customFormat="1" ht="21.75" customHeight="1" x14ac:dyDescent="0.35">
      <c r="A42" s="4" t="s">
        <v>9</v>
      </c>
      <c r="B42" s="4" t="s">
        <v>10</v>
      </c>
      <c r="C42" s="7" t="s">
        <v>11</v>
      </c>
      <c r="D42" s="193"/>
      <c r="E42" s="189"/>
      <c r="F42" s="189"/>
      <c r="G42" s="195"/>
      <c r="H42" s="189"/>
      <c r="I42" s="189"/>
    </row>
    <row r="43" spans="1:12" s="6" customFormat="1" ht="28.5" customHeight="1" x14ac:dyDescent="0.35">
      <c r="A43" s="144" t="s">
        <v>19</v>
      </c>
      <c r="B43" s="47"/>
      <c r="C43" s="10"/>
      <c r="D43" s="11"/>
      <c r="E43" s="194" t="s">
        <v>12</v>
      </c>
      <c r="F43" s="194"/>
      <c r="G43" s="60">
        <v>197391.88000000003</v>
      </c>
      <c r="H43" s="60">
        <v>0</v>
      </c>
      <c r="I43" s="60">
        <v>16891423.079999998</v>
      </c>
      <c r="J43" s="31"/>
    </row>
    <row r="44" spans="1:12" s="23" customFormat="1" ht="23.1" customHeight="1" thickBot="1" x14ac:dyDescent="0.4">
      <c r="A44" s="20"/>
      <c r="B44" s="20"/>
      <c r="C44" s="20"/>
      <c r="D44" s="21"/>
      <c r="E44" s="190" t="s">
        <v>15</v>
      </c>
      <c r="F44" s="190"/>
      <c r="G44" s="137">
        <f>+G43</f>
        <v>197391.88000000003</v>
      </c>
      <c r="H44" s="137">
        <f>+H43</f>
        <v>0</v>
      </c>
      <c r="I44" s="22">
        <v>16891423.079999998</v>
      </c>
      <c r="J44" s="23" t="e">
        <f>+#REF!-I44</f>
        <v>#REF!</v>
      </c>
    </row>
    <row r="45" spans="1:12" s="23" customFormat="1" ht="23.1" customHeight="1" thickTop="1" x14ac:dyDescent="0.35">
      <c r="D45" s="38"/>
      <c r="G45" s="39"/>
      <c r="I45" s="40"/>
    </row>
    <row r="46" spans="1:12" s="1" customFormat="1" ht="45.75" customHeight="1" x14ac:dyDescent="0.35">
      <c r="A46" s="202" t="s">
        <v>33</v>
      </c>
      <c r="B46" s="202"/>
      <c r="C46" s="202"/>
      <c r="D46" s="202"/>
      <c r="E46" s="202"/>
      <c r="F46" s="202"/>
      <c r="G46" s="202"/>
      <c r="H46" s="202"/>
      <c r="I46" s="202"/>
    </row>
    <row r="47" spans="1:12" s="1" customFormat="1" ht="26.25" x14ac:dyDescent="0.35">
      <c r="A47" s="191" t="s">
        <v>39</v>
      </c>
      <c r="B47" s="191"/>
      <c r="C47" s="191"/>
      <c r="D47" s="191"/>
      <c r="E47" s="191"/>
      <c r="F47" s="191"/>
      <c r="G47" s="191"/>
      <c r="H47" s="191"/>
      <c r="I47" s="191"/>
    </row>
    <row r="48" spans="1:12" s="1" customFormat="1" ht="27.75" thickTop="1" thickBot="1" x14ac:dyDescent="0.4">
      <c r="A48" s="2"/>
      <c r="B48" s="2"/>
      <c r="C48" s="2"/>
      <c r="D48" s="2"/>
      <c r="E48" s="2"/>
      <c r="F48" s="2"/>
      <c r="G48" s="3"/>
      <c r="H48" s="2"/>
      <c r="I48" s="2"/>
    </row>
    <row r="49" spans="1:11" s="6" customFormat="1" ht="23.1" customHeight="1" x14ac:dyDescent="0.35">
      <c r="A49" s="4" t="s">
        <v>1</v>
      </c>
      <c r="B49" s="5">
        <v>46296</v>
      </c>
      <c r="C49" s="4" t="s">
        <v>2</v>
      </c>
      <c r="D49" s="192" t="s">
        <v>3</v>
      </c>
      <c r="E49" s="194" t="s">
        <v>4</v>
      </c>
      <c r="F49" s="194" t="s">
        <v>5</v>
      </c>
      <c r="G49" s="189" t="s">
        <v>6</v>
      </c>
      <c r="H49" s="194" t="s">
        <v>7</v>
      </c>
      <c r="I49" s="194" t="s">
        <v>8</v>
      </c>
    </row>
    <row r="50" spans="1:11" s="6" customFormat="1" ht="21.75" customHeight="1" x14ac:dyDescent="0.35">
      <c r="A50" s="4" t="s">
        <v>9</v>
      </c>
      <c r="B50" s="4" t="s">
        <v>10</v>
      </c>
      <c r="C50" s="7" t="s">
        <v>11</v>
      </c>
      <c r="D50" s="193"/>
      <c r="E50" s="189"/>
      <c r="F50" s="189"/>
      <c r="G50" s="195"/>
      <c r="H50" s="189"/>
      <c r="I50" s="189"/>
    </row>
    <row r="51" spans="1:11" s="6" customFormat="1" ht="28.5" customHeight="1" x14ac:dyDescent="0.35">
      <c r="A51" s="144" t="s">
        <v>20</v>
      </c>
      <c r="B51" s="47"/>
      <c r="C51" s="10"/>
      <c r="D51" s="11"/>
      <c r="E51" s="194" t="s">
        <v>12</v>
      </c>
      <c r="F51" s="194"/>
      <c r="G51" s="60">
        <v>197391.88000000003</v>
      </c>
      <c r="H51" s="60">
        <v>0</v>
      </c>
      <c r="I51" s="60">
        <v>16891423.079999998</v>
      </c>
      <c r="J51" s="31"/>
    </row>
    <row r="52" spans="1:11" s="6" customFormat="1" ht="21.75" customHeight="1" x14ac:dyDescent="0.35">
      <c r="A52" s="53"/>
      <c r="B52" s="14">
        <v>23</v>
      </c>
      <c r="C52" s="54" t="s">
        <v>72</v>
      </c>
      <c r="D52" s="27">
        <v>10718736</v>
      </c>
      <c r="E52" s="25" t="s">
        <v>73</v>
      </c>
      <c r="F52" s="25" t="s">
        <v>74</v>
      </c>
      <c r="G52" s="54">
        <v>82500</v>
      </c>
      <c r="H52" s="34"/>
      <c r="I52" s="19"/>
      <c r="J52" s="31"/>
    </row>
    <row r="53" spans="1:11" s="23" customFormat="1" ht="23.1" customHeight="1" x14ac:dyDescent="0.35">
      <c r="A53" s="13"/>
      <c r="B53" s="13"/>
      <c r="C53" s="13"/>
      <c r="D53" s="66"/>
      <c r="E53" s="194" t="s">
        <v>13</v>
      </c>
      <c r="F53" s="194"/>
      <c r="G53" s="60">
        <f>SUM(G52:G52)</f>
        <v>82500</v>
      </c>
      <c r="H53" s="60">
        <f>SUM(H52:H52)</f>
        <v>0</v>
      </c>
      <c r="I53" s="60">
        <f>+I51+H53-G53</f>
        <v>16808923.079999998</v>
      </c>
      <c r="K53" s="69"/>
    </row>
    <row r="54" spans="1:11" s="23" customFormat="1" ht="23.1" customHeight="1" thickBot="1" x14ac:dyDescent="0.4">
      <c r="A54" s="20"/>
      <c r="B54" s="20"/>
      <c r="C54" s="20"/>
      <c r="D54" s="21"/>
      <c r="E54" s="190" t="s">
        <v>15</v>
      </c>
      <c r="F54" s="190"/>
      <c r="G54" s="22">
        <f>+G51+G53</f>
        <v>279891.88</v>
      </c>
      <c r="H54" s="22">
        <f>+H51+H53</f>
        <v>0</v>
      </c>
      <c r="I54" s="22">
        <f>+I6+H54-G54</f>
        <v>16808923.079999998</v>
      </c>
      <c r="J54" s="23">
        <f>+I53-I54</f>
        <v>0</v>
      </c>
    </row>
    <row r="55" spans="1:11" s="23" customFormat="1" ht="23.1" customHeight="1" thickTop="1" x14ac:dyDescent="0.35">
      <c r="D55" s="38"/>
      <c r="G55" s="39"/>
      <c r="I55" s="40"/>
    </row>
    <row r="56" spans="1:11" s="1" customFormat="1" ht="45.75" customHeight="1" x14ac:dyDescent="0.35">
      <c r="A56" s="202" t="s">
        <v>33</v>
      </c>
      <c r="B56" s="202"/>
      <c r="C56" s="202"/>
      <c r="D56" s="202"/>
      <c r="E56" s="202"/>
      <c r="F56" s="202"/>
      <c r="G56" s="202"/>
      <c r="H56" s="202"/>
      <c r="I56" s="202"/>
    </row>
    <row r="57" spans="1:11" s="1" customFormat="1" ht="26.25" x14ac:dyDescent="0.35">
      <c r="A57" s="191" t="s">
        <v>40</v>
      </c>
      <c r="B57" s="191"/>
      <c r="C57" s="191"/>
      <c r="D57" s="191"/>
      <c r="E57" s="191"/>
      <c r="F57" s="191"/>
      <c r="G57" s="191"/>
      <c r="H57" s="191"/>
      <c r="I57" s="191"/>
    </row>
    <row r="58" spans="1:11" s="1" customFormat="1" ht="26.25" x14ac:dyDescent="0.35">
      <c r="A58" s="2"/>
      <c r="B58" s="2"/>
      <c r="C58" s="2"/>
      <c r="D58" s="2"/>
      <c r="E58" s="2"/>
      <c r="F58" s="2"/>
      <c r="G58" s="3"/>
      <c r="H58" s="2"/>
      <c r="I58" s="2"/>
    </row>
    <row r="59" spans="1:11" s="6" customFormat="1" ht="23.1" customHeight="1" x14ac:dyDescent="0.35">
      <c r="A59" s="4" t="s">
        <v>1</v>
      </c>
      <c r="B59" s="5">
        <v>46296</v>
      </c>
      <c r="C59" s="4" t="s">
        <v>2</v>
      </c>
      <c r="D59" s="192" t="s">
        <v>3</v>
      </c>
      <c r="E59" s="194" t="s">
        <v>4</v>
      </c>
      <c r="F59" s="194" t="s">
        <v>5</v>
      </c>
      <c r="G59" s="189" t="s">
        <v>6</v>
      </c>
      <c r="H59" s="194" t="s">
        <v>7</v>
      </c>
      <c r="I59" s="194" t="s">
        <v>8</v>
      </c>
    </row>
    <row r="60" spans="1:11" s="6" customFormat="1" ht="21.75" customHeight="1" x14ac:dyDescent="0.35">
      <c r="A60" s="4" t="s">
        <v>9</v>
      </c>
      <c r="B60" s="4" t="s">
        <v>10</v>
      </c>
      <c r="C60" s="7" t="s">
        <v>11</v>
      </c>
      <c r="D60" s="193"/>
      <c r="E60" s="189"/>
      <c r="F60" s="189"/>
      <c r="G60" s="195"/>
      <c r="H60" s="189"/>
      <c r="I60" s="189"/>
    </row>
    <row r="61" spans="1:11" s="6" customFormat="1" ht="28.5" customHeight="1" x14ac:dyDescent="0.35">
      <c r="A61" s="139" t="s">
        <v>22</v>
      </c>
      <c r="B61" s="47"/>
      <c r="C61" s="10"/>
      <c r="D61" s="11"/>
      <c r="E61" s="194" t="s">
        <v>12</v>
      </c>
      <c r="F61" s="194"/>
      <c r="G61" s="60">
        <v>279891.88</v>
      </c>
      <c r="H61" s="60">
        <v>0</v>
      </c>
      <c r="I61" s="60">
        <v>16808923.079999998</v>
      </c>
      <c r="J61" s="31"/>
    </row>
    <row r="62" spans="1:11" s="6" customFormat="1" ht="24" customHeight="1" x14ac:dyDescent="0.35">
      <c r="A62" s="144"/>
      <c r="B62" s="170">
        <v>7</v>
      </c>
      <c r="C62" s="171" t="s">
        <v>77</v>
      </c>
      <c r="D62" s="27">
        <v>10718736</v>
      </c>
      <c r="E62" s="172" t="s">
        <v>78</v>
      </c>
      <c r="F62" s="45" t="s">
        <v>79</v>
      </c>
      <c r="G62" s="171">
        <v>9080.99</v>
      </c>
      <c r="H62" s="19"/>
      <c r="I62" s="19"/>
      <c r="J62" s="31"/>
    </row>
    <row r="63" spans="1:11" s="6" customFormat="1" ht="24" customHeight="1" x14ac:dyDescent="0.35">
      <c r="A63" s="144"/>
      <c r="B63" s="9"/>
      <c r="C63" s="171" t="s">
        <v>80</v>
      </c>
      <c r="D63" s="11"/>
      <c r="E63" s="25" t="s">
        <v>50</v>
      </c>
      <c r="F63" s="7"/>
      <c r="G63" s="171">
        <v>85.67</v>
      </c>
      <c r="H63" s="19"/>
      <c r="I63" s="19"/>
      <c r="J63" s="31"/>
    </row>
    <row r="64" spans="1:11" s="6" customFormat="1" ht="24" customHeight="1" x14ac:dyDescent="0.35">
      <c r="A64" s="144"/>
      <c r="B64" s="9"/>
      <c r="C64" s="171" t="s">
        <v>81</v>
      </c>
      <c r="D64" s="27">
        <v>10718738</v>
      </c>
      <c r="E64" s="172" t="s">
        <v>82</v>
      </c>
      <c r="F64" s="45" t="s">
        <v>79</v>
      </c>
      <c r="G64" s="171">
        <v>9080.99</v>
      </c>
      <c r="H64" s="19"/>
      <c r="I64" s="19"/>
      <c r="J64" s="31"/>
    </row>
    <row r="65" spans="1:14" s="6" customFormat="1" ht="24" customHeight="1" x14ac:dyDescent="0.35">
      <c r="A65" s="144"/>
      <c r="B65" s="9"/>
      <c r="C65" s="171" t="s">
        <v>83</v>
      </c>
      <c r="D65" s="11"/>
      <c r="E65" s="172" t="s">
        <v>50</v>
      </c>
      <c r="F65" s="4"/>
      <c r="G65" s="171">
        <v>85.67</v>
      </c>
      <c r="H65" s="19"/>
      <c r="I65" s="19"/>
      <c r="J65" s="31"/>
    </row>
    <row r="66" spans="1:14" s="6" customFormat="1" ht="24" customHeight="1" x14ac:dyDescent="0.35">
      <c r="A66" s="144"/>
      <c r="B66" s="170">
        <v>20</v>
      </c>
      <c r="C66" s="171" t="s">
        <v>84</v>
      </c>
      <c r="D66" s="168">
        <v>10718740</v>
      </c>
      <c r="E66" s="174" t="s">
        <v>86</v>
      </c>
      <c r="F66" s="173" t="s">
        <v>85</v>
      </c>
      <c r="G66" s="171">
        <v>2000</v>
      </c>
      <c r="H66" s="19"/>
      <c r="I66" s="19"/>
      <c r="J66" s="31"/>
    </row>
    <row r="67" spans="1:14" s="6" customFormat="1" ht="24" customHeight="1" x14ac:dyDescent="0.35">
      <c r="A67" s="144"/>
      <c r="B67" s="170">
        <v>27</v>
      </c>
      <c r="C67" s="171" t="s">
        <v>87</v>
      </c>
      <c r="D67" s="27">
        <v>10718741</v>
      </c>
      <c r="E67" s="172" t="s">
        <v>88</v>
      </c>
      <c r="F67" s="45" t="s">
        <v>49</v>
      </c>
      <c r="G67" s="171">
        <v>89176.23</v>
      </c>
      <c r="H67" s="19"/>
      <c r="I67" s="19"/>
      <c r="J67" s="31"/>
    </row>
    <row r="68" spans="1:14" s="6" customFormat="1" ht="24" customHeight="1" x14ac:dyDescent="0.35">
      <c r="A68" s="144"/>
      <c r="B68" s="9"/>
      <c r="C68" s="171" t="s">
        <v>89</v>
      </c>
      <c r="D68" s="169"/>
      <c r="E68" s="172" t="s">
        <v>50</v>
      </c>
      <c r="F68" s="7"/>
      <c r="G68" s="171">
        <v>900.77</v>
      </c>
      <c r="H68" s="19"/>
      <c r="I68" s="19"/>
      <c r="J68" s="31"/>
    </row>
    <row r="69" spans="1:14" s="23" customFormat="1" ht="23.1" customHeight="1" x14ac:dyDescent="0.35">
      <c r="A69" s="13"/>
      <c r="B69" s="13"/>
      <c r="C69" s="13"/>
      <c r="D69" s="66"/>
      <c r="E69" s="194" t="s">
        <v>13</v>
      </c>
      <c r="F69" s="194"/>
      <c r="G69" s="60">
        <f>SUM(G62:G68)</f>
        <v>110410.31999999999</v>
      </c>
      <c r="H69" s="60">
        <f>SUM(H62:H68)</f>
        <v>0</v>
      </c>
      <c r="I69" s="24">
        <f>+I61+H69-G69</f>
        <v>16698512.759999998</v>
      </c>
      <c r="J69" s="67">
        <f>+G63+G65+G68</f>
        <v>1072.1099999999999</v>
      </c>
      <c r="K69" s="67"/>
    </row>
    <row r="70" spans="1:14" s="23" customFormat="1" ht="23.1" customHeight="1" thickBot="1" x14ac:dyDescent="0.4">
      <c r="A70" s="176"/>
      <c r="B70" s="176"/>
      <c r="C70" s="176"/>
      <c r="D70" s="177"/>
      <c r="E70" s="190" t="s">
        <v>15</v>
      </c>
      <c r="F70" s="190"/>
      <c r="G70" s="137">
        <f>+G61+G69</f>
        <v>390302.2</v>
      </c>
      <c r="H70" s="137">
        <f>+H61+H69</f>
        <v>0</v>
      </c>
      <c r="I70" s="137">
        <f>+I6+H70-G70</f>
        <v>16698512.759999998</v>
      </c>
    </row>
    <row r="71" spans="1:14" s="23" customFormat="1" ht="23.1" customHeight="1" thickTop="1" x14ac:dyDescent="0.35">
      <c r="A71" s="31"/>
      <c r="B71" s="31"/>
      <c r="C71" s="31"/>
      <c r="D71" s="32"/>
      <c r="E71" s="33"/>
      <c r="F71" s="70"/>
      <c r="G71" s="70"/>
      <c r="H71" s="70"/>
      <c r="I71" s="175"/>
      <c r="J71" s="209"/>
      <c r="K71" s="210"/>
      <c r="L71" s="34"/>
      <c r="M71" s="34"/>
      <c r="N71" s="34"/>
    </row>
    <row r="72" spans="1:14" s="1" customFormat="1" ht="45.75" customHeight="1" x14ac:dyDescent="0.35">
      <c r="A72" s="198" t="s">
        <v>33</v>
      </c>
      <c r="B72" s="198"/>
      <c r="C72" s="198"/>
      <c r="D72" s="198"/>
      <c r="E72" s="198"/>
      <c r="F72" s="198"/>
      <c r="G72" s="198"/>
      <c r="H72" s="198"/>
      <c r="I72" s="198"/>
      <c r="J72" s="55"/>
      <c r="M72" s="55"/>
      <c r="N72" s="55"/>
    </row>
    <row r="73" spans="1:14" s="1" customFormat="1" ht="26.25" x14ac:dyDescent="0.35">
      <c r="A73" s="199" t="s">
        <v>97</v>
      </c>
      <c r="B73" s="200"/>
      <c r="C73" s="200"/>
      <c r="D73" s="200"/>
      <c r="E73" s="200"/>
      <c r="F73" s="200"/>
      <c r="G73" s="200"/>
      <c r="H73" s="200"/>
      <c r="I73" s="201"/>
    </row>
    <row r="74" spans="1:14" s="1" customFormat="1" ht="27" thickBot="1" x14ac:dyDescent="0.4">
      <c r="A74" s="58"/>
      <c r="B74" s="2"/>
      <c r="C74" s="2"/>
      <c r="D74" s="2"/>
      <c r="E74" s="2"/>
      <c r="F74" s="2"/>
      <c r="G74" s="2"/>
      <c r="H74" s="2"/>
      <c r="I74" s="59"/>
    </row>
    <row r="75" spans="1:14" s="6" customFormat="1" ht="23.1" customHeight="1" x14ac:dyDescent="0.35">
      <c r="A75" s="4" t="s">
        <v>1</v>
      </c>
      <c r="B75" s="5">
        <v>46296</v>
      </c>
      <c r="C75" s="4" t="s">
        <v>2</v>
      </c>
      <c r="D75" s="196" t="s">
        <v>3</v>
      </c>
      <c r="E75" s="194" t="s">
        <v>4</v>
      </c>
      <c r="F75" s="194" t="s">
        <v>5</v>
      </c>
      <c r="G75" s="189" t="s">
        <v>6</v>
      </c>
      <c r="H75" s="194" t="s">
        <v>7</v>
      </c>
      <c r="I75" s="194" t="s">
        <v>8</v>
      </c>
    </row>
    <row r="76" spans="1:14" s="6" customFormat="1" ht="21.75" customHeight="1" x14ac:dyDescent="0.35">
      <c r="A76" s="4" t="s">
        <v>9</v>
      </c>
      <c r="B76" s="4" t="s">
        <v>10</v>
      </c>
      <c r="C76" s="7" t="s">
        <v>11</v>
      </c>
      <c r="D76" s="197"/>
      <c r="E76" s="189"/>
      <c r="F76" s="189"/>
      <c r="G76" s="195"/>
      <c r="H76" s="194"/>
      <c r="I76" s="194"/>
    </row>
    <row r="77" spans="1:14" s="6" customFormat="1" ht="28.5" customHeight="1" x14ac:dyDescent="0.35">
      <c r="A77" s="139" t="s">
        <v>24</v>
      </c>
      <c r="B77" s="47"/>
      <c r="C77" s="10"/>
      <c r="D77" s="50"/>
      <c r="E77" s="194" t="s">
        <v>12</v>
      </c>
      <c r="F77" s="194"/>
      <c r="G77" s="178">
        <v>390302.2</v>
      </c>
      <c r="H77" s="178">
        <v>0</v>
      </c>
      <c r="I77" s="178">
        <v>16698512.759999998</v>
      </c>
      <c r="J77" s="31"/>
      <c r="L77" s="31"/>
    </row>
    <row r="78" spans="1:14" s="23" customFormat="1" ht="23.1" customHeight="1" x14ac:dyDescent="0.4">
      <c r="A78" s="37"/>
      <c r="B78" s="14">
        <v>5</v>
      </c>
      <c r="C78" s="25" t="s">
        <v>91</v>
      </c>
      <c r="D78" s="27">
        <v>10718743</v>
      </c>
      <c r="E78" s="140" t="s">
        <v>92</v>
      </c>
      <c r="F78" s="141" t="s">
        <v>74</v>
      </c>
      <c r="G78" s="28">
        <v>11000</v>
      </c>
      <c r="H78" s="46"/>
      <c r="I78" s="37"/>
    </row>
    <row r="79" spans="1:14" s="23" customFormat="1" ht="23.1" customHeight="1" x14ac:dyDescent="0.35">
      <c r="A79" s="13"/>
      <c r="B79" s="13"/>
      <c r="C79" s="13"/>
      <c r="D79" s="68"/>
      <c r="E79" s="194" t="s">
        <v>13</v>
      </c>
      <c r="F79" s="194"/>
      <c r="G79" s="60">
        <f>SUM(G78:G78)</f>
        <v>11000</v>
      </c>
      <c r="H79" s="60">
        <f>SUM(H78:H78)</f>
        <v>0</v>
      </c>
      <c r="I79" s="60">
        <f>+I77+H79-G79</f>
        <v>16687512.759999998</v>
      </c>
      <c r="K79" s="31" t="e">
        <f>+#REF!+#REF!+#REF!</f>
        <v>#REF!</v>
      </c>
    </row>
    <row r="80" spans="1:14" s="23" customFormat="1" ht="23.1" customHeight="1" thickBot="1" x14ac:dyDescent="0.4">
      <c r="A80" s="20"/>
      <c r="B80" s="20"/>
      <c r="C80" s="20"/>
      <c r="D80" s="51"/>
      <c r="E80" s="190" t="s">
        <v>15</v>
      </c>
      <c r="F80" s="190"/>
      <c r="G80" s="22">
        <f>+G77+G79</f>
        <v>401302.2</v>
      </c>
      <c r="H80" s="22">
        <f>+H77+H79</f>
        <v>0</v>
      </c>
      <c r="I80" s="22">
        <f>+I6+H80-G80</f>
        <v>16687512.759999998</v>
      </c>
      <c r="J80" s="23">
        <f>+I79-I80</f>
        <v>0</v>
      </c>
    </row>
    <row r="81" spans="1:13" s="23" customFormat="1" ht="23.1" customHeight="1" thickTop="1" x14ac:dyDescent="0.35">
      <c r="A81" s="31"/>
      <c r="B81" s="31"/>
      <c r="C81" s="31"/>
      <c r="D81" s="32"/>
      <c r="E81" s="33"/>
      <c r="F81" s="33"/>
      <c r="G81" s="34"/>
      <c r="H81" s="34"/>
      <c r="I81" s="34"/>
    </row>
    <row r="82" spans="1:13" s="1" customFormat="1" ht="45.75" customHeight="1" x14ac:dyDescent="0.35">
      <c r="A82" s="191" t="s">
        <v>33</v>
      </c>
      <c r="B82" s="191"/>
      <c r="C82" s="191"/>
      <c r="D82" s="191"/>
      <c r="E82" s="191"/>
      <c r="F82" s="191"/>
      <c r="G82" s="191"/>
      <c r="H82" s="191"/>
      <c r="I82" s="191"/>
      <c r="J82" s="55"/>
      <c r="M82" s="55"/>
    </row>
    <row r="83" spans="1:13" s="1" customFormat="1" ht="26.25" x14ac:dyDescent="0.35">
      <c r="A83" s="191" t="s">
        <v>109</v>
      </c>
      <c r="B83" s="191"/>
      <c r="C83" s="191"/>
      <c r="D83" s="191"/>
      <c r="E83" s="191"/>
      <c r="F83" s="191"/>
      <c r="G83" s="191"/>
      <c r="H83" s="191"/>
      <c r="I83" s="191"/>
      <c r="J83" s="55"/>
    </row>
    <row r="84" spans="1:13" s="1" customFormat="1" ht="26.25" x14ac:dyDescent="0.35">
      <c r="A84" s="2"/>
      <c r="B84" s="2"/>
      <c r="C84" s="2"/>
      <c r="D84" s="2"/>
      <c r="E84" s="2"/>
      <c r="F84" s="2"/>
      <c r="G84" s="2"/>
      <c r="H84" s="2"/>
      <c r="I84" s="2"/>
      <c r="J84" s="55"/>
    </row>
    <row r="85" spans="1:13" s="6" customFormat="1" ht="23.1" customHeight="1" x14ac:dyDescent="0.35">
      <c r="A85" s="4" t="s">
        <v>1</v>
      </c>
      <c r="B85" s="5">
        <v>46296</v>
      </c>
      <c r="C85" s="4" t="s">
        <v>2</v>
      </c>
      <c r="D85" s="196" t="s">
        <v>3</v>
      </c>
      <c r="E85" s="194" t="s">
        <v>4</v>
      </c>
      <c r="F85" s="194" t="s">
        <v>5</v>
      </c>
      <c r="G85" s="189" t="s">
        <v>6</v>
      </c>
      <c r="H85" s="194" t="s">
        <v>7</v>
      </c>
      <c r="I85" s="194" t="s">
        <v>8</v>
      </c>
    </row>
    <row r="86" spans="1:13" s="6" customFormat="1" ht="21.75" customHeight="1" x14ac:dyDescent="0.35">
      <c r="A86" s="4" t="s">
        <v>9</v>
      </c>
      <c r="B86" s="4" t="s">
        <v>10</v>
      </c>
      <c r="C86" s="7" t="s">
        <v>11</v>
      </c>
      <c r="D86" s="197"/>
      <c r="E86" s="189"/>
      <c r="F86" s="189"/>
      <c r="G86" s="195"/>
      <c r="H86" s="189"/>
      <c r="I86" s="189"/>
    </row>
    <row r="87" spans="1:13" s="6" customFormat="1" ht="28.5" customHeight="1" thickBot="1" x14ac:dyDescent="0.4">
      <c r="A87" s="183" t="s">
        <v>26</v>
      </c>
      <c r="B87" s="47"/>
      <c r="C87" s="10"/>
      <c r="D87" s="50"/>
      <c r="E87" s="194" t="s">
        <v>12</v>
      </c>
      <c r="F87" s="194"/>
      <c r="G87" s="22">
        <v>401302.2</v>
      </c>
      <c r="H87" s="22">
        <v>0</v>
      </c>
      <c r="I87" s="22">
        <v>16687512.759999998</v>
      </c>
      <c r="J87" s="31"/>
    </row>
    <row r="88" spans="1:13" s="23" customFormat="1" ht="23.1" customHeight="1" thickTop="1" x14ac:dyDescent="0.4">
      <c r="A88" s="37"/>
      <c r="B88" s="14">
        <v>9</v>
      </c>
      <c r="C88" s="25" t="s">
        <v>98</v>
      </c>
      <c r="D88" s="27">
        <v>10718746</v>
      </c>
      <c r="E88" s="145" t="s">
        <v>99</v>
      </c>
      <c r="F88" s="141" t="s">
        <v>100</v>
      </c>
      <c r="G88" s="26">
        <v>36432</v>
      </c>
      <c r="H88" s="36"/>
      <c r="I88" s="49"/>
    </row>
    <row r="89" spans="1:13" s="23" customFormat="1" ht="23.1" customHeight="1" x14ac:dyDescent="0.35">
      <c r="A89" s="37"/>
      <c r="B89" s="14"/>
      <c r="C89" s="25" t="s">
        <v>101</v>
      </c>
      <c r="D89" s="27"/>
      <c r="E89" s="25" t="s">
        <v>50</v>
      </c>
      <c r="F89" s="141"/>
      <c r="G89" s="28">
        <v>368</v>
      </c>
      <c r="H89" s="37"/>
      <c r="I89" s="46"/>
    </row>
    <row r="90" spans="1:13" s="23" customFormat="1" ht="23.1" customHeight="1" x14ac:dyDescent="0.4">
      <c r="A90" s="37"/>
      <c r="B90" s="14">
        <v>25</v>
      </c>
      <c r="C90" s="25" t="s">
        <v>102</v>
      </c>
      <c r="D90" s="27">
        <v>10718749</v>
      </c>
      <c r="E90" s="179" t="s">
        <v>103</v>
      </c>
      <c r="F90" s="141" t="s">
        <v>104</v>
      </c>
      <c r="G90" s="28">
        <v>69858.36</v>
      </c>
      <c r="H90" s="37"/>
      <c r="I90" s="46"/>
    </row>
    <row r="91" spans="1:13" s="23" customFormat="1" ht="23.1" customHeight="1" x14ac:dyDescent="0.35">
      <c r="A91" s="37"/>
      <c r="B91" s="14"/>
      <c r="C91" s="25" t="s">
        <v>105</v>
      </c>
      <c r="D91" s="27"/>
      <c r="E91" s="25" t="s">
        <v>50</v>
      </c>
      <c r="F91" s="141"/>
      <c r="G91" s="28">
        <v>705.64</v>
      </c>
      <c r="H91" s="37"/>
      <c r="I91" s="46"/>
    </row>
    <row r="92" spans="1:13" s="23" customFormat="1" ht="23.1" customHeight="1" x14ac:dyDescent="0.4">
      <c r="A92" s="37"/>
      <c r="B92" s="14">
        <v>29</v>
      </c>
      <c r="C92" s="25" t="s">
        <v>106</v>
      </c>
      <c r="D92" s="27">
        <v>10718750</v>
      </c>
      <c r="E92" s="145" t="s">
        <v>107</v>
      </c>
      <c r="F92" s="141" t="s">
        <v>56</v>
      </c>
      <c r="G92" s="28">
        <v>27242.97</v>
      </c>
      <c r="H92" s="37"/>
      <c r="I92" s="46"/>
    </row>
    <row r="93" spans="1:13" s="23" customFormat="1" ht="23.1" customHeight="1" x14ac:dyDescent="0.35">
      <c r="A93" s="37"/>
      <c r="B93" s="14"/>
      <c r="C93" s="25" t="s">
        <v>108</v>
      </c>
      <c r="D93" s="27"/>
      <c r="E93" s="25" t="s">
        <v>50</v>
      </c>
      <c r="F93" s="141"/>
      <c r="G93" s="28">
        <v>257.01</v>
      </c>
      <c r="H93" s="37"/>
      <c r="I93" s="46"/>
    </row>
    <row r="94" spans="1:13" s="23" customFormat="1" ht="23.1" customHeight="1" x14ac:dyDescent="0.35">
      <c r="A94" s="13"/>
      <c r="B94" s="13"/>
      <c r="C94" s="13"/>
      <c r="D94" s="68"/>
      <c r="E94" s="194" t="s">
        <v>13</v>
      </c>
      <c r="F94" s="194"/>
      <c r="G94" s="60">
        <f>SUM(G88:G93)</f>
        <v>134863.98000000001</v>
      </c>
      <c r="H94" s="60">
        <f>SUM(H88:H93)</f>
        <v>0</v>
      </c>
      <c r="I94" s="24">
        <f>+I87+H94-G94</f>
        <v>16552648.779999997</v>
      </c>
      <c r="K94" s="23">
        <f>+G89+G91+G93</f>
        <v>1330.6499999999999</v>
      </c>
    </row>
    <row r="95" spans="1:13" s="23" customFormat="1" ht="23.1" customHeight="1" thickBot="1" x14ac:dyDescent="0.4">
      <c r="A95" s="20"/>
      <c r="B95" s="20"/>
      <c r="C95" s="20"/>
      <c r="D95" s="51"/>
      <c r="E95" s="190" t="s">
        <v>15</v>
      </c>
      <c r="F95" s="190"/>
      <c r="G95" s="22">
        <f>+G87+G94</f>
        <v>536166.18000000005</v>
      </c>
      <c r="H95" s="22">
        <f>+H87+H94</f>
        <v>0</v>
      </c>
      <c r="I95" s="65">
        <f>+I6+H95-G95</f>
        <v>16552648.779999997</v>
      </c>
      <c r="J95" s="23">
        <f>+I94-I95</f>
        <v>0</v>
      </c>
    </row>
    <row r="96" spans="1:13" s="23" customFormat="1" ht="23.1" customHeight="1" thickTop="1" x14ac:dyDescent="0.35">
      <c r="A96" s="70"/>
      <c r="B96" s="70"/>
      <c r="C96" s="70"/>
      <c r="D96" s="71"/>
      <c r="E96" s="72"/>
      <c r="F96" s="72"/>
      <c r="G96" s="73"/>
      <c r="H96" s="73"/>
      <c r="I96" s="74"/>
    </row>
    <row r="97" spans="1:10" s="1" customFormat="1" ht="45.75" customHeight="1" x14ac:dyDescent="0.35">
      <c r="A97" s="191" t="s">
        <v>33</v>
      </c>
      <c r="B97" s="191"/>
      <c r="C97" s="191"/>
      <c r="D97" s="191"/>
      <c r="E97" s="191"/>
      <c r="F97" s="191"/>
      <c r="G97" s="191"/>
      <c r="H97" s="191"/>
      <c r="I97" s="191"/>
      <c r="J97" s="55"/>
    </row>
    <row r="98" spans="1:10" s="1" customFormat="1" ht="26.25" x14ac:dyDescent="0.35">
      <c r="A98" s="191" t="s">
        <v>110</v>
      </c>
      <c r="B98" s="191"/>
      <c r="C98" s="191"/>
      <c r="D98" s="191"/>
      <c r="E98" s="191"/>
      <c r="F98" s="191"/>
      <c r="G98" s="191"/>
      <c r="H98" s="191"/>
      <c r="I98" s="191"/>
    </row>
    <row r="99" spans="1:10" s="1" customFormat="1" ht="26.25" x14ac:dyDescent="0.35">
      <c r="A99" s="2"/>
      <c r="B99" s="2"/>
      <c r="C99" s="2"/>
      <c r="D99" s="2"/>
      <c r="E99" s="2"/>
      <c r="F99" s="2"/>
      <c r="G99" s="3"/>
      <c r="H99" s="2"/>
      <c r="I99" s="2"/>
    </row>
    <row r="100" spans="1:10" s="6" customFormat="1" ht="23.1" customHeight="1" x14ac:dyDescent="0.35">
      <c r="A100" s="4" t="s">
        <v>1</v>
      </c>
      <c r="B100" s="5">
        <v>46296</v>
      </c>
      <c r="C100" s="4" t="s">
        <v>2</v>
      </c>
      <c r="D100" s="192" t="s">
        <v>3</v>
      </c>
      <c r="E100" s="194" t="s">
        <v>4</v>
      </c>
      <c r="F100" s="194" t="s">
        <v>5</v>
      </c>
      <c r="G100" s="189" t="s">
        <v>6</v>
      </c>
      <c r="H100" s="194" t="s">
        <v>7</v>
      </c>
      <c r="I100" s="194" t="s">
        <v>8</v>
      </c>
    </row>
    <row r="101" spans="1:10" s="6" customFormat="1" ht="21.75" customHeight="1" x14ac:dyDescent="0.35">
      <c r="A101" s="4" t="s">
        <v>9</v>
      </c>
      <c r="B101" s="4" t="s">
        <v>10</v>
      </c>
      <c r="C101" s="4" t="s">
        <v>11</v>
      </c>
      <c r="D101" s="192"/>
      <c r="E101" s="194"/>
      <c r="F101" s="194"/>
      <c r="G101" s="195"/>
      <c r="H101" s="194"/>
      <c r="I101" s="194"/>
    </row>
    <row r="102" spans="1:10" s="6" customFormat="1" ht="28.5" customHeight="1" x14ac:dyDescent="0.35">
      <c r="A102" s="144" t="s">
        <v>27</v>
      </c>
      <c r="B102" s="47"/>
      <c r="C102" s="10"/>
      <c r="D102" s="11"/>
      <c r="E102" s="194" t="s">
        <v>12</v>
      </c>
      <c r="F102" s="194"/>
      <c r="G102" s="60">
        <v>536166.18000000005</v>
      </c>
      <c r="H102" s="60">
        <v>0</v>
      </c>
      <c r="I102" s="60">
        <v>16552648.779999997</v>
      </c>
      <c r="J102" s="31"/>
    </row>
    <row r="103" spans="1:10" s="23" customFormat="1" ht="23.1" customHeight="1" thickBot="1" x14ac:dyDescent="0.4">
      <c r="A103" s="20"/>
      <c r="B103" s="20"/>
      <c r="C103" s="20"/>
      <c r="D103" s="21"/>
      <c r="E103" s="190" t="s">
        <v>15</v>
      </c>
      <c r="F103" s="190"/>
      <c r="G103" s="22">
        <f>+G102</f>
        <v>536166.18000000005</v>
      </c>
      <c r="H103" s="22">
        <f>+H102</f>
        <v>0</v>
      </c>
      <c r="I103" s="22">
        <f>+I6+H103-G103</f>
        <v>16552648.779999997</v>
      </c>
    </row>
    <row r="104" spans="1:10" s="23" customFormat="1" ht="23.1" customHeight="1" thickTop="1" x14ac:dyDescent="0.35">
      <c r="A104" s="70"/>
      <c r="B104" s="70"/>
      <c r="C104" s="70"/>
      <c r="D104" s="71"/>
      <c r="E104" s="72"/>
      <c r="F104" s="72"/>
      <c r="G104" s="73"/>
      <c r="H104" s="73"/>
      <c r="I104" s="73"/>
    </row>
    <row r="105" spans="1:10" s="1" customFormat="1" ht="45.75" customHeight="1" x14ac:dyDescent="0.35">
      <c r="A105" s="191" t="s">
        <v>33</v>
      </c>
      <c r="B105" s="191"/>
      <c r="C105" s="191"/>
      <c r="D105" s="191"/>
      <c r="E105" s="191"/>
      <c r="F105" s="191"/>
      <c r="G105" s="191"/>
      <c r="H105" s="191"/>
      <c r="I105" s="191"/>
    </row>
    <row r="106" spans="1:10" s="1" customFormat="1" ht="26.25" x14ac:dyDescent="0.35">
      <c r="A106" s="191" t="s">
        <v>43</v>
      </c>
      <c r="B106" s="191"/>
      <c r="C106" s="191"/>
      <c r="D106" s="191"/>
      <c r="E106" s="191"/>
      <c r="F106" s="191"/>
      <c r="G106" s="191"/>
      <c r="H106" s="191"/>
      <c r="I106" s="191"/>
    </row>
    <row r="107" spans="1:10" s="1" customFormat="1" ht="26.25" x14ac:dyDescent="0.35">
      <c r="A107" s="2"/>
      <c r="B107" s="2"/>
      <c r="C107" s="2"/>
      <c r="D107" s="2"/>
      <c r="E107" s="2"/>
      <c r="F107" s="2"/>
      <c r="G107" s="3"/>
      <c r="H107" s="2"/>
      <c r="I107" s="2"/>
    </row>
    <row r="108" spans="1:10" s="6" customFormat="1" ht="23.1" customHeight="1" x14ac:dyDescent="0.35">
      <c r="A108" s="4" t="s">
        <v>1</v>
      </c>
      <c r="B108" s="5">
        <v>46296</v>
      </c>
      <c r="C108" s="4" t="s">
        <v>2</v>
      </c>
      <c r="D108" s="192" t="s">
        <v>3</v>
      </c>
      <c r="E108" s="194" t="s">
        <v>4</v>
      </c>
      <c r="F108" s="194" t="s">
        <v>5</v>
      </c>
      <c r="G108" s="189" t="s">
        <v>6</v>
      </c>
      <c r="H108" s="194" t="s">
        <v>7</v>
      </c>
      <c r="I108" s="194" t="s">
        <v>8</v>
      </c>
    </row>
    <row r="109" spans="1:10" s="6" customFormat="1" ht="21.75" customHeight="1" x14ac:dyDescent="0.35">
      <c r="A109" s="4" t="s">
        <v>9</v>
      </c>
      <c r="B109" s="4" t="s">
        <v>10</v>
      </c>
      <c r="C109" s="7" t="s">
        <v>11</v>
      </c>
      <c r="D109" s="193"/>
      <c r="E109" s="189"/>
      <c r="F109" s="189"/>
      <c r="G109" s="195"/>
      <c r="H109" s="189"/>
      <c r="I109" s="189"/>
    </row>
    <row r="110" spans="1:10" s="6" customFormat="1" ht="28.5" customHeight="1" x14ac:dyDescent="0.35">
      <c r="A110" s="144" t="s">
        <v>29</v>
      </c>
      <c r="B110" s="47"/>
      <c r="C110" s="10"/>
      <c r="D110" s="11"/>
      <c r="E110" s="194" t="s">
        <v>12</v>
      </c>
      <c r="F110" s="194"/>
      <c r="G110" s="60">
        <v>536166.18000000005</v>
      </c>
      <c r="H110" s="60">
        <v>0</v>
      </c>
      <c r="I110" s="60">
        <v>16552648.779999997</v>
      </c>
      <c r="J110" s="31"/>
    </row>
    <row r="111" spans="1:10" s="23" customFormat="1" ht="23.1" customHeight="1" x14ac:dyDescent="0.45">
      <c r="A111" s="35"/>
      <c r="B111" s="14">
        <v>13</v>
      </c>
      <c r="C111" s="25" t="s">
        <v>115</v>
      </c>
      <c r="D111" s="27">
        <v>10718755</v>
      </c>
      <c r="E111" s="41" t="s">
        <v>116</v>
      </c>
      <c r="F111" s="25" t="s">
        <v>117</v>
      </c>
      <c r="G111" s="28">
        <v>93810</v>
      </c>
      <c r="H111" s="37"/>
      <c r="I111" s="46"/>
    </row>
    <row r="112" spans="1:10" s="23" customFormat="1" ht="23.1" customHeight="1" x14ac:dyDescent="0.35">
      <c r="A112" s="35"/>
      <c r="B112" s="14"/>
      <c r="C112" s="25" t="s">
        <v>118</v>
      </c>
      <c r="D112" s="27"/>
      <c r="E112" s="25" t="s">
        <v>50</v>
      </c>
      <c r="F112" s="25"/>
      <c r="G112" s="28">
        <v>885</v>
      </c>
      <c r="H112" s="37"/>
      <c r="I112" s="46"/>
    </row>
    <row r="113" spans="1:11" s="23" customFormat="1" ht="23.1" customHeight="1" x14ac:dyDescent="0.35">
      <c r="A113" s="17"/>
      <c r="B113" s="17"/>
      <c r="C113" s="17"/>
      <c r="D113" s="18"/>
      <c r="E113" s="189" t="s">
        <v>13</v>
      </c>
      <c r="F113" s="189"/>
      <c r="G113" s="19">
        <f>SUM(G111:G112)</f>
        <v>94695</v>
      </c>
      <c r="H113" s="19">
        <f>SUM(H111:H112)</f>
        <v>0</v>
      </c>
      <c r="I113" s="60">
        <f>+I110+H113-G113</f>
        <v>16457953.779999997</v>
      </c>
      <c r="K113" s="69" t="e">
        <f>+G112+#REF!+#REF!</f>
        <v>#REF!</v>
      </c>
    </row>
    <row r="114" spans="1:11" s="23" customFormat="1" ht="23.1" customHeight="1" x14ac:dyDescent="0.35">
      <c r="A114" s="13"/>
      <c r="B114" s="13"/>
      <c r="C114" s="13"/>
      <c r="D114" s="66"/>
      <c r="E114" s="194" t="s">
        <v>15</v>
      </c>
      <c r="F114" s="194"/>
      <c r="G114" s="60">
        <f>+G110+G113</f>
        <v>630861.18000000005</v>
      </c>
      <c r="H114" s="60">
        <f>+H110+H113</f>
        <v>0</v>
      </c>
      <c r="I114" s="60">
        <f>+I6+H114-G114</f>
        <v>16457953.779999997</v>
      </c>
      <c r="J114" s="23">
        <f>+I113-I114</f>
        <v>0</v>
      </c>
    </row>
    <row r="115" spans="1:11" s="1" customFormat="1" ht="45.75" customHeight="1" x14ac:dyDescent="0.35">
      <c r="A115" s="191" t="s">
        <v>33</v>
      </c>
      <c r="B115" s="191"/>
      <c r="C115" s="191"/>
      <c r="D115" s="191"/>
      <c r="E115" s="191"/>
      <c r="F115" s="191"/>
      <c r="G115" s="191"/>
      <c r="H115" s="191"/>
      <c r="I115" s="191"/>
    </row>
    <row r="116" spans="1:11" s="1" customFormat="1" ht="26.25" x14ac:dyDescent="0.35">
      <c r="A116" s="191" t="s">
        <v>119</v>
      </c>
      <c r="B116" s="191"/>
      <c r="C116" s="191"/>
      <c r="D116" s="191"/>
      <c r="E116" s="191"/>
      <c r="F116" s="191"/>
      <c r="G116" s="191"/>
      <c r="H116" s="191"/>
      <c r="I116" s="191"/>
    </row>
    <row r="117" spans="1:11" s="1" customFormat="1" ht="26.25" x14ac:dyDescent="0.35">
      <c r="A117" s="2"/>
      <c r="B117" s="2"/>
      <c r="C117" s="2"/>
      <c r="D117" s="2"/>
      <c r="E117" s="2"/>
      <c r="F117" s="2"/>
      <c r="G117" s="3"/>
      <c r="H117" s="2"/>
      <c r="I117" s="2"/>
    </row>
    <row r="118" spans="1:11" s="6" customFormat="1" ht="23.1" customHeight="1" x14ac:dyDescent="0.35">
      <c r="A118" s="4" t="s">
        <v>1</v>
      </c>
      <c r="B118" s="5">
        <v>46296</v>
      </c>
      <c r="C118" s="4" t="s">
        <v>2</v>
      </c>
      <c r="D118" s="192" t="s">
        <v>3</v>
      </c>
      <c r="E118" s="194" t="s">
        <v>4</v>
      </c>
      <c r="F118" s="194" t="s">
        <v>5</v>
      </c>
      <c r="G118" s="189" t="s">
        <v>6</v>
      </c>
      <c r="H118" s="194" t="s">
        <v>7</v>
      </c>
      <c r="I118" s="194" t="s">
        <v>8</v>
      </c>
    </row>
    <row r="119" spans="1:11" s="6" customFormat="1" ht="21.75" customHeight="1" x14ac:dyDescent="0.35">
      <c r="A119" s="4" t="s">
        <v>9</v>
      </c>
      <c r="B119" s="4" t="s">
        <v>10</v>
      </c>
      <c r="C119" s="7" t="s">
        <v>11</v>
      </c>
      <c r="D119" s="193"/>
      <c r="E119" s="189"/>
      <c r="F119" s="189"/>
      <c r="G119" s="195"/>
      <c r="H119" s="189"/>
      <c r="I119" s="189"/>
    </row>
    <row r="120" spans="1:11" s="6" customFormat="1" ht="28.5" customHeight="1" x14ac:dyDescent="0.35">
      <c r="A120" s="150" t="s">
        <v>31</v>
      </c>
      <c r="B120" s="47"/>
      <c r="C120" s="10"/>
      <c r="D120" s="11"/>
      <c r="E120" s="194" t="s">
        <v>12</v>
      </c>
      <c r="F120" s="194"/>
      <c r="G120" s="60">
        <v>630861.18000000005</v>
      </c>
      <c r="H120" s="60">
        <v>0</v>
      </c>
      <c r="I120" s="60">
        <v>16457953.779999997</v>
      </c>
      <c r="J120" s="31"/>
    </row>
    <row r="121" spans="1:11" s="6" customFormat="1" ht="26.25" customHeight="1" x14ac:dyDescent="0.35">
      <c r="A121" s="151"/>
      <c r="B121" s="152">
        <v>1</v>
      </c>
      <c r="C121" s="54" t="s">
        <v>120</v>
      </c>
      <c r="D121" s="27">
        <v>10718751</v>
      </c>
      <c r="E121" s="228" t="s">
        <v>121</v>
      </c>
      <c r="F121" s="228" t="s">
        <v>56</v>
      </c>
      <c r="G121" s="229">
        <v>9080.99</v>
      </c>
      <c r="H121" s="57"/>
      <c r="I121" s="57"/>
      <c r="J121" s="31"/>
    </row>
    <row r="122" spans="1:11" s="6" customFormat="1" ht="26.25" customHeight="1" x14ac:dyDescent="0.35">
      <c r="A122" s="151"/>
      <c r="B122" s="227"/>
      <c r="C122" s="54" t="s">
        <v>122</v>
      </c>
      <c r="D122" s="138"/>
      <c r="E122" s="25" t="s">
        <v>50</v>
      </c>
      <c r="F122" s="56"/>
      <c r="G122" s="229">
        <v>85.67</v>
      </c>
      <c r="H122" s="57"/>
      <c r="I122" s="57"/>
      <c r="J122" s="31"/>
    </row>
    <row r="123" spans="1:11" s="6" customFormat="1" ht="26.25" customHeight="1" x14ac:dyDescent="0.35">
      <c r="A123" s="151"/>
      <c r="B123" s="152"/>
      <c r="C123" s="54" t="s">
        <v>123</v>
      </c>
      <c r="D123" s="27">
        <v>10718754</v>
      </c>
      <c r="E123" s="228" t="s">
        <v>124</v>
      </c>
      <c r="F123" s="228" t="s">
        <v>56</v>
      </c>
      <c r="G123" s="229">
        <v>9080.99</v>
      </c>
      <c r="H123" s="57"/>
      <c r="I123" s="57"/>
      <c r="J123" s="31"/>
    </row>
    <row r="124" spans="1:11" s="6" customFormat="1" ht="26.25" customHeight="1" x14ac:dyDescent="0.35">
      <c r="A124" s="151"/>
      <c r="B124" s="227"/>
      <c r="C124" s="54" t="s">
        <v>125</v>
      </c>
      <c r="D124" s="138"/>
      <c r="E124" s="25" t="s">
        <v>50</v>
      </c>
      <c r="F124" s="56"/>
      <c r="G124" s="229">
        <v>85.67</v>
      </c>
      <c r="H124" s="57"/>
      <c r="I124" s="57"/>
      <c r="J124" s="31"/>
    </row>
    <row r="125" spans="1:11" s="6" customFormat="1" ht="26.25" customHeight="1" x14ac:dyDescent="0.35">
      <c r="A125" s="151"/>
      <c r="B125" s="152">
        <v>11</v>
      </c>
      <c r="C125" s="54" t="s">
        <v>126</v>
      </c>
      <c r="D125" s="27">
        <v>10718760</v>
      </c>
      <c r="E125" s="25" t="s">
        <v>127</v>
      </c>
      <c r="F125" s="228" t="s">
        <v>128</v>
      </c>
      <c r="G125" s="229">
        <v>98604</v>
      </c>
      <c r="H125" s="57"/>
      <c r="I125" s="57"/>
      <c r="J125" s="31"/>
    </row>
    <row r="126" spans="1:11" s="6" customFormat="1" ht="26.25" customHeight="1" x14ac:dyDescent="0.35">
      <c r="A126" s="151"/>
      <c r="B126" s="227"/>
      <c r="C126" s="54" t="s">
        <v>129</v>
      </c>
      <c r="D126" s="138"/>
      <c r="E126" s="25" t="s">
        <v>50</v>
      </c>
      <c r="F126" s="56"/>
      <c r="G126" s="229">
        <v>996</v>
      </c>
      <c r="H126" s="57"/>
      <c r="I126" s="57"/>
      <c r="J126" s="31"/>
    </row>
    <row r="127" spans="1:11" s="6" customFormat="1" ht="26.25" customHeight="1" x14ac:dyDescent="0.35">
      <c r="A127" s="151"/>
      <c r="B127" s="152">
        <v>17</v>
      </c>
      <c r="C127" s="54" t="s">
        <v>130</v>
      </c>
      <c r="D127" s="27">
        <v>10718757</v>
      </c>
      <c r="E127" s="25" t="s">
        <v>131</v>
      </c>
      <c r="F127" s="228" t="s">
        <v>132</v>
      </c>
      <c r="G127" s="229">
        <v>494352.58</v>
      </c>
      <c r="H127" s="57"/>
      <c r="I127" s="57"/>
      <c r="J127" s="31"/>
    </row>
    <row r="128" spans="1:11" s="6" customFormat="1" ht="26.25" customHeight="1" x14ac:dyDescent="0.35">
      <c r="A128" s="151"/>
      <c r="B128" s="227"/>
      <c r="C128" s="54" t="s">
        <v>133</v>
      </c>
      <c r="D128" s="138"/>
      <c r="E128" s="25" t="s">
        <v>50</v>
      </c>
      <c r="F128" s="56"/>
      <c r="G128" s="229">
        <v>4663.7</v>
      </c>
      <c r="H128" s="57"/>
      <c r="I128" s="57"/>
      <c r="J128" s="31"/>
    </row>
    <row r="129" spans="1:18" s="6" customFormat="1" ht="26.25" customHeight="1" x14ac:dyDescent="0.35">
      <c r="A129" s="151"/>
      <c r="B129" s="227"/>
      <c r="C129" s="54" t="s">
        <v>134</v>
      </c>
      <c r="D129" s="27">
        <v>10718759</v>
      </c>
      <c r="E129" s="228" t="s">
        <v>135</v>
      </c>
      <c r="F129" s="228" t="s">
        <v>136</v>
      </c>
      <c r="G129" s="229">
        <v>18020</v>
      </c>
      <c r="H129" s="57"/>
      <c r="I129" s="57"/>
      <c r="J129" s="31"/>
    </row>
    <row r="130" spans="1:18" s="6" customFormat="1" ht="26.25" customHeight="1" x14ac:dyDescent="0.35">
      <c r="A130" s="151"/>
      <c r="B130" s="227"/>
      <c r="C130" s="54" t="s">
        <v>137</v>
      </c>
      <c r="D130" s="138"/>
      <c r="E130" s="25" t="s">
        <v>50</v>
      </c>
      <c r="F130" s="56"/>
      <c r="G130" s="229">
        <v>170</v>
      </c>
      <c r="H130" s="57"/>
      <c r="I130" s="57"/>
      <c r="J130" s="31"/>
    </row>
    <row r="131" spans="1:18" s="6" customFormat="1" ht="26.25" customHeight="1" x14ac:dyDescent="0.35">
      <c r="A131" s="151"/>
      <c r="B131" s="152">
        <v>21</v>
      </c>
      <c r="C131" s="54" t="s">
        <v>138</v>
      </c>
      <c r="D131" s="138"/>
      <c r="E131" s="231" t="s">
        <v>139</v>
      </c>
      <c r="F131" s="231" t="s">
        <v>140</v>
      </c>
      <c r="G131" s="229"/>
      <c r="H131" s="229">
        <v>2622930.12</v>
      </c>
      <c r="I131" s="57"/>
      <c r="J131" s="31"/>
    </row>
    <row r="132" spans="1:18" s="23" customFormat="1" ht="23.1" customHeight="1" x14ac:dyDescent="0.35">
      <c r="A132" s="52"/>
      <c r="B132" s="13"/>
      <c r="C132" s="17"/>
      <c r="D132" s="18"/>
      <c r="E132" s="189" t="s">
        <v>13</v>
      </c>
      <c r="F132" s="189"/>
      <c r="G132" s="19">
        <f>SUM(G121:G131)</f>
        <v>635139.6</v>
      </c>
      <c r="H132" s="19">
        <f>SUM(H121:H131)</f>
        <v>2622930.12</v>
      </c>
      <c r="I132" s="60">
        <f>+I120+H132-G132</f>
        <v>18445744.299999997</v>
      </c>
      <c r="K132" s="69">
        <f>+G122+G124+G126+G128+G130</f>
        <v>6001.04</v>
      </c>
    </row>
    <row r="133" spans="1:18" s="23" customFormat="1" ht="23.1" customHeight="1" thickBot="1" x14ac:dyDescent="0.4">
      <c r="A133" s="20"/>
      <c r="B133" s="20"/>
      <c r="C133" s="20"/>
      <c r="D133" s="21"/>
      <c r="E133" s="190" t="s">
        <v>15</v>
      </c>
      <c r="F133" s="190"/>
      <c r="G133" s="22">
        <f>+G120+G132</f>
        <v>1266000.78</v>
      </c>
      <c r="H133" s="22">
        <f>+H120+H132</f>
        <v>2622930.12</v>
      </c>
      <c r="I133" s="22">
        <f>+I6+H133-G133</f>
        <v>18445744.299999997</v>
      </c>
      <c r="J133" s="23">
        <f>+I132-I133</f>
        <v>0</v>
      </c>
    </row>
    <row r="134" spans="1:18" s="23" customFormat="1" ht="23.1" customHeight="1" thickTop="1" x14ac:dyDescent="0.35">
      <c r="D134" s="38"/>
      <c r="G134" s="39"/>
      <c r="I134" s="40"/>
    </row>
    <row r="135" spans="1:18" s="23" customFormat="1" ht="23.1" customHeight="1" x14ac:dyDescent="0.35">
      <c r="D135" s="38"/>
      <c r="G135" s="39"/>
      <c r="I135" s="40"/>
    </row>
    <row r="136" spans="1:18" s="23" customFormat="1" ht="23.1" customHeight="1" x14ac:dyDescent="0.35">
      <c r="A136" s="191" t="s">
        <v>33</v>
      </c>
      <c r="B136" s="191"/>
      <c r="C136" s="191"/>
      <c r="D136" s="191"/>
      <c r="E136" s="191"/>
      <c r="F136" s="191"/>
      <c r="G136" s="191"/>
      <c r="H136" s="191"/>
      <c r="I136" s="191"/>
      <c r="M136" s="38"/>
      <c r="P136" s="39"/>
      <c r="R136" s="40"/>
    </row>
    <row r="137" spans="1:18" s="23" customFormat="1" ht="23.1" customHeight="1" x14ac:dyDescent="0.35">
      <c r="A137" s="191" t="s">
        <v>41</v>
      </c>
      <c r="B137" s="191"/>
      <c r="C137" s="191"/>
      <c r="D137" s="191"/>
      <c r="E137" s="191"/>
      <c r="F137" s="191"/>
      <c r="G137" s="191"/>
      <c r="H137" s="191"/>
      <c r="I137" s="191"/>
      <c r="M137" s="38"/>
      <c r="P137" s="39"/>
      <c r="R137" s="40"/>
    </row>
    <row r="138" spans="1:18" s="23" customFormat="1" ht="23.1" customHeight="1" x14ac:dyDescent="0.35">
      <c r="A138" s="2"/>
      <c r="B138" s="2"/>
      <c r="C138" s="2"/>
      <c r="D138" s="2"/>
      <c r="E138" s="2"/>
      <c r="F138" s="2"/>
      <c r="G138" s="3"/>
      <c r="H138" s="2"/>
      <c r="I138" s="2"/>
      <c r="M138" s="38"/>
      <c r="P138" s="39"/>
      <c r="R138" s="40"/>
    </row>
    <row r="139" spans="1:18" s="23" customFormat="1" ht="23.1" customHeight="1" x14ac:dyDescent="0.35">
      <c r="A139" s="4" t="s">
        <v>1</v>
      </c>
      <c r="B139" s="5">
        <v>46296</v>
      </c>
      <c r="C139" s="4" t="s">
        <v>2</v>
      </c>
      <c r="D139" s="192" t="s">
        <v>3</v>
      </c>
      <c r="E139" s="194" t="s">
        <v>4</v>
      </c>
      <c r="F139" s="194" t="s">
        <v>5</v>
      </c>
      <c r="G139" s="189" t="s">
        <v>6</v>
      </c>
      <c r="H139" s="194" t="s">
        <v>7</v>
      </c>
      <c r="I139" s="194" t="s">
        <v>8</v>
      </c>
      <c r="M139" s="38"/>
      <c r="P139" s="39"/>
      <c r="R139" s="40"/>
    </row>
    <row r="140" spans="1:18" s="23" customFormat="1" ht="23.1" customHeight="1" x14ac:dyDescent="0.35">
      <c r="A140" s="4" t="s">
        <v>9</v>
      </c>
      <c r="B140" s="4" t="s">
        <v>10</v>
      </c>
      <c r="C140" s="7" t="s">
        <v>11</v>
      </c>
      <c r="D140" s="193"/>
      <c r="E140" s="189"/>
      <c r="F140" s="189"/>
      <c r="G140" s="195"/>
      <c r="H140" s="189"/>
      <c r="I140" s="189"/>
      <c r="M140" s="38"/>
      <c r="P140" s="39"/>
      <c r="R140" s="40"/>
    </row>
    <row r="141" spans="1:18" s="23" customFormat="1" ht="23.1" customHeight="1" x14ac:dyDescent="0.35">
      <c r="A141" s="150" t="s">
        <v>31</v>
      </c>
      <c r="B141" s="47"/>
      <c r="C141" s="10"/>
      <c r="D141" s="11"/>
      <c r="E141" s="194" t="s">
        <v>12</v>
      </c>
      <c r="F141" s="194"/>
      <c r="G141" s="60">
        <v>0</v>
      </c>
      <c r="H141" s="60">
        <v>0</v>
      </c>
      <c r="I141" s="60">
        <v>0</v>
      </c>
      <c r="M141" s="38"/>
      <c r="P141" s="39"/>
      <c r="R141" s="40"/>
    </row>
    <row r="142" spans="1:18" s="23" customFormat="1" ht="23.1" customHeight="1" x14ac:dyDescent="0.35">
      <c r="A142" s="151"/>
      <c r="B142" s="152"/>
      <c r="C142" s="54"/>
      <c r="D142" s="27"/>
      <c r="E142" s="25"/>
      <c r="F142" s="25"/>
      <c r="G142" s="54"/>
      <c r="H142" s="54"/>
      <c r="I142" s="57"/>
      <c r="M142" s="38"/>
      <c r="P142" s="39"/>
      <c r="R142" s="40"/>
    </row>
    <row r="143" spans="1:18" s="23" customFormat="1" ht="23.1" customHeight="1" x14ac:dyDescent="0.35">
      <c r="A143" s="151"/>
      <c r="B143" s="152"/>
      <c r="C143" s="54"/>
      <c r="D143" s="138"/>
      <c r="E143" s="37"/>
      <c r="F143" s="56"/>
      <c r="G143" s="54"/>
      <c r="H143" s="54"/>
      <c r="I143" s="57"/>
      <c r="M143" s="38"/>
      <c r="P143" s="39"/>
      <c r="R143" s="40"/>
    </row>
    <row r="144" spans="1:18" s="23" customFormat="1" ht="23.1" customHeight="1" x14ac:dyDescent="0.35">
      <c r="A144" s="151"/>
      <c r="B144" s="152"/>
      <c r="C144" s="54"/>
      <c r="D144" s="27"/>
      <c r="E144" s="25"/>
      <c r="F144" s="25"/>
      <c r="G144" s="54"/>
      <c r="H144" s="54"/>
      <c r="I144" s="57"/>
      <c r="M144" s="38"/>
      <c r="P144" s="39"/>
      <c r="R144" s="40"/>
    </row>
    <row r="145" spans="1:18" s="23" customFormat="1" ht="23.1" customHeight="1" x14ac:dyDescent="0.35">
      <c r="A145" s="35"/>
      <c r="B145" s="14"/>
      <c r="C145" s="25"/>
      <c r="D145" s="27"/>
      <c r="E145" s="37"/>
      <c r="F145" s="75"/>
      <c r="G145" s="77"/>
      <c r="H145" s="77"/>
      <c r="I145" s="46"/>
      <c r="M145" s="38"/>
      <c r="P145" s="39"/>
      <c r="R145" s="40"/>
    </row>
    <row r="146" spans="1:18" s="23" customFormat="1" ht="23.1" customHeight="1" x14ac:dyDescent="0.35">
      <c r="A146" s="52"/>
      <c r="B146" s="13"/>
      <c r="C146" s="17"/>
      <c r="D146" s="18"/>
      <c r="E146" s="189" t="s">
        <v>13</v>
      </c>
      <c r="F146" s="189"/>
      <c r="G146" s="19">
        <f>SUM(G142:G145)</f>
        <v>0</v>
      </c>
      <c r="H146" s="19">
        <f>SUM(H142:H145)</f>
        <v>0</v>
      </c>
      <c r="I146" s="60">
        <f>+I141+H146-G146</f>
        <v>0</v>
      </c>
      <c r="K146" s="23">
        <f>+G143+G145</f>
        <v>0</v>
      </c>
      <c r="M146" s="38"/>
      <c r="P146" s="39"/>
      <c r="R146" s="40"/>
    </row>
    <row r="147" spans="1:18" s="23" customFormat="1" ht="23.1" customHeight="1" thickBot="1" x14ac:dyDescent="0.4">
      <c r="A147" s="20"/>
      <c r="B147" s="20"/>
      <c r="C147" s="20"/>
      <c r="D147" s="21"/>
      <c r="E147" s="190" t="s">
        <v>15</v>
      </c>
      <c r="F147" s="190"/>
      <c r="G147" s="22">
        <f>+G141+G146</f>
        <v>0</v>
      </c>
      <c r="H147" s="22">
        <f>+H141+H146</f>
        <v>0</v>
      </c>
      <c r="I147" s="22">
        <f>+I6+H147-G147</f>
        <v>17088814.959999997</v>
      </c>
      <c r="M147" s="38"/>
      <c r="P147" s="39"/>
      <c r="R147" s="40"/>
    </row>
    <row r="148" spans="1:18" s="23" customFormat="1" ht="23.1" customHeight="1" thickTop="1" x14ac:dyDescent="0.35">
      <c r="D148" s="38"/>
      <c r="G148" s="39"/>
      <c r="I148" s="40"/>
    </row>
    <row r="149" spans="1:18" s="23" customFormat="1" ht="23.1" customHeight="1" x14ac:dyDescent="0.35">
      <c r="D149" s="38"/>
      <c r="G149" s="39"/>
      <c r="I149" s="40"/>
    </row>
    <row r="150" spans="1:18" s="23" customFormat="1" ht="23.1" customHeight="1" x14ac:dyDescent="0.35">
      <c r="D150" s="38"/>
      <c r="G150" s="39"/>
      <c r="I150" s="40"/>
    </row>
    <row r="151" spans="1:18" s="23" customFormat="1" ht="23.1" customHeight="1" x14ac:dyDescent="0.35">
      <c r="D151" s="38"/>
      <c r="G151" s="39"/>
      <c r="I151" s="40"/>
    </row>
    <row r="152" spans="1:18" s="23" customFormat="1" ht="23.1" customHeight="1" x14ac:dyDescent="0.35">
      <c r="D152" s="38"/>
      <c r="G152" s="39"/>
      <c r="I152" s="40"/>
    </row>
    <row r="153" spans="1:18" s="23" customFormat="1" ht="23.1" customHeight="1" x14ac:dyDescent="0.35">
      <c r="D153" s="38"/>
      <c r="G153" s="39"/>
      <c r="I153" s="40"/>
    </row>
  </sheetData>
  <mergeCells count="129">
    <mergeCell ref="J71:K71"/>
    <mergeCell ref="A1:I1"/>
    <mergeCell ref="A2:I2"/>
    <mergeCell ref="D4:D5"/>
    <mergeCell ref="E4:E5"/>
    <mergeCell ref="F4:F5"/>
    <mergeCell ref="G4:G5"/>
    <mergeCell ref="H4:H5"/>
    <mergeCell ref="I4:I5"/>
    <mergeCell ref="E14:F14"/>
    <mergeCell ref="E6:F6"/>
    <mergeCell ref="E7:F7"/>
    <mergeCell ref="A9:I9"/>
    <mergeCell ref="A10:I10"/>
    <mergeCell ref="D12:D13"/>
    <mergeCell ref="E12:E13"/>
    <mergeCell ref="F12:F13"/>
    <mergeCell ref="G12:G13"/>
    <mergeCell ref="H12:H13"/>
    <mergeCell ref="I12:I13"/>
    <mergeCell ref="D20:D21"/>
    <mergeCell ref="E20:E21"/>
    <mergeCell ref="F20:F21"/>
    <mergeCell ref="G20:G21"/>
    <mergeCell ref="H20:H21"/>
    <mergeCell ref="I20:I21"/>
    <mergeCell ref="E15:F15"/>
    <mergeCell ref="A17:I17"/>
    <mergeCell ref="A18:I18"/>
    <mergeCell ref="E22:F22"/>
    <mergeCell ref="E35:F35"/>
    <mergeCell ref="E36:F36"/>
    <mergeCell ref="A38:I38"/>
    <mergeCell ref="A39:I39"/>
    <mergeCell ref="D41:D42"/>
    <mergeCell ref="E41:E42"/>
    <mergeCell ref="F41:F42"/>
    <mergeCell ref="G41:G42"/>
    <mergeCell ref="H41:H42"/>
    <mergeCell ref="D49:D50"/>
    <mergeCell ref="E49:E50"/>
    <mergeCell ref="F49:F50"/>
    <mergeCell ref="G49:G50"/>
    <mergeCell ref="H49:H50"/>
    <mergeCell ref="I49:I50"/>
    <mergeCell ref="I41:I42"/>
    <mergeCell ref="E43:F43"/>
    <mergeCell ref="E44:F44"/>
    <mergeCell ref="A46:I46"/>
    <mergeCell ref="A47:I47"/>
    <mergeCell ref="E51:F51"/>
    <mergeCell ref="E53:F53"/>
    <mergeCell ref="E54:F54"/>
    <mergeCell ref="A56:I56"/>
    <mergeCell ref="A57:I57"/>
    <mergeCell ref="D59:D60"/>
    <mergeCell ref="E59:E60"/>
    <mergeCell ref="F59:F60"/>
    <mergeCell ref="G59:G60"/>
    <mergeCell ref="H59:H60"/>
    <mergeCell ref="D75:D76"/>
    <mergeCell ref="E75:E76"/>
    <mergeCell ref="F75:F76"/>
    <mergeCell ref="G75:G76"/>
    <mergeCell ref="H75:H76"/>
    <mergeCell ref="I75:I76"/>
    <mergeCell ref="I59:I60"/>
    <mergeCell ref="E61:F61"/>
    <mergeCell ref="E69:F69"/>
    <mergeCell ref="A72:I72"/>
    <mergeCell ref="A73:I73"/>
    <mergeCell ref="E70:F70"/>
    <mergeCell ref="E77:F77"/>
    <mergeCell ref="E79:F79"/>
    <mergeCell ref="E80:F80"/>
    <mergeCell ref="A82:I82"/>
    <mergeCell ref="A83:I83"/>
    <mergeCell ref="D85:D86"/>
    <mergeCell ref="E85:E86"/>
    <mergeCell ref="F85:F86"/>
    <mergeCell ref="G85:G86"/>
    <mergeCell ref="H85:H86"/>
    <mergeCell ref="D100:D101"/>
    <mergeCell ref="E100:E101"/>
    <mergeCell ref="F100:F101"/>
    <mergeCell ref="G100:G101"/>
    <mergeCell ref="H100:H101"/>
    <mergeCell ref="I100:I101"/>
    <mergeCell ref="I85:I86"/>
    <mergeCell ref="E87:F87"/>
    <mergeCell ref="E94:F94"/>
    <mergeCell ref="E95:F95"/>
    <mergeCell ref="A97:I97"/>
    <mergeCell ref="A98:I98"/>
    <mergeCell ref="I108:I109"/>
    <mergeCell ref="E110:F110"/>
    <mergeCell ref="E113:F113"/>
    <mergeCell ref="E114:F114"/>
    <mergeCell ref="A115:I115"/>
    <mergeCell ref="A116:I116"/>
    <mergeCell ref="E102:F102"/>
    <mergeCell ref="E103:F103"/>
    <mergeCell ref="A105:I105"/>
    <mergeCell ref="A106:I106"/>
    <mergeCell ref="D108:D109"/>
    <mergeCell ref="E108:E109"/>
    <mergeCell ref="F108:F109"/>
    <mergeCell ref="G108:G109"/>
    <mergeCell ref="H108:H109"/>
    <mergeCell ref="E120:F120"/>
    <mergeCell ref="E132:F132"/>
    <mergeCell ref="E133:F133"/>
    <mergeCell ref="D118:D119"/>
    <mergeCell ref="E118:E119"/>
    <mergeCell ref="F118:F119"/>
    <mergeCell ref="G118:G119"/>
    <mergeCell ref="H118:H119"/>
    <mergeCell ref="I118:I119"/>
    <mergeCell ref="E146:F146"/>
    <mergeCell ref="E147:F147"/>
    <mergeCell ref="A136:I136"/>
    <mergeCell ref="A137:I137"/>
    <mergeCell ref="D139:D140"/>
    <mergeCell ref="E139:E140"/>
    <mergeCell ref="F139:F140"/>
    <mergeCell ref="G139:G140"/>
    <mergeCell ref="H139:H140"/>
    <mergeCell ref="I139:I140"/>
    <mergeCell ref="E141:F141"/>
  </mergeCells>
  <pageMargins left="0.51181102362204722" right="0.11811023622047245" top="0.98425196850393704" bottom="0.55118110236220474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158"/>
  <sheetViews>
    <sheetView tabSelected="1" workbookViewId="0">
      <pane ySplit="5" topLeftCell="A113" activePane="bottomLeft" state="frozen"/>
      <selection activeCell="F18" sqref="F18"/>
      <selection pane="bottomLeft" activeCell="A113" sqref="A113:I127"/>
    </sheetView>
  </sheetViews>
  <sheetFormatPr defaultRowHeight="23.1" customHeight="1" x14ac:dyDescent="0.35"/>
  <cols>
    <col min="1" max="1" width="4" style="118" customWidth="1"/>
    <col min="2" max="2" width="4.75" style="110" customWidth="1"/>
    <col min="3" max="3" width="9.875" style="118" customWidth="1"/>
    <col min="4" max="4" width="10.25" style="133" bestFit="1" customWidth="1"/>
    <col min="5" max="5" width="31" style="94" customWidth="1"/>
    <col min="6" max="6" width="26.25" style="94" customWidth="1"/>
    <col min="7" max="7" width="14.875" style="134" customWidth="1"/>
    <col min="8" max="8" width="13.125" style="94" customWidth="1"/>
    <col min="9" max="9" width="12.375" style="99" customWidth="1"/>
    <col min="10" max="10" width="11.5" style="94" customWidth="1"/>
    <col min="11" max="11" width="9.25" style="94" bestFit="1" customWidth="1"/>
    <col min="12" max="12" width="9" style="94"/>
    <col min="13" max="13" width="9.25" style="94" bestFit="1" customWidth="1"/>
    <col min="14" max="16384" width="9" style="94"/>
  </cols>
  <sheetData>
    <row r="1" spans="1:11" s="78" customFormat="1" ht="45.75" customHeight="1" x14ac:dyDescent="0.35">
      <c r="A1" s="214" t="s">
        <v>0</v>
      </c>
      <c r="B1" s="214"/>
      <c r="C1" s="214"/>
      <c r="D1" s="214"/>
      <c r="E1" s="214"/>
      <c r="F1" s="214"/>
      <c r="G1" s="214"/>
      <c r="H1" s="214"/>
      <c r="I1" s="214"/>
    </row>
    <row r="2" spans="1:11" s="78" customFormat="1" ht="26.25" x14ac:dyDescent="0.35">
      <c r="A2" s="215" t="s">
        <v>35</v>
      </c>
      <c r="B2" s="215"/>
      <c r="C2" s="215"/>
      <c r="D2" s="215"/>
      <c r="E2" s="215"/>
      <c r="F2" s="215"/>
      <c r="G2" s="215"/>
      <c r="H2" s="215"/>
      <c r="I2" s="215"/>
    </row>
    <row r="3" spans="1:11" s="78" customFormat="1" ht="26.25" x14ac:dyDescent="0.35">
      <c r="A3" s="80"/>
      <c r="B3" s="80"/>
      <c r="C3" s="80"/>
      <c r="D3" s="80"/>
      <c r="E3" s="80"/>
      <c r="F3" s="80"/>
      <c r="G3" s="79"/>
      <c r="H3" s="80"/>
      <c r="I3" s="80"/>
    </row>
    <row r="4" spans="1:11" s="85" customFormat="1" ht="23.1" customHeight="1" x14ac:dyDescent="0.35">
      <c r="A4" s="81" t="s">
        <v>1</v>
      </c>
      <c r="B4" s="82">
        <v>45931</v>
      </c>
      <c r="C4" s="81" t="s">
        <v>2</v>
      </c>
      <c r="D4" s="216" t="s">
        <v>3</v>
      </c>
      <c r="E4" s="218" t="s">
        <v>4</v>
      </c>
      <c r="F4" s="218" t="s">
        <v>5</v>
      </c>
      <c r="G4" s="219" t="s">
        <v>6</v>
      </c>
      <c r="H4" s="218" t="s">
        <v>7</v>
      </c>
      <c r="I4" s="218" t="s">
        <v>8</v>
      </c>
    </row>
    <row r="5" spans="1:11" s="85" customFormat="1" ht="21.75" customHeight="1" x14ac:dyDescent="0.35">
      <c r="A5" s="81" t="s">
        <v>9</v>
      </c>
      <c r="B5" s="81" t="s">
        <v>10</v>
      </c>
      <c r="C5" s="84" t="s">
        <v>11</v>
      </c>
      <c r="D5" s="217"/>
      <c r="E5" s="219"/>
      <c r="F5" s="219"/>
      <c r="G5" s="220"/>
      <c r="H5" s="219"/>
      <c r="I5" s="219"/>
    </row>
    <row r="6" spans="1:11" s="85" customFormat="1" ht="28.5" customHeight="1" x14ac:dyDescent="0.35">
      <c r="A6" s="87">
        <v>44105</v>
      </c>
      <c r="B6" s="88"/>
      <c r="C6" s="89"/>
      <c r="D6" s="90"/>
      <c r="E6" s="221" t="s">
        <v>12</v>
      </c>
      <c r="F6" s="222"/>
      <c r="G6" s="91"/>
      <c r="H6" s="92"/>
      <c r="I6" s="81">
        <v>17088986.299999997</v>
      </c>
    </row>
    <row r="7" spans="1:11" s="85" customFormat="1" ht="24" customHeight="1" x14ac:dyDescent="0.35">
      <c r="A7" s="153"/>
      <c r="B7" s="154">
        <v>9</v>
      </c>
      <c r="C7" s="155" t="s">
        <v>46</v>
      </c>
      <c r="D7" s="76"/>
      <c r="E7" s="75" t="s">
        <v>45</v>
      </c>
      <c r="F7" s="75" t="s">
        <v>44</v>
      </c>
      <c r="G7" s="91"/>
      <c r="H7" s="162">
        <v>171.34</v>
      </c>
      <c r="I7" s="81"/>
    </row>
    <row r="8" spans="1:11" s="85" customFormat="1" ht="23.1" customHeight="1" x14ac:dyDescent="0.35">
      <c r="A8" s="135"/>
      <c r="B8" s="92"/>
      <c r="C8" s="92"/>
      <c r="D8" s="83"/>
      <c r="E8" s="221" t="s">
        <v>13</v>
      </c>
      <c r="F8" s="222"/>
      <c r="G8" s="113">
        <f>SUM(G7)</f>
        <v>0</v>
      </c>
      <c r="H8" s="113">
        <f>SUM(H7)</f>
        <v>171.34</v>
      </c>
      <c r="I8" s="113">
        <f>+I6+G8-H8</f>
        <v>17088814.959999997</v>
      </c>
      <c r="K8" s="99" t="s">
        <v>14</v>
      </c>
    </row>
    <row r="9" spans="1:11" s="85" customFormat="1" ht="23.1" customHeight="1" x14ac:dyDescent="0.35">
      <c r="A9" s="115"/>
      <c r="B9" s="117"/>
      <c r="C9" s="92"/>
      <c r="D9" s="83"/>
      <c r="E9" s="221" t="s">
        <v>15</v>
      </c>
      <c r="F9" s="222"/>
      <c r="G9" s="113">
        <f>+G8+G6</f>
        <v>0</v>
      </c>
      <c r="H9" s="113">
        <f>+H8+H6</f>
        <v>171.34</v>
      </c>
      <c r="I9" s="113">
        <f>+I6+G9-H9</f>
        <v>17088814.959999997</v>
      </c>
      <c r="K9" s="104"/>
    </row>
    <row r="10" spans="1:11" s="85" customFormat="1" ht="23.1" customHeight="1" x14ac:dyDescent="0.35">
      <c r="A10" s="105"/>
      <c r="B10" s="105"/>
      <c r="C10" s="105"/>
      <c r="D10" s="106"/>
      <c r="E10" s="107"/>
      <c r="F10" s="107"/>
      <c r="G10" s="108"/>
      <c r="H10" s="109"/>
      <c r="I10" s="107"/>
      <c r="K10" s="104"/>
    </row>
    <row r="11" spans="1:11" s="110" customFormat="1" ht="23.1" customHeight="1" x14ac:dyDescent="0.35">
      <c r="A11" s="214" t="s">
        <v>0</v>
      </c>
      <c r="B11" s="214"/>
      <c r="C11" s="214"/>
      <c r="D11" s="214"/>
      <c r="E11" s="214"/>
      <c r="F11" s="214"/>
      <c r="G11" s="214"/>
      <c r="H11" s="214"/>
      <c r="I11" s="214"/>
      <c r="K11" s="85"/>
    </row>
    <row r="12" spans="1:11" s="110" customFormat="1" ht="23.1" customHeight="1" x14ac:dyDescent="0.35">
      <c r="A12" s="215" t="s">
        <v>36</v>
      </c>
      <c r="B12" s="215"/>
      <c r="C12" s="215"/>
      <c r="D12" s="215"/>
      <c r="E12" s="215"/>
      <c r="F12" s="215"/>
      <c r="G12" s="215"/>
      <c r="H12" s="215"/>
      <c r="I12" s="215"/>
    </row>
    <row r="13" spans="1:11" s="110" customFormat="1" ht="23.1" customHeight="1" x14ac:dyDescent="0.35">
      <c r="A13" s="80"/>
      <c r="B13" s="80"/>
      <c r="C13" s="80"/>
      <c r="D13" s="80"/>
      <c r="E13" s="80"/>
      <c r="F13" s="80"/>
      <c r="G13" s="79"/>
      <c r="H13" s="80"/>
      <c r="I13" s="80"/>
    </row>
    <row r="14" spans="1:11" s="110" customFormat="1" ht="23.1" customHeight="1" x14ac:dyDescent="0.35">
      <c r="A14" s="81" t="s">
        <v>1</v>
      </c>
      <c r="B14" s="82">
        <v>45931</v>
      </c>
      <c r="C14" s="81" t="s">
        <v>2</v>
      </c>
      <c r="D14" s="216" t="s">
        <v>3</v>
      </c>
      <c r="E14" s="218" t="s">
        <v>4</v>
      </c>
      <c r="F14" s="218" t="s">
        <v>5</v>
      </c>
      <c r="G14" s="219" t="s">
        <v>6</v>
      </c>
      <c r="H14" s="218" t="s">
        <v>7</v>
      </c>
      <c r="I14" s="218" t="s">
        <v>8</v>
      </c>
    </row>
    <row r="15" spans="1:11" s="110" customFormat="1" ht="23.1" customHeight="1" x14ac:dyDescent="0.35">
      <c r="A15" s="81" t="s">
        <v>9</v>
      </c>
      <c r="B15" s="81" t="s">
        <v>10</v>
      </c>
      <c r="C15" s="84" t="s">
        <v>11</v>
      </c>
      <c r="D15" s="217"/>
      <c r="E15" s="219"/>
      <c r="F15" s="219"/>
      <c r="G15" s="220"/>
      <c r="H15" s="219"/>
      <c r="I15" s="219"/>
    </row>
    <row r="16" spans="1:11" s="85" customFormat="1" ht="28.5" customHeight="1" x14ac:dyDescent="0.35">
      <c r="A16" s="111" t="s">
        <v>16</v>
      </c>
      <c r="B16" s="112"/>
      <c r="C16" s="89"/>
      <c r="D16" s="90"/>
      <c r="E16" s="221" t="s">
        <v>12</v>
      </c>
      <c r="F16" s="222"/>
      <c r="G16" s="113">
        <v>0</v>
      </c>
      <c r="H16" s="113">
        <v>171.34</v>
      </c>
      <c r="I16" s="113">
        <v>17088814.959999997</v>
      </c>
    </row>
    <row r="17" spans="1:11" s="85" customFormat="1" ht="23.1" customHeight="1" x14ac:dyDescent="0.35">
      <c r="A17" s="115"/>
      <c r="B17" s="117"/>
      <c r="C17" s="92"/>
      <c r="D17" s="83"/>
      <c r="E17" s="221" t="s">
        <v>15</v>
      </c>
      <c r="F17" s="222"/>
      <c r="G17" s="113">
        <v>0</v>
      </c>
      <c r="H17" s="113">
        <v>171.34</v>
      </c>
      <c r="I17" s="113">
        <v>17088814.959999997</v>
      </c>
    </row>
    <row r="18" spans="1:11" s="85" customFormat="1" ht="23.1" customHeight="1" x14ac:dyDescent="0.35">
      <c r="A18" s="105"/>
      <c r="B18" s="105"/>
      <c r="C18" s="105"/>
      <c r="D18" s="106"/>
      <c r="E18" s="107"/>
      <c r="F18" s="107"/>
      <c r="G18" s="108"/>
      <c r="H18" s="109"/>
      <c r="I18" s="107"/>
    </row>
    <row r="19" spans="1:11" s="110" customFormat="1" ht="23.1" customHeight="1" x14ac:dyDescent="0.35">
      <c r="A19" s="214" t="s">
        <v>0</v>
      </c>
      <c r="B19" s="214"/>
      <c r="C19" s="214"/>
      <c r="D19" s="214"/>
      <c r="E19" s="214"/>
      <c r="F19" s="214"/>
      <c r="G19" s="214"/>
      <c r="H19" s="214"/>
      <c r="I19" s="214"/>
      <c r="K19" s="85"/>
    </row>
    <row r="20" spans="1:11" s="110" customFormat="1" ht="23.1" customHeight="1" x14ac:dyDescent="0.35">
      <c r="A20" s="215" t="s">
        <v>37</v>
      </c>
      <c r="B20" s="215"/>
      <c r="C20" s="215"/>
      <c r="D20" s="215"/>
      <c r="E20" s="215"/>
      <c r="F20" s="215"/>
      <c r="G20" s="215"/>
      <c r="H20" s="215"/>
      <c r="I20" s="215"/>
    </row>
    <row r="21" spans="1:11" s="110" customFormat="1" ht="23.1" customHeight="1" x14ac:dyDescent="0.35">
      <c r="A21" s="80"/>
      <c r="B21" s="80"/>
      <c r="C21" s="80"/>
      <c r="D21" s="80"/>
      <c r="E21" s="80"/>
      <c r="F21" s="80"/>
      <c r="G21" s="79"/>
      <c r="H21" s="80"/>
      <c r="I21" s="80"/>
    </row>
    <row r="22" spans="1:11" s="110" customFormat="1" ht="23.1" customHeight="1" x14ac:dyDescent="0.35">
      <c r="A22" s="81" t="s">
        <v>1</v>
      </c>
      <c r="B22" s="82">
        <v>45931</v>
      </c>
      <c r="C22" s="81" t="s">
        <v>2</v>
      </c>
      <c r="D22" s="216" t="s">
        <v>3</v>
      </c>
      <c r="E22" s="218" t="s">
        <v>4</v>
      </c>
      <c r="F22" s="218" t="s">
        <v>5</v>
      </c>
      <c r="G22" s="219" t="s">
        <v>6</v>
      </c>
      <c r="H22" s="218" t="s">
        <v>7</v>
      </c>
      <c r="I22" s="218" t="s">
        <v>8</v>
      </c>
    </row>
    <row r="23" spans="1:11" s="110" customFormat="1" ht="23.1" customHeight="1" x14ac:dyDescent="0.35">
      <c r="A23" s="81" t="s">
        <v>9</v>
      </c>
      <c r="B23" s="81" t="s">
        <v>10</v>
      </c>
      <c r="C23" s="84" t="s">
        <v>11</v>
      </c>
      <c r="D23" s="217"/>
      <c r="E23" s="219"/>
      <c r="F23" s="219"/>
      <c r="G23" s="220"/>
      <c r="H23" s="219"/>
      <c r="I23" s="219"/>
    </row>
    <row r="24" spans="1:11" s="85" customFormat="1" ht="28.5" customHeight="1" x14ac:dyDescent="0.35">
      <c r="A24" s="111" t="s">
        <v>18</v>
      </c>
      <c r="B24" s="112"/>
      <c r="C24" s="89"/>
      <c r="D24" s="90"/>
      <c r="E24" s="221" t="s">
        <v>12</v>
      </c>
      <c r="F24" s="222"/>
      <c r="G24" s="113">
        <v>0</v>
      </c>
      <c r="H24" s="113">
        <v>171.34</v>
      </c>
      <c r="I24" s="113">
        <v>17088814.959999997</v>
      </c>
    </row>
    <row r="25" spans="1:11" s="110" customFormat="1" ht="23.1" customHeight="1" x14ac:dyDescent="0.35">
      <c r="A25" s="118"/>
      <c r="B25" s="48">
        <v>4</v>
      </c>
      <c r="C25" s="54" t="s">
        <v>47</v>
      </c>
      <c r="D25" s="27">
        <v>10718730</v>
      </c>
      <c r="E25" s="45" t="s">
        <v>48</v>
      </c>
      <c r="F25" s="63" t="s">
        <v>49</v>
      </c>
      <c r="G25" s="119"/>
      <c r="H25" s="28">
        <v>41827.5</v>
      </c>
      <c r="I25" s="120"/>
      <c r="J25" s="118"/>
    </row>
    <row r="26" spans="1:11" s="110" customFormat="1" ht="23.1" customHeight="1" x14ac:dyDescent="0.35">
      <c r="A26" s="118"/>
      <c r="B26" s="14">
        <v>23</v>
      </c>
      <c r="C26" s="54" t="s">
        <v>52</v>
      </c>
      <c r="D26" s="27">
        <v>10718731</v>
      </c>
      <c r="E26" s="25" t="s">
        <v>67</v>
      </c>
      <c r="F26" s="63" t="s">
        <v>49</v>
      </c>
      <c r="G26" s="156"/>
      <c r="H26" s="28">
        <v>117290.25</v>
      </c>
      <c r="I26" s="120"/>
      <c r="J26" s="118"/>
    </row>
    <row r="27" spans="1:11" s="110" customFormat="1" ht="23.1" customHeight="1" x14ac:dyDescent="0.35">
      <c r="A27" s="118"/>
      <c r="B27" s="14"/>
      <c r="C27" s="54" t="s">
        <v>54</v>
      </c>
      <c r="D27" s="27"/>
      <c r="E27" s="25" t="s">
        <v>55</v>
      </c>
      <c r="F27" s="63" t="s">
        <v>56</v>
      </c>
      <c r="G27" s="156"/>
      <c r="H27" s="28">
        <v>9080.99</v>
      </c>
      <c r="I27" s="120"/>
      <c r="J27" s="118"/>
    </row>
    <row r="28" spans="1:11" s="110" customFormat="1" ht="23.1" customHeight="1" x14ac:dyDescent="0.35">
      <c r="A28" s="118"/>
      <c r="B28" s="14"/>
      <c r="C28" s="54" t="s">
        <v>58</v>
      </c>
      <c r="D28" s="27"/>
      <c r="E28" s="25" t="s">
        <v>59</v>
      </c>
      <c r="F28" s="63" t="s">
        <v>56</v>
      </c>
      <c r="G28" s="156"/>
      <c r="H28" s="28">
        <v>9080.99</v>
      </c>
      <c r="I28" s="120"/>
      <c r="J28" s="118"/>
    </row>
    <row r="29" spans="1:11" s="110" customFormat="1" ht="23.1" customHeight="1" x14ac:dyDescent="0.35">
      <c r="A29" s="118"/>
      <c r="B29" s="14"/>
      <c r="C29" s="54" t="s">
        <v>62</v>
      </c>
      <c r="D29" s="27"/>
      <c r="E29" s="25" t="s">
        <v>63</v>
      </c>
      <c r="F29" s="63" t="s">
        <v>56</v>
      </c>
      <c r="G29" s="156"/>
      <c r="H29" s="28">
        <v>9080.99</v>
      </c>
      <c r="I29" s="120"/>
      <c r="J29" s="118"/>
    </row>
    <row r="30" spans="1:11" s="110" customFormat="1" ht="23.1" customHeight="1" x14ac:dyDescent="0.35">
      <c r="A30" s="118"/>
      <c r="B30" s="14"/>
      <c r="C30" s="54" t="s">
        <v>64</v>
      </c>
      <c r="D30" s="27"/>
      <c r="E30" s="25" t="s">
        <v>65</v>
      </c>
      <c r="F30" s="63" t="s">
        <v>56</v>
      </c>
      <c r="G30" s="156"/>
      <c r="H30" s="28">
        <v>9081.23</v>
      </c>
      <c r="I30" s="120"/>
      <c r="J30" s="118"/>
    </row>
    <row r="31" spans="1:11" s="110" customFormat="1" ht="23.1" customHeight="1" x14ac:dyDescent="0.35">
      <c r="A31" s="114"/>
      <c r="B31" s="97"/>
      <c r="C31" s="97"/>
      <c r="D31" s="86"/>
      <c r="E31" s="223" t="s">
        <v>13</v>
      </c>
      <c r="F31" s="224"/>
      <c r="G31" s="121">
        <f>SUM(G25:G30)</f>
        <v>0</v>
      </c>
      <c r="H31" s="121">
        <f>SUM(H25:H30)</f>
        <v>195441.94999999998</v>
      </c>
      <c r="I31" s="84">
        <f>+I24-H31</f>
        <v>16893373.009999998</v>
      </c>
    </row>
    <row r="32" spans="1:11" s="110" customFormat="1" ht="23.1" customHeight="1" thickBot="1" x14ac:dyDescent="0.4">
      <c r="A32" s="122"/>
      <c r="B32" s="100"/>
      <c r="C32" s="100"/>
      <c r="D32" s="101"/>
      <c r="E32" s="225" t="s">
        <v>15</v>
      </c>
      <c r="F32" s="226"/>
      <c r="G32" s="129">
        <f>+G24+G31</f>
        <v>0</v>
      </c>
      <c r="H32" s="129">
        <f>+H24+H31</f>
        <v>195613.28999999998</v>
      </c>
      <c r="I32" s="102">
        <f>+I6+G32-H32</f>
        <v>16893373.009999998</v>
      </c>
    </row>
    <row r="33" spans="1:13" s="110" customFormat="1" ht="23.1" customHeight="1" thickTop="1" x14ac:dyDescent="0.35">
      <c r="D33" s="123"/>
      <c r="G33" s="124"/>
      <c r="I33" s="125"/>
    </row>
    <row r="34" spans="1:13" s="110" customFormat="1" ht="23.1" customHeight="1" x14ac:dyDescent="0.35">
      <c r="A34" s="214" t="s">
        <v>0</v>
      </c>
      <c r="B34" s="214"/>
      <c r="C34" s="214"/>
      <c r="D34" s="214"/>
      <c r="E34" s="214"/>
      <c r="F34" s="214"/>
      <c r="G34" s="214"/>
      <c r="H34" s="214"/>
      <c r="I34" s="214"/>
      <c r="K34" s="85"/>
    </row>
    <row r="35" spans="1:13" s="110" customFormat="1" ht="23.1" customHeight="1" x14ac:dyDescent="0.35">
      <c r="A35" s="215" t="s">
        <v>42</v>
      </c>
      <c r="B35" s="215"/>
      <c r="C35" s="215"/>
      <c r="D35" s="215"/>
      <c r="E35" s="215"/>
      <c r="F35" s="215"/>
      <c r="G35" s="215"/>
      <c r="H35" s="215"/>
      <c r="I35" s="215"/>
    </row>
    <row r="36" spans="1:13" s="110" customFormat="1" ht="23.1" customHeight="1" x14ac:dyDescent="0.35">
      <c r="A36" s="80"/>
      <c r="B36" s="80"/>
      <c r="C36" s="80"/>
      <c r="D36" s="80"/>
      <c r="E36" s="80"/>
      <c r="F36" s="80"/>
      <c r="G36" s="79"/>
      <c r="H36" s="80"/>
      <c r="I36" s="80"/>
    </row>
    <row r="37" spans="1:13" s="110" customFormat="1" ht="23.1" customHeight="1" x14ac:dyDescent="0.35">
      <c r="A37" s="81" t="s">
        <v>1</v>
      </c>
      <c r="B37" s="82">
        <v>46296</v>
      </c>
      <c r="C37" s="81" t="s">
        <v>2</v>
      </c>
      <c r="D37" s="216" t="s">
        <v>3</v>
      </c>
      <c r="E37" s="218" t="s">
        <v>4</v>
      </c>
      <c r="F37" s="218" t="s">
        <v>5</v>
      </c>
      <c r="G37" s="219" t="s">
        <v>6</v>
      </c>
      <c r="H37" s="218" t="s">
        <v>7</v>
      </c>
      <c r="I37" s="218" t="s">
        <v>8</v>
      </c>
    </row>
    <row r="38" spans="1:13" s="110" customFormat="1" ht="23.1" customHeight="1" x14ac:dyDescent="0.35">
      <c r="A38" s="81" t="s">
        <v>9</v>
      </c>
      <c r="B38" s="81" t="s">
        <v>10</v>
      </c>
      <c r="C38" s="84" t="s">
        <v>11</v>
      </c>
      <c r="D38" s="217"/>
      <c r="E38" s="219"/>
      <c r="F38" s="219"/>
      <c r="G38" s="220"/>
      <c r="H38" s="219"/>
      <c r="I38" s="219"/>
      <c r="J38" s="118"/>
    </row>
    <row r="39" spans="1:13" s="85" customFormat="1" ht="28.5" customHeight="1" thickBot="1" x14ac:dyDescent="0.4">
      <c r="A39" s="111" t="s">
        <v>19</v>
      </c>
      <c r="B39" s="112"/>
      <c r="C39" s="89"/>
      <c r="D39" s="90"/>
      <c r="E39" s="221" t="s">
        <v>12</v>
      </c>
      <c r="F39" s="222"/>
      <c r="G39" s="129">
        <v>0</v>
      </c>
      <c r="H39" s="129">
        <v>195613.28999999998</v>
      </c>
      <c r="I39" s="102">
        <v>16893373.009999998</v>
      </c>
      <c r="M39" s="105"/>
    </row>
    <row r="40" spans="1:13" s="85" customFormat="1" ht="23.25" customHeight="1" thickTop="1" x14ac:dyDescent="0.35">
      <c r="A40" s="157"/>
      <c r="B40" s="148">
        <v>9</v>
      </c>
      <c r="C40" s="77" t="s">
        <v>68</v>
      </c>
      <c r="D40" s="159"/>
      <c r="E40" s="75" t="s">
        <v>70</v>
      </c>
      <c r="F40" s="75" t="s">
        <v>44</v>
      </c>
      <c r="G40" s="164"/>
      <c r="H40" s="64">
        <v>342.68</v>
      </c>
      <c r="I40" s="164"/>
    </row>
    <row r="41" spans="1:13" s="126" customFormat="1" ht="23.25" customHeight="1" x14ac:dyDescent="0.35">
      <c r="A41" s="157"/>
      <c r="B41" s="93"/>
      <c r="C41" s="77" t="s">
        <v>69</v>
      </c>
      <c r="D41" s="76"/>
      <c r="E41" s="75" t="s">
        <v>71</v>
      </c>
      <c r="F41" s="75" t="s">
        <v>44</v>
      </c>
      <c r="G41" s="158"/>
      <c r="H41" s="64">
        <v>1607.25</v>
      </c>
      <c r="I41" s="159"/>
    </row>
    <row r="42" spans="1:13" s="110" customFormat="1" ht="23.1" customHeight="1" x14ac:dyDescent="0.35">
      <c r="A42" s="114"/>
      <c r="B42" s="97"/>
      <c r="C42" s="97"/>
      <c r="D42" s="86"/>
      <c r="E42" s="223" t="s">
        <v>13</v>
      </c>
      <c r="F42" s="224"/>
      <c r="G42" s="127">
        <f>SUM(G40:G41)</f>
        <v>0</v>
      </c>
      <c r="H42" s="121">
        <f>SUM(H40:H41)</f>
        <v>1949.93</v>
      </c>
      <c r="I42" s="128">
        <f>+I39+G42-H42</f>
        <v>16891423.079999998</v>
      </c>
    </row>
    <row r="43" spans="1:13" s="110" customFormat="1" ht="23.1" customHeight="1" thickBot="1" x14ac:dyDescent="0.4">
      <c r="A43" s="100"/>
      <c r="B43" s="100"/>
      <c r="C43" s="100"/>
      <c r="D43" s="101"/>
      <c r="E43" s="225" t="s">
        <v>15</v>
      </c>
      <c r="F43" s="226"/>
      <c r="G43" s="103">
        <f>+G39+G42</f>
        <v>0</v>
      </c>
      <c r="H43" s="129">
        <f>+H39+H42</f>
        <v>197563.21999999997</v>
      </c>
      <c r="I43" s="129">
        <f>+I6+G43-H43</f>
        <v>16891423.079999998</v>
      </c>
      <c r="J43" s="110">
        <f>+I42-I43</f>
        <v>0</v>
      </c>
    </row>
    <row r="44" spans="1:13" s="110" customFormat="1" ht="23.1" customHeight="1" thickTop="1" x14ac:dyDescent="0.35">
      <c r="D44" s="123"/>
      <c r="G44" s="124"/>
      <c r="I44" s="125"/>
    </row>
    <row r="45" spans="1:13" s="110" customFormat="1" ht="23.1" customHeight="1" x14ac:dyDescent="0.35">
      <c r="A45" s="214" t="s">
        <v>0</v>
      </c>
      <c r="B45" s="214"/>
      <c r="C45" s="214"/>
      <c r="D45" s="214"/>
      <c r="E45" s="214"/>
      <c r="F45" s="214"/>
      <c r="G45" s="214"/>
      <c r="H45" s="214"/>
      <c r="I45" s="214"/>
      <c r="K45" s="85"/>
    </row>
    <row r="46" spans="1:13" s="110" customFormat="1" ht="23.1" customHeight="1" x14ac:dyDescent="0.35">
      <c r="A46" s="215" t="s">
        <v>39</v>
      </c>
      <c r="B46" s="215"/>
      <c r="C46" s="215"/>
      <c r="D46" s="215"/>
      <c r="E46" s="215"/>
      <c r="F46" s="215"/>
      <c r="G46" s="215"/>
      <c r="H46" s="215"/>
      <c r="I46" s="215"/>
    </row>
    <row r="47" spans="1:13" s="110" customFormat="1" ht="23.1" customHeight="1" x14ac:dyDescent="0.35">
      <c r="A47" s="80"/>
      <c r="B47" s="80"/>
      <c r="C47" s="80"/>
      <c r="D47" s="80"/>
      <c r="E47" s="80"/>
      <c r="F47" s="80"/>
      <c r="G47" s="79"/>
      <c r="H47" s="80"/>
      <c r="I47" s="80"/>
    </row>
    <row r="48" spans="1:13" s="110" customFormat="1" ht="23.1" customHeight="1" x14ac:dyDescent="0.35">
      <c r="A48" s="81" t="s">
        <v>1</v>
      </c>
      <c r="B48" s="82">
        <v>46296</v>
      </c>
      <c r="C48" s="81" t="s">
        <v>2</v>
      </c>
      <c r="D48" s="216" t="s">
        <v>3</v>
      </c>
      <c r="E48" s="218" t="s">
        <v>4</v>
      </c>
      <c r="F48" s="218" t="s">
        <v>5</v>
      </c>
      <c r="G48" s="219" t="s">
        <v>6</v>
      </c>
      <c r="H48" s="218" t="s">
        <v>7</v>
      </c>
      <c r="I48" s="218" t="s">
        <v>8</v>
      </c>
    </row>
    <row r="49" spans="1:11" s="110" customFormat="1" ht="23.1" customHeight="1" x14ac:dyDescent="0.35">
      <c r="A49" s="81" t="s">
        <v>9</v>
      </c>
      <c r="B49" s="81" t="s">
        <v>10</v>
      </c>
      <c r="C49" s="84" t="s">
        <v>11</v>
      </c>
      <c r="D49" s="217"/>
      <c r="E49" s="219"/>
      <c r="F49" s="219"/>
      <c r="G49" s="220"/>
      <c r="H49" s="219"/>
      <c r="I49" s="219"/>
    </row>
    <row r="50" spans="1:11" s="85" customFormat="1" ht="28.5" customHeight="1" x14ac:dyDescent="0.35">
      <c r="A50" s="132" t="s">
        <v>20</v>
      </c>
      <c r="B50" s="88"/>
      <c r="C50" s="89"/>
      <c r="D50" s="90"/>
      <c r="E50" s="218" t="s">
        <v>12</v>
      </c>
      <c r="F50" s="218"/>
      <c r="G50" s="130">
        <v>0</v>
      </c>
      <c r="H50" s="113">
        <v>197563.21999999997</v>
      </c>
      <c r="I50" s="113">
        <v>16891423.079999998</v>
      </c>
    </row>
    <row r="51" spans="1:11" s="85" customFormat="1" ht="28.5" customHeight="1" x14ac:dyDescent="0.35">
      <c r="A51" s="132"/>
      <c r="B51" s="154">
        <v>23</v>
      </c>
      <c r="C51" s="155" t="s">
        <v>72</v>
      </c>
      <c r="D51" s="27">
        <v>10718736</v>
      </c>
      <c r="E51" s="165" t="s">
        <v>75</v>
      </c>
      <c r="F51" s="167" t="s">
        <v>76</v>
      </c>
      <c r="G51" s="155"/>
      <c r="H51" s="155">
        <v>82500</v>
      </c>
      <c r="I51" s="166"/>
    </row>
    <row r="52" spans="1:11" s="85" customFormat="1" ht="24" customHeight="1" x14ac:dyDescent="0.35">
      <c r="A52" s="132"/>
      <c r="B52" s="154"/>
      <c r="C52" s="155"/>
      <c r="D52" s="168"/>
      <c r="E52" s="223" t="s">
        <v>13</v>
      </c>
      <c r="F52" s="224"/>
      <c r="G52" s="127">
        <f>SUM(G51)</f>
        <v>0</v>
      </c>
      <c r="H52" s="121">
        <f>SUM(H51)</f>
        <v>82500</v>
      </c>
      <c r="I52" s="128">
        <f>+I50+G52-H52</f>
        <v>16808923.079999998</v>
      </c>
    </row>
    <row r="53" spans="1:11" s="110" customFormat="1" ht="23.1" customHeight="1" x14ac:dyDescent="0.35">
      <c r="A53" s="92"/>
      <c r="B53" s="92"/>
      <c r="C53" s="92"/>
      <c r="D53" s="83"/>
      <c r="E53" s="218" t="s">
        <v>15</v>
      </c>
      <c r="F53" s="218"/>
      <c r="G53" s="130">
        <f>+G50+G52</f>
        <v>0</v>
      </c>
      <c r="H53" s="130">
        <f>+H50+H52</f>
        <v>280063.21999999997</v>
      </c>
      <c r="I53" s="130">
        <f>+I6+G53-H53</f>
        <v>16808923.079999998</v>
      </c>
      <c r="J53" s="110" t="e">
        <f>+#REF!-I53</f>
        <v>#REF!</v>
      </c>
    </row>
    <row r="54" spans="1:11" s="110" customFormat="1" ht="23.1" customHeight="1" x14ac:dyDescent="0.35">
      <c r="D54" s="123"/>
      <c r="G54" s="124"/>
      <c r="I54" s="125"/>
    </row>
    <row r="55" spans="1:11" s="110" customFormat="1" ht="23.1" customHeight="1" x14ac:dyDescent="0.35">
      <c r="A55" s="214" t="s">
        <v>0</v>
      </c>
      <c r="B55" s="214"/>
      <c r="C55" s="214"/>
      <c r="D55" s="214"/>
      <c r="E55" s="214"/>
      <c r="F55" s="214"/>
      <c r="G55" s="214"/>
      <c r="H55" s="214"/>
      <c r="I55" s="214"/>
      <c r="K55" s="85"/>
    </row>
    <row r="56" spans="1:11" s="110" customFormat="1" ht="23.1" customHeight="1" x14ac:dyDescent="0.35">
      <c r="A56" s="215" t="s">
        <v>40</v>
      </c>
      <c r="B56" s="215"/>
      <c r="C56" s="215"/>
      <c r="D56" s="215"/>
      <c r="E56" s="215"/>
      <c r="F56" s="215"/>
      <c r="G56" s="215"/>
      <c r="H56" s="215"/>
      <c r="I56" s="215"/>
    </row>
    <row r="57" spans="1:11" s="110" customFormat="1" ht="23.1" customHeight="1" x14ac:dyDescent="0.35">
      <c r="A57" s="80"/>
      <c r="B57" s="80"/>
      <c r="C57" s="80"/>
      <c r="D57" s="80"/>
      <c r="E57" s="80"/>
      <c r="F57" s="80"/>
      <c r="G57" s="79"/>
      <c r="H57" s="80"/>
      <c r="I57" s="80"/>
    </row>
    <row r="58" spans="1:11" s="110" customFormat="1" ht="23.1" customHeight="1" x14ac:dyDescent="0.35">
      <c r="A58" s="81" t="s">
        <v>1</v>
      </c>
      <c r="B58" s="82">
        <v>46296</v>
      </c>
      <c r="C58" s="81" t="s">
        <v>2</v>
      </c>
      <c r="D58" s="216" t="s">
        <v>3</v>
      </c>
      <c r="E58" s="218" t="s">
        <v>4</v>
      </c>
      <c r="F58" s="218" t="s">
        <v>5</v>
      </c>
      <c r="G58" s="219" t="s">
        <v>6</v>
      </c>
      <c r="H58" s="218" t="s">
        <v>7</v>
      </c>
      <c r="I58" s="218" t="s">
        <v>8</v>
      </c>
    </row>
    <row r="59" spans="1:11" s="110" customFormat="1" ht="23.1" customHeight="1" x14ac:dyDescent="0.35">
      <c r="A59" s="81" t="s">
        <v>9</v>
      </c>
      <c r="B59" s="81" t="s">
        <v>10</v>
      </c>
      <c r="C59" s="84" t="s">
        <v>11</v>
      </c>
      <c r="D59" s="217"/>
      <c r="E59" s="219"/>
      <c r="F59" s="219"/>
      <c r="G59" s="220"/>
      <c r="H59" s="219"/>
      <c r="I59" s="219"/>
    </row>
    <row r="60" spans="1:11" s="85" customFormat="1" ht="28.5" customHeight="1" x14ac:dyDescent="0.35">
      <c r="A60" s="87" t="s">
        <v>22</v>
      </c>
      <c r="B60" s="88"/>
      <c r="C60" s="89"/>
      <c r="D60" s="90"/>
      <c r="E60" s="218" t="s">
        <v>12</v>
      </c>
      <c r="F60" s="218"/>
      <c r="G60" s="130">
        <v>0</v>
      </c>
      <c r="H60" s="113">
        <v>280063.21999999997</v>
      </c>
      <c r="I60" s="113">
        <v>16808923.079999998</v>
      </c>
    </row>
    <row r="61" spans="1:11" s="85" customFormat="1" ht="23.25" customHeight="1" x14ac:dyDescent="0.35">
      <c r="A61" s="87"/>
      <c r="B61" s="170">
        <v>7</v>
      </c>
      <c r="C61" s="171" t="s">
        <v>77</v>
      </c>
      <c r="D61" s="168">
        <v>10718736</v>
      </c>
      <c r="E61" s="172" t="s">
        <v>78</v>
      </c>
      <c r="F61" s="45" t="s">
        <v>79</v>
      </c>
      <c r="G61" s="130"/>
      <c r="H61" s="171">
        <v>9080.99</v>
      </c>
      <c r="I61" s="113"/>
    </row>
    <row r="62" spans="1:11" s="85" customFormat="1" ht="23.25" customHeight="1" x14ac:dyDescent="0.35">
      <c r="A62" s="87"/>
      <c r="B62" s="9"/>
      <c r="C62" s="171" t="s">
        <v>81</v>
      </c>
      <c r="D62" s="27">
        <v>10718738</v>
      </c>
      <c r="E62" s="172" t="s">
        <v>82</v>
      </c>
      <c r="F62" s="172" t="s">
        <v>79</v>
      </c>
      <c r="G62" s="130"/>
      <c r="H62" s="171">
        <v>9080.99</v>
      </c>
      <c r="I62" s="113"/>
    </row>
    <row r="63" spans="1:11" s="85" customFormat="1" ht="23.25" customHeight="1" x14ac:dyDescent="0.35">
      <c r="A63" s="87"/>
      <c r="B63" s="170">
        <v>20</v>
      </c>
      <c r="C63" s="171" t="s">
        <v>84</v>
      </c>
      <c r="D63" s="168">
        <v>10718740</v>
      </c>
      <c r="E63" s="174" t="s">
        <v>86</v>
      </c>
      <c r="F63" s="174" t="s">
        <v>85</v>
      </c>
      <c r="G63" s="130"/>
      <c r="H63" s="171">
        <v>2000</v>
      </c>
      <c r="I63" s="113"/>
    </row>
    <row r="64" spans="1:11" s="85" customFormat="1" ht="23.25" customHeight="1" x14ac:dyDescent="0.35">
      <c r="A64" s="87"/>
      <c r="B64" s="170">
        <v>27</v>
      </c>
      <c r="C64" s="171" t="s">
        <v>87</v>
      </c>
      <c r="D64" s="27">
        <v>10718741</v>
      </c>
      <c r="E64" s="172" t="s">
        <v>88</v>
      </c>
      <c r="F64" s="45" t="s">
        <v>49</v>
      </c>
      <c r="G64" s="130"/>
      <c r="H64" s="171">
        <v>89176.23</v>
      </c>
      <c r="I64" s="113"/>
    </row>
    <row r="65" spans="1:13" s="62" customFormat="1" ht="23.1" customHeight="1" x14ac:dyDescent="0.35">
      <c r="A65" s="114"/>
      <c r="B65" s="97"/>
      <c r="C65" s="97"/>
      <c r="D65" s="86"/>
      <c r="E65" s="221" t="s">
        <v>13</v>
      </c>
      <c r="F65" s="222"/>
      <c r="G65" s="98">
        <f>SUM(G61:G64)</f>
        <v>0</v>
      </c>
      <c r="H65" s="98">
        <f>SUM(H61:H64)</f>
        <v>109338.20999999999</v>
      </c>
      <c r="I65" s="98">
        <f>+I60+G65-H65</f>
        <v>16699584.869999997</v>
      </c>
      <c r="K65" s="116" t="s">
        <v>21</v>
      </c>
      <c r="L65" s="116" t="s">
        <v>17</v>
      </c>
    </row>
    <row r="66" spans="1:13" s="110" customFormat="1" ht="23.1" customHeight="1" x14ac:dyDescent="0.35">
      <c r="A66" s="92"/>
      <c r="B66" s="92"/>
      <c r="C66" s="92"/>
      <c r="D66" s="83"/>
      <c r="E66" s="218" t="s">
        <v>15</v>
      </c>
      <c r="F66" s="218"/>
      <c r="G66" s="130">
        <f>+G60+G65</f>
        <v>0</v>
      </c>
      <c r="H66" s="130">
        <f>+H60+H65</f>
        <v>389401.42999999993</v>
      </c>
      <c r="I66" s="130">
        <f>+I6+G66-H66</f>
        <v>16699584.869999997</v>
      </c>
      <c r="J66" s="110">
        <f>+I65-I66</f>
        <v>0</v>
      </c>
      <c r="K66" s="110" t="e">
        <f>+[1]แยกประเภทเงินบำรุง!G94+'ศูนย์แพทย์เงินบำรุง44-3 รายวัน'!#REF!-'ศูนย์แพทย์เงินบำรุง44-3 รายวัน'!H65</f>
        <v>#REF!</v>
      </c>
      <c r="L66" s="110" t="e">
        <f>+[1]แยกประเภทเงินบำรุง!G81+[1]แยกประเภทเงินบำรุง!G84+[1]แยกประเภทเงินบำรุง!G86+[1]แยกประเภทเงินบำรุง!G88+[1]แยกประเภทเงินบำรุง!G90+[1]แยกประเภทเงินบำรุง!G93</f>
        <v>#REF!</v>
      </c>
    </row>
    <row r="67" spans="1:13" s="110" customFormat="1" ht="23.1" customHeight="1" x14ac:dyDescent="0.35">
      <c r="D67" s="123"/>
      <c r="G67" s="124"/>
      <c r="I67" s="125"/>
    </row>
    <row r="68" spans="1:13" s="110" customFormat="1" ht="23.1" customHeight="1" x14ac:dyDescent="0.35">
      <c r="A68" s="214" t="s">
        <v>0</v>
      </c>
      <c r="B68" s="214"/>
      <c r="C68" s="214"/>
      <c r="D68" s="214"/>
      <c r="E68" s="214"/>
      <c r="F68" s="214"/>
      <c r="G68" s="214"/>
      <c r="H68" s="214"/>
      <c r="I68" s="214"/>
      <c r="K68" s="85"/>
    </row>
    <row r="69" spans="1:13" s="110" customFormat="1" ht="23.1" customHeight="1" x14ac:dyDescent="0.35">
      <c r="A69" s="215" t="s">
        <v>90</v>
      </c>
      <c r="B69" s="215"/>
      <c r="C69" s="215"/>
      <c r="D69" s="215"/>
      <c r="E69" s="215"/>
      <c r="F69" s="215"/>
      <c r="G69" s="215"/>
      <c r="H69" s="215"/>
      <c r="I69" s="215"/>
    </row>
    <row r="70" spans="1:13" s="110" customFormat="1" ht="23.1" customHeight="1" x14ac:dyDescent="0.35">
      <c r="A70" s="80"/>
      <c r="B70" s="80"/>
      <c r="C70" s="80"/>
      <c r="D70" s="80"/>
      <c r="E70" s="80"/>
      <c r="F70" s="80"/>
      <c r="G70" s="79"/>
      <c r="H70" s="80"/>
      <c r="I70" s="80"/>
    </row>
    <row r="71" spans="1:13" s="110" customFormat="1" ht="23.1" customHeight="1" x14ac:dyDescent="0.35">
      <c r="A71" s="81" t="s">
        <v>1</v>
      </c>
      <c r="B71" s="82">
        <v>46296</v>
      </c>
      <c r="C71" s="81" t="s">
        <v>2</v>
      </c>
      <c r="D71" s="216" t="s">
        <v>3</v>
      </c>
      <c r="E71" s="218" t="s">
        <v>4</v>
      </c>
      <c r="F71" s="218" t="s">
        <v>5</v>
      </c>
      <c r="G71" s="219" t="s">
        <v>6</v>
      </c>
      <c r="H71" s="218" t="s">
        <v>7</v>
      </c>
      <c r="I71" s="218" t="s">
        <v>8</v>
      </c>
    </row>
    <row r="72" spans="1:13" s="110" customFormat="1" ht="23.1" customHeight="1" x14ac:dyDescent="0.35">
      <c r="A72" s="81" t="s">
        <v>9</v>
      </c>
      <c r="B72" s="81" t="s">
        <v>10</v>
      </c>
      <c r="C72" s="84" t="s">
        <v>11</v>
      </c>
      <c r="D72" s="217"/>
      <c r="E72" s="219"/>
      <c r="F72" s="219"/>
      <c r="G72" s="220"/>
      <c r="H72" s="219"/>
      <c r="I72" s="219"/>
    </row>
    <row r="73" spans="1:13" s="85" customFormat="1" ht="28.5" customHeight="1" x14ac:dyDescent="0.5">
      <c r="A73" s="87" t="s">
        <v>24</v>
      </c>
      <c r="B73" s="88"/>
      <c r="C73" s="89"/>
      <c r="D73" s="90"/>
      <c r="E73" s="218" t="s">
        <v>12</v>
      </c>
      <c r="F73" s="218"/>
      <c r="G73" s="143">
        <v>0</v>
      </c>
      <c r="H73" s="142">
        <v>389401.42999999993</v>
      </c>
      <c r="I73" s="142">
        <v>16699584.869999997</v>
      </c>
    </row>
    <row r="74" spans="1:13" s="62" customFormat="1" ht="23.1" customHeight="1" x14ac:dyDescent="0.4">
      <c r="A74" s="75"/>
      <c r="B74" s="14">
        <v>5</v>
      </c>
      <c r="C74" s="25" t="s">
        <v>91</v>
      </c>
      <c r="D74" s="27">
        <v>10718743</v>
      </c>
      <c r="E74" s="140" t="s">
        <v>92</v>
      </c>
      <c r="F74" s="141" t="s">
        <v>74</v>
      </c>
      <c r="G74" s="95"/>
      <c r="H74" s="28">
        <v>11000</v>
      </c>
      <c r="I74" s="96"/>
    </row>
    <row r="75" spans="1:13" s="62" customFormat="1" ht="23.1" customHeight="1" x14ac:dyDescent="0.35">
      <c r="A75" s="75"/>
      <c r="B75" s="14">
        <v>12</v>
      </c>
      <c r="C75" s="25" t="s">
        <v>93</v>
      </c>
      <c r="D75" s="27"/>
      <c r="E75" s="75" t="s">
        <v>95</v>
      </c>
      <c r="F75" s="75" t="s">
        <v>44</v>
      </c>
      <c r="G75" s="95"/>
      <c r="H75" s="28">
        <v>900.77</v>
      </c>
      <c r="I75" s="96"/>
    </row>
    <row r="76" spans="1:13" s="62" customFormat="1" ht="23.1" customHeight="1" x14ac:dyDescent="0.35">
      <c r="A76" s="75"/>
      <c r="B76" s="14"/>
      <c r="C76" s="25" t="s">
        <v>94</v>
      </c>
      <c r="D76" s="27"/>
      <c r="E76" s="75" t="s">
        <v>96</v>
      </c>
      <c r="F76" s="75" t="s">
        <v>44</v>
      </c>
      <c r="G76" s="95"/>
      <c r="H76" s="28">
        <v>171.34</v>
      </c>
      <c r="I76" s="96"/>
    </row>
    <row r="77" spans="1:13" s="110" customFormat="1" ht="23.1" customHeight="1" x14ac:dyDescent="0.35">
      <c r="A77" s="92"/>
      <c r="B77" s="92"/>
      <c r="C77" s="92"/>
      <c r="D77" s="83"/>
      <c r="E77" s="219" t="s">
        <v>13</v>
      </c>
      <c r="F77" s="219"/>
      <c r="G77" s="98">
        <f>SUM(G74:G76)</f>
        <v>0</v>
      </c>
      <c r="H77" s="98">
        <f>SUM(H74:H76)</f>
        <v>12072.11</v>
      </c>
      <c r="I77" s="98">
        <f>+I73+G77-H77</f>
        <v>16687512.759999998</v>
      </c>
      <c r="K77" s="116" t="s">
        <v>23</v>
      </c>
      <c r="L77" s="116" t="s">
        <v>17</v>
      </c>
    </row>
    <row r="78" spans="1:13" s="110" customFormat="1" ht="23.1" customHeight="1" x14ac:dyDescent="0.35">
      <c r="A78" s="92"/>
      <c r="B78" s="92"/>
      <c r="C78" s="92"/>
      <c r="D78" s="83"/>
      <c r="E78" s="218" t="s">
        <v>15</v>
      </c>
      <c r="F78" s="218"/>
      <c r="G78" s="130">
        <f>+G73+G77</f>
        <v>0</v>
      </c>
      <c r="H78" s="130">
        <f>+H73+H77</f>
        <v>401473.53999999992</v>
      </c>
      <c r="I78" s="130">
        <f>+I6+G78-H78</f>
        <v>16687512.759999998</v>
      </c>
      <c r="J78" s="110">
        <f>+I77-I78</f>
        <v>0</v>
      </c>
      <c r="K78" s="110" t="e">
        <f>+[1]แยกประเภทเงินบำรุง!G110+'ศูนย์แพทย์เงินบำรุง44-3 รายวัน'!#REF!-'ศูนย์แพทย์เงินบำรุง44-3 รายวัน'!H77</f>
        <v>#REF!</v>
      </c>
      <c r="L78" s="110" t="e">
        <f>+[1]แยกประเภทเงินบำรุง!G104+[1]แยกประเภทเงินบำรุง!G107+[1]แยกประเภทเงินบำรุง!G109</f>
        <v>#REF!</v>
      </c>
      <c r="M78" s="110" t="e">
        <f>+K78-L78</f>
        <v>#REF!</v>
      </c>
    </row>
    <row r="79" spans="1:13" s="110" customFormat="1" ht="23.1" customHeight="1" x14ac:dyDescent="0.35">
      <c r="D79" s="123"/>
      <c r="G79" s="124"/>
      <c r="I79" s="125"/>
    </row>
    <row r="80" spans="1:13" s="110" customFormat="1" ht="23.1" customHeight="1" x14ac:dyDescent="0.35">
      <c r="A80" s="214" t="s">
        <v>0</v>
      </c>
      <c r="B80" s="214"/>
      <c r="C80" s="214"/>
      <c r="D80" s="214"/>
      <c r="E80" s="214"/>
      <c r="F80" s="214"/>
      <c r="G80" s="214"/>
      <c r="H80" s="214"/>
      <c r="I80" s="214"/>
      <c r="K80" s="85"/>
    </row>
    <row r="81" spans="1:13" s="110" customFormat="1" ht="23.1" customHeight="1" x14ac:dyDescent="0.35">
      <c r="A81" s="215" t="s">
        <v>109</v>
      </c>
      <c r="B81" s="215"/>
      <c r="C81" s="215"/>
      <c r="D81" s="215"/>
      <c r="E81" s="215"/>
      <c r="F81" s="215"/>
      <c r="G81" s="215"/>
      <c r="H81" s="215"/>
      <c r="I81" s="215"/>
    </row>
    <row r="82" spans="1:13" s="110" customFormat="1" ht="23.1" customHeight="1" x14ac:dyDescent="0.35">
      <c r="A82" s="80"/>
      <c r="B82" s="80"/>
      <c r="C82" s="80"/>
      <c r="D82" s="80"/>
      <c r="E82" s="80"/>
      <c r="F82" s="80"/>
      <c r="G82" s="79"/>
      <c r="H82" s="80"/>
      <c r="I82" s="80"/>
    </row>
    <row r="83" spans="1:13" s="110" customFormat="1" ht="23.1" customHeight="1" x14ac:dyDescent="0.35">
      <c r="A83" s="81" t="s">
        <v>1</v>
      </c>
      <c r="B83" s="82">
        <v>46296</v>
      </c>
      <c r="C83" s="81" t="s">
        <v>2</v>
      </c>
      <c r="D83" s="216" t="s">
        <v>3</v>
      </c>
      <c r="E83" s="218" t="s">
        <v>4</v>
      </c>
      <c r="F83" s="218" t="s">
        <v>5</v>
      </c>
      <c r="G83" s="219" t="s">
        <v>6</v>
      </c>
      <c r="H83" s="218" t="s">
        <v>7</v>
      </c>
      <c r="I83" s="218" t="s">
        <v>8</v>
      </c>
    </row>
    <row r="84" spans="1:13" s="110" customFormat="1" ht="23.1" customHeight="1" x14ac:dyDescent="0.35">
      <c r="A84" s="81" t="s">
        <v>9</v>
      </c>
      <c r="B84" s="81" t="s">
        <v>10</v>
      </c>
      <c r="C84" s="84" t="s">
        <v>11</v>
      </c>
      <c r="D84" s="217"/>
      <c r="E84" s="219"/>
      <c r="F84" s="219"/>
      <c r="G84" s="220"/>
      <c r="H84" s="219"/>
      <c r="I84" s="219"/>
    </row>
    <row r="85" spans="1:13" s="85" customFormat="1" ht="24.75" customHeight="1" x14ac:dyDescent="0.35">
      <c r="A85" s="111" t="s">
        <v>26</v>
      </c>
      <c r="B85" s="112"/>
      <c r="C85" s="89"/>
      <c r="D85" s="90"/>
      <c r="E85" s="218" t="s">
        <v>12</v>
      </c>
      <c r="F85" s="218"/>
      <c r="G85" s="130">
        <v>0</v>
      </c>
      <c r="H85" s="130">
        <v>401473.53999999992</v>
      </c>
      <c r="I85" s="130">
        <v>16687512.759999998</v>
      </c>
    </row>
    <row r="86" spans="1:13" s="85" customFormat="1" ht="24.75" customHeight="1" x14ac:dyDescent="0.4">
      <c r="A86" s="146"/>
      <c r="B86" s="14">
        <v>9</v>
      </c>
      <c r="C86" s="25" t="s">
        <v>98</v>
      </c>
      <c r="D86" s="27">
        <v>10718746</v>
      </c>
      <c r="E86" s="145" t="s">
        <v>99</v>
      </c>
      <c r="F86" s="141" t="s">
        <v>100</v>
      </c>
      <c r="G86" s="147"/>
      <c r="H86" s="26">
        <v>36432</v>
      </c>
      <c r="I86" s="147"/>
    </row>
    <row r="87" spans="1:13" s="85" customFormat="1" ht="24.75" customHeight="1" x14ac:dyDescent="0.4">
      <c r="A87" s="146"/>
      <c r="B87" s="14">
        <v>25</v>
      </c>
      <c r="C87" s="25" t="s">
        <v>102</v>
      </c>
      <c r="D87" s="27">
        <v>10718749</v>
      </c>
      <c r="E87" s="179" t="s">
        <v>103</v>
      </c>
      <c r="F87" s="141" t="s">
        <v>104</v>
      </c>
      <c r="G87" s="147"/>
      <c r="H87" s="28">
        <v>69858.36</v>
      </c>
      <c r="I87" s="180"/>
    </row>
    <row r="88" spans="1:13" s="85" customFormat="1" ht="24.75" customHeight="1" x14ac:dyDescent="0.4">
      <c r="A88" s="146"/>
      <c r="B88" s="14">
        <v>29</v>
      </c>
      <c r="C88" s="25" t="s">
        <v>106</v>
      </c>
      <c r="D88" s="27">
        <v>10718750</v>
      </c>
      <c r="E88" s="145" t="s">
        <v>107</v>
      </c>
      <c r="F88" s="141" t="s">
        <v>56</v>
      </c>
      <c r="G88" s="147"/>
      <c r="H88" s="28">
        <v>27242.97</v>
      </c>
      <c r="I88" s="147"/>
    </row>
    <row r="89" spans="1:13" s="62" customFormat="1" ht="23.1" customHeight="1" x14ac:dyDescent="0.35">
      <c r="A89" s="114"/>
      <c r="B89" s="97"/>
      <c r="C89" s="97"/>
      <c r="D89" s="86"/>
      <c r="E89" s="219" t="s">
        <v>13</v>
      </c>
      <c r="F89" s="219"/>
      <c r="G89" s="98">
        <f>SUM(G86:G88)</f>
        <v>0</v>
      </c>
      <c r="H89" s="98">
        <f>SUM(H86:H88)</f>
        <v>133533.33000000002</v>
      </c>
      <c r="I89" s="128">
        <f>+I85+G89-H89</f>
        <v>16553979.429999998</v>
      </c>
      <c r="K89" s="116" t="s">
        <v>25</v>
      </c>
      <c r="L89" s="116" t="s">
        <v>17</v>
      </c>
    </row>
    <row r="90" spans="1:13" s="110" customFormat="1" ht="23.1" customHeight="1" x14ac:dyDescent="0.35">
      <c r="A90" s="92"/>
      <c r="B90" s="92"/>
      <c r="C90" s="92"/>
      <c r="D90" s="83"/>
      <c r="E90" s="218" t="s">
        <v>15</v>
      </c>
      <c r="F90" s="218"/>
      <c r="G90" s="130">
        <f>+G85+G89</f>
        <v>0</v>
      </c>
      <c r="H90" s="130">
        <f>+H85+H89</f>
        <v>535006.86999999988</v>
      </c>
      <c r="I90" s="113">
        <f>+I6+G90-H90</f>
        <v>16553979.429999998</v>
      </c>
      <c r="J90" s="110">
        <f>+I89-I90</f>
        <v>0</v>
      </c>
      <c r="K90" s="110" t="e">
        <f>+[1]แยกประเภทเงินบำรุง!G129+'ศูนย์แพทย์เงินบำรุง44-3 รายวัน'!#REF!-'ศูนย์แพทย์เงินบำรุง44-3 รายวัน'!H89</f>
        <v>#REF!</v>
      </c>
      <c r="L90" s="110" t="e">
        <f>+[1]แยกประเภทเงินบำรุง!G119+[1]แยกประเภทเงินบำรุง!G121+[1]แยกประเภทเงินบำรุง!G123+[1]แยกประเภทเงินบำรุง!G125+[1]แยกประเภทเงินบำรุง!G127</f>
        <v>#REF!</v>
      </c>
      <c r="M90" s="110" t="e">
        <f>+K90-L90</f>
        <v>#REF!</v>
      </c>
    </row>
    <row r="91" spans="1:13" s="110" customFormat="1" ht="23.1" customHeight="1" x14ac:dyDescent="0.35">
      <c r="D91" s="123"/>
      <c r="G91" s="124"/>
      <c r="I91" s="125"/>
    </row>
    <row r="92" spans="1:13" s="110" customFormat="1" ht="23.1" customHeight="1" x14ac:dyDescent="0.35">
      <c r="A92" s="214" t="s">
        <v>0</v>
      </c>
      <c r="B92" s="214"/>
      <c r="C92" s="214"/>
      <c r="D92" s="214"/>
      <c r="E92" s="214"/>
      <c r="F92" s="214"/>
      <c r="G92" s="214"/>
      <c r="H92" s="214"/>
      <c r="I92" s="214"/>
      <c r="K92" s="85"/>
    </row>
    <row r="93" spans="1:13" s="110" customFormat="1" ht="23.1" customHeight="1" x14ac:dyDescent="0.35">
      <c r="A93" s="215" t="s">
        <v>110</v>
      </c>
      <c r="B93" s="215"/>
      <c r="C93" s="215"/>
      <c r="D93" s="215"/>
      <c r="E93" s="215"/>
      <c r="F93" s="215"/>
      <c r="G93" s="215"/>
      <c r="H93" s="215"/>
      <c r="I93" s="215"/>
    </row>
    <row r="94" spans="1:13" s="110" customFormat="1" ht="23.1" customHeight="1" x14ac:dyDescent="0.35">
      <c r="A94" s="80"/>
      <c r="B94" s="80"/>
      <c r="C94" s="80"/>
      <c r="D94" s="80"/>
      <c r="E94" s="80"/>
      <c r="F94" s="80"/>
      <c r="G94" s="79"/>
      <c r="H94" s="80"/>
      <c r="I94" s="80"/>
    </row>
    <row r="95" spans="1:13" s="110" customFormat="1" ht="23.1" customHeight="1" x14ac:dyDescent="0.35">
      <c r="A95" s="81" t="s">
        <v>1</v>
      </c>
      <c r="B95" s="82">
        <v>46296</v>
      </c>
      <c r="C95" s="81" t="s">
        <v>2</v>
      </c>
      <c r="D95" s="216" t="s">
        <v>3</v>
      </c>
      <c r="E95" s="218" t="s">
        <v>4</v>
      </c>
      <c r="F95" s="218" t="s">
        <v>5</v>
      </c>
      <c r="G95" s="219" t="s">
        <v>6</v>
      </c>
      <c r="H95" s="218" t="s">
        <v>7</v>
      </c>
      <c r="I95" s="218" t="s">
        <v>8</v>
      </c>
    </row>
    <row r="96" spans="1:13" s="110" customFormat="1" ht="23.1" customHeight="1" x14ac:dyDescent="0.35">
      <c r="A96" s="81" t="s">
        <v>9</v>
      </c>
      <c r="B96" s="81" t="s">
        <v>10</v>
      </c>
      <c r="C96" s="84" t="s">
        <v>11</v>
      </c>
      <c r="D96" s="217"/>
      <c r="E96" s="219"/>
      <c r="F96" s="219"/>
      <c r="G96" s="220"/>
      <c r="H96" s="219"/>
      <c r="I96" s="219"/>
    </row>
    <row r="97" spans="1:12" s="85" customFormat="1" ht="25.5" customHeight="1" x14ac:dyDescent="0.35">
      <c r="A97" s="131" t="s">
        <v>27</v>
      </c>
      <c r="B97" s="112"/>
      <c r="C97" s="89"/>
      <c r="D97" s="90"/>
      <c r="E97" s="218" t="s">
        <v>12</v>
      </c>
      <c r="F97" s="218"/>
      <c r="G97" s="130">
        <v>0</v>
      </c>
      <c r="H97" s="113">
        <v>535006.86999999988</v>
      </c>
      <c r="I97" s="113">
        <v>16553979.429999998</v>
      </c>
    </row>
    <row r="98" spans="1:12" s="85" customFormat="1" ht="24.75" customHeight="1" x14ac:dyDescent="0.35">
      <c r="A98" s="131"/>
      <c r="B98" s="181">
        <v>14</v>
      </c>
      <c r="C98" s="155" t="s">
        <v>111</v>
      </c>
      <c r="D98" s="90"/>
      <c r="E98" s="182" t="s">
        <v>113</v>
      </c>
      <c r="F98" s="182" t="s">
        <v>44</v>
      </c>
      <c r="G98" s="130"/>
      <c r="H98" s="166">
        <v>257.01</v>
      </c>
      <c r="I98" s="113"/>
    </row>
    <row r="99" spans="1:12" s="85" customFormat="1" ht="24.75" customHeight="1" x14ac:dyDescent="0.35">
      <c r="A99" s="184"/>
      <c r="B99" s="88"/>
      <c r="C99" s="185" t="s">
        <v>112</v>
      </c>
      <c r="D99" s="186"/>
      <c r="E99" s="75" t="s">
        <v>114</v>
      </c>
      <c r="F99" s="75" t="s">
        <v>44</v>
      </c>
      <c r="G99" s="98"/>
      <c r="H99" s="187">
        <v>1073.6400000000001</v>
      </c>
      <c r="I99" s="128"/>
    </row>
    <row r="100" spans="1:12" s="85" customFormat="1" ht="22.5" customHeight="1" x14ac:dyDescent="0.35">
      <c r="A100" s="131"/>
      <c r="B100" s="112"/>
      <c r="C100" s="155"/>
      <c r="D100" s="90"/>
      <c r="E100" s="219" t="s">
        <v>13</v>
      </c>
      <c r="F100" s="219"/>
      <c r="G100" s="113">
        <f>SUM(G98:G99)</f>
        <v>0</v>
      </c>
      <c r="H100" s="130">
        <f>SUM(H98:H99)</f>
        <v>1330.65</v>
      </c>
      <c r="I100" s="113">
        <f>+I97+G100-H100</f>
        <v>16552648.779999997</v>
      </c>
    </row>
    <row r="101" spans="1:12" s="110" customFormat="1" ht="23.1" customHeight="1" x14ac:dyDescent="0.35">
      <c r="A101" s="92"/>
      <c r="B101" s="92"/>
      <c r="C101" s="92"/>
      <c r="D101" s="83"/>
      <c r="E101" s="218" t="s">
        <v>15</v>
      </c>
      <c r="F101" s="218"/>
      <c r="G101" s="130">
        <f>+G97+G100</f>
        <v>0</v>
      </c>
      <c r="H101" s="130">
        <f>+H97+H100</f>
        <v>536337.5199999999</v>
      </c>
      <c r="I101" s="130">
        <f>+I6+G101-H101</f>
        <v>16552648.779999997</v>
      </c>
    </row>
    <row r="102" spans="1:12" s="110" customFormat="1" ht="23.1" customHeight="1" x14ac:dyDescent="0.35">
      <c r="D102" s="123"/>
      <c r="G102" s="124"/>
      <c r="I102" s="125"/>
    </row>
    <row r="103" spans="1:12" s="110" customFormat="1" ht="23.1" customHeight="1" x14ac:dyDescent="0.35">
      <c r="A103" s="214" t="s">
        <v>0</v>
      </c>
      <c r="B103" s="214"/>
      <c r="C103" s="214"/>
      <c r="D103" s="214"/>
      <c r="E103" s="214"/>
      <c r="F103" s="214"/>
      <c r="G103" s="214"/>
      <c r="H103" s="214"/>
      <c r="I103" s="214"/>
      <c r="K103" s="85"/>
    </row>
    <row r="104" spans="1:12" s="110" customFormat="1" ht="23.1" customHeight="1" x14ac:dyDescent="0.35">
      <c r="A104" s="215" t="s">
        <v>43</v>
      </c>
      <c r="B104" s="215"/>
      <c r="C104" s="215"/>
      <c r="D104" s="215"/>
      <c r="E104" s="215"/>
      <c r="F104" s="215"/>
      <c r="G104" s="215"/>
      <c r="H104" s="215"/>
      <c r="I104" s="215"/>
    </row>
    <row r="105" spans="1:12" s="110" customFormat="1" ht="23.1" customHeight="1" x14ac:dyDescent="0.35">
      <c r="A105" s="80"/>
      <c r="B105" s="80"/>
      <c r="C105" s="80"/>
      <c r="D105" s="80"/>
      <c r="E105" s="80"/>
      <c r="F105" s="80"/>
      <c r="G105" s="79"/>
      <c r="H105" s="80"/>
      <c r="I105" s="80"/>
    </row>
    <row r="106" spans="1:12" s="110" customFormat="1" ht="23.1" customHeight="1" x14ac:dyDescent="0.35">
      <c r="A106" s="81" t="s">
        <v>1</v>
      </c>
      <c r="B106" s="82">
        <v>46296</v>
      </c>
      <c r="C106" s="81" t="s">
        <v>2</v>
      </c>
      <c r="D106" s="216" t="s">
        <v>3</v>
      </c>
      <c r="E106" s="218" t="s">
        <v>4</v>
      </c>
      <c r="F106" s="218" t="s">
        <v>5</v>
      </c>
      <c r="G106" s="219" t="s">
        <v>6</v>
      </c>
      <c r="H106" s="218" t="s">
        <v>7</v>
      </c>
      <c r="I106" s="218" t="s">
        <v>8</v>
      </c>
    </row>
    <row r="107" spans="1:12" s="110" customFormat="1" ht="23.1" customHeight="1" x14ac:dyDescent="0.35">
      <c r="A107" s="81" t="s">
        <v>9</v>
      </c>
      <c r="B107" s="81" t="s">
        <v>10</v>
      </c>
      <c r="C107" s="84" t="s">
        <v>11</v>
      </c>
      <c r="D107" s="217"/>
      <c r="E107" s="219"/>
      <c r="F107" s="219"/>
      <c r="G107" s="220"/>
      <c r="H107" s="219"/>
      <c r="I107" s="219"/>
    </row>
    <row r="108" spans="1:12" s="85" customFormat="1" ht="28.5" customHeight="1" x14ac:dyDescent="0.35">
      <c r="A108" s="132" t="s">
        <v>29</v>
      </c>
      <c r="B108" s="88"/>
      <c r="C108" s="89"/>
      <c r="D108" s="90"/>
      <c r="E108" s="218" t="s">
        <v>12</v>
      </c>
      <c r="F108" s="218"/>
      <c r="G108" s="149">
        <v>0</v>
      </c>
      <c r="H108" s="113">
        <v>536337.5199999999</v>
      </c>
      <c r="I108" s="113">
        <v>16552648.779999997</v>
      </c>
    </row>
    <row r="109" spans="1:12" s="62" customFormat="1" ht="23.1" customHeight="1" x14ac:dyDescent="0.45">
      <c r="A109" s="75"/>
      <c r="B109" s="14">
        <v>13</v>
      </c>
      <c r="C109" s="25" t="s">
        <v>115</v>
      </c>
      <c r="D109" s="27">
        <v>10718755</v>
      </c>
      <c r="E109" s="188" t="s">
        <v>116</v>
      </c>
      <c r="F109" s="25" t="s">
        <v>117</v>
      </c>
      <c r="G109" s="95"/>
      <c r="H109" s="28">
        <v>93810</v>
      </c>
      <c r="I109" s="96"/>
    </row>
    <row r="110" spans="1:12" s="110" customFormat="1" ht="23.1" customHeight="1" x14ac:dyDescent="0.35">
      <c r="A110" s="114"/>
      <c r="B110" s="97"/>
      <c r="C110" s="97"/>
      <c r="D110" s="86"/>
      <c r="E110" s="219" t="s">
        <v>13</v>
      </c>
      <c r="F110" s="219"/>
      <c r="G110" s="98">
        <f>SUM(G109:G109)</f>
        <v>0</v>
      </c>
      <c r="H110" s="98">
        <f>SUM(H109:H109)</f>
        <v>93810</v>
      </c>
      <c r="I110" s="98">
        <f>+I108+G110-H110</f>
        <v>16458838.779999997</v>
      </c>
      <c r="K110" s="116" t="s">
        <v>28</v>
      </c>
      <c r="L110" s="116" t="s">
        <v>17</v>
      </c>
    </row>
    <row r="111" spans="1:12" s="110" customFormat="1" ht="23.1" customHeight="1" x14ac:dyDescent="0.35">
      <c r="A111" s="92"/>
      <c r="B111" s="92"/>
      <c r="C111" s="92"/>
      <c r="D111" s="83"/>
      <c r="E111" s="218" t="s">
        <v>15</v>
      </c>
      <c r="F111" s="218"/>
      <c r="G111" s="130">
        <f>+G108+G110</f>
        <v>0</v>
      </c>
      <c r="H111" s="130">
        <f>+H108+H110</f>
        <v>630147.5199999999</v>
      </c>
      <c r="I111" s="130">
        <f>+I6+G111-H111</f>
        <v>16458838.779999997</v>
      </c>
      <c r="J111" s="110">
        <f>+I110-I111</f>
        <v>0</v>
      </c>
    </row>
    <row r="112" spans="1:12" s="110" customFormat="1" ht="23.1" customHeight="1" x14ac:dyDescent="0.35">
      <c r="D112" s="123"/>
      <c r="G112" s="124"/>
      <c r="I112" s="125"/>
    </row>
    <row r="113" spans="1:12" s="110" customFormat="1" ht="23.1" customHeight="1" x14ac:dyDescent="0.35">
      <c r="A113" s="214" t="s">
        <v>0</v>
      </c>
      <c r="B113" s="214"/>
      <c r="C113" s="214"/>
      <c r="D113" s="214"/>
      <c r="E113" s="214"/>
      <c r="F113" s="214"/>
      <c r="G113" s="214"/>
      <c r="H113" s="214"/>
      <c r="I113" s="214"/>
      <c r="K113" s="85"/>
    </row>
    <row r="114" spans="1:12" s="110" customFormat="1" ht="23.1" customHeight="1" x14ac:dyDescent="0.35">
      <c r="A114" s="215" t="s">
        <v>119</v>
      </c>
      <c r="B114" s="215"/>
      <c r="C114" s="215"/>
      <c r="D114" s="215"/>
      <c r="E114" s="215"/>
      <c r="F114" s="215"/>
      <c r="G114" s="215"/>
      <c r="H114" s="215"/>
      <c r="I114" s="215"/>
    </row>
    <row r="115" spans="1:12" s="110" customFormat="1" ht="23.1" customHeight="1" x14ac:dyDescent="0.35">
      <c r="A115" s="80"/>
      <c r="B115" s="80"/>
      <c r="C115" s="80"/>
      <c r="D115" s="80"/>
      <c r="E115" s="80"/>
      <c r="F115" s="80"/>
      <c r="G115" s="79"/>
      <c r="H115" s="80"/>
      <c r="I115" s="80"/>
    </row>
    <row r="116" spans="1:12" s="110" customFormat="1" ht="23.1" customHeight="1" x14ac:dyDescent="0.35">
      <c r="A116" s="81" t="s">
        <v>1</v>
      </c>
      <c r="B116" s="82">
        <v>46296</v>
      </c>
      <c r="C116" s="81" t="s">
        <v>2</v>
      </c>
      <c r="D116" s="216" t="s">
        <v>3</v>
      </c>
      <c r="E116" s="218" t="s">
        <v>4</v>
      </c>
      <c r="F116" s="218" t="s">
        <v>5</v>
      </c>
      <c r="G116" s="219" t="s">
        <v>6</v>
      </c>
      <c r="H116" s="218" t="s">
        <v>7</v>
      </c>
      <c r="I116" s="218" t="s">
        <v>8</v>
      </c>
    </row>
    <row r="117" spans="1:12" s="110" customFormat="1" ht="23.1" customHeight="1" x14ac:dyDescent="0.35">
      <c r="A117" s="81" t="s">
        <v>9</v>
      </c>
      <c r="B117" s="81" t="s">
        <v>10</v>
      </c>
      <c r="C117" s="84" t="s">
        <v>11</v>
      </c>
      <c r="D117" s="217"/>
      <c r="E117" s="219"/>
      <c r="F117" s="219"/>
      <c r="G117" s="220"/>
      <c r="H117" s="219"/>
      <c r="I117" s="219"/>
    </row>
    <row r="118" spans="1:12" s="85" customFormat="1" ht="28.5" customHeight="1" x14ac:dyDescent="0.35">
      <c r="A118" s="87" t="s">
        <v>31</v>
      </c>
      <c r="B118" s="88"/>
      <c r="C118" s="89"/>
      <c r="D118" s="90"/>
      <c r="E118" s="218" t="s">
        <v>12</v>
      </c>
      <c r="F118" s="218"/>
      <c r="G118" s="130">
        <v>0</v>
      </c>
      <c r="H118" s="130">
        <v>630147.5199999999</v>
      </c>
      <c r="I118" s="130">
        <v>16458838.779999997</v>
      </c>
    </row>
    <row r="119" spans="1:12" s="85" customFormat="1" ht="26.25" customHeight="1" x14ac:dyDescent="0.35">
      <c r="A119" s="146"/>
      <c r="B119" s="152">
        <v>1</v>
      </c>
      <c r="C119" s="54" t="s">
        <v>120</v>
      </c>
      <c r="D119" s="27">
        <v>10718751</v>
      </c>
      <c r="E119" s="228" t="s">
        <v>121</v>
      </c>
      <c r="F119" s="228" t="s">
        <v>56</v>
      </c>
      <c r="G119" s="147"/>
      <c r="H119" s="230">
        <v>9080.99</v>
      </c>
      <c r="I119" s="147"/>
    </row>
    <row r="120" spans="1:12" s="85" customFormat="1" ht="26.25" customHeight="1" x14ac:dyDescent="0.35">
      <c r="A120" s="146"/>
      <c r="B120" s="152"/>
      <c r="C120" s="54" t="s">
        <v>123</v>
      </c>
      <c r="D120" s="27">
        <v>10718754</v>
      </c>
      <c r="E120" s="228" t="s">
        <v>124</v>
      </c>
      <c r="F120" s="228" t="s">
        <v>56</v>
      </c>
      <c r="G120" s="147"/>
      <c r="H120" s="230">
        <v>9080.99</v>
      </c>
      <c r="I120" s="147"/>
    </row>
    <row r="121" spans="1:12" s="85" customFormat="1" ht="26.25" customHeight="1" x14ac:dyDescent="0.35">
      <c r="A121" s="146"/>
      <c r="B121" s="152">
        <v>11</v>
      </c>
      <c r="C121" s="54" t="s">
        <v>126</v>
      </c>
      <c r="D121" s="27">
        <v>10718760</v>
      </c>
      <c r="E121" s="25" t="s">
        <v>127</v>
      </c>
      <c r="F121" s="228" t="s">
        <v>128</v>
      </c>
      <c r="G121" s="147"/>
      <c r="H121" s="230">
        <v>98604</v>
      </c>
      <c r="I121" s="147"/>
    </row>
    <row r="122" spans="1:12" s="85" customFormat="1" ht="26.25" customHeight="1" x14ac:dyDescent="0.35">
      <c r="A122" s="146"/>
      <c r="B122" s="152">
        <v>14</v>
      </c>
      <c r="C122" s="54" t="s">
        <v>141</v>
      </c>
      <c r="D122" s="27">
        <v>10718756</v>
      </c>
      <c r="E122" s="75" t="s">
        <v>114</v>
      </c>
      <c r="F122" s="75" t="s">
        <v>44</v>
      </c>
      <c r="G122" s="147"/>
      <c r="H122" s="230">
        <v>885</v>
      </c>
      <c r="I122" s="147"/>
    </row>
    <row r="123" spans="1:12" s="85" customFormat="1" ht="26.25" customHeight="1" x14ac:dyDescent="0.35">
      <c r="A123" s="146"/>
      <c r="B123" s="152">
        <v>17</v>
      </c>
      <c r="C123" s="54" t="s">
        <v>130</v>
      </c>
      <c r="D123" s="27">
        <v>10718757</v>
      </c>
      <c r="E123" s="25" t="s">
        <v>131</v>
      </c>
      <c r="F123" s="228" t="s">
        <v>132</v>
      </c>
      <c r="G123" s="147"/>
      <c r="H123" s="230">
        <v>494352.58</v>
      </c>
      <c r="I123" s="147"/>
    </row>
    <row r="124" spans="1:12" s="85" customFormat="1" ht="26.25" customHeight="1" x14ac:dyDescent="0.35">
      <c r="A124" s="146"/>
      <c r="B124" s="227"/>
      <c r="C124" s="54" t="s">
        <v>134</v>
      </c>
      <c r="D124" s="27">
        <v>10718759</v>
      </c>
      <c r="E124" s="228" t="s">
        <v>135</v>
      </c>
      <c r="F124" s="228" t="s">
        <v>136</v>
      </c>
      <c r="G124" s="147"/>
      <c r="H124" s="230">
        <v>18020</v>
      </c>
      <c r="I124" s="147"/>
    </row>
    <row r="125" spans="1:12" s="85" customFormat="1" ht="26.25" customHeight="1" x14ac:dyDescent="0.35">
      <c r="A125" s="146"/>
      <c r="B125" s="148">
        <v>21</v>
      </c>
      <c r="C125" s="77" t="s">
        <v>138</v>
      </c>
      <c r="D125" s="159"/>
      <c r="E125" s="231" t="s">
        <v>139</v>
      </c>
      <c r="F125" s="231" t="s">
        <v>140</v>
      </c>
      <c r="G125" s="230">
        <v>2622930.12</v>
      </c>
      <c r="H125" s="147"/>
      <c r="I125" s="147"/>
    </row>
    <row r="126" spans="1:12" s="62" customFormat="1" ht="23.1" customHeight="1" x14ac:dyDescent="0.35">
      <c r="A126" s="114"/>
      <c r="B126" s="97"/>
      <c r="C126" s="97"/>
      <c r="D126" s="86"/>
      <c r="E126" s="219" t="s">
        <v>13</v>
      </c>
      <c r="F126" s="219"/>
      <c r="G126" s="98">
        <f>SUM(G119:G125)</f>
        <v>2622930.12</v>
      </c>
      <c r="H126" s="98">
        <f>SUM(H119:H125)</f>
        <v>630023.56000000006</v>
      </c>
      <c r="I126" s="98">
        <f>+I118+G126-H126</f>
        <v>18451745.34</v>
      </c>
      <c r="K126" s="116" t="s">
        <v>30</v>
      </c>
      <c r="L126" s="116" t="s">
        <v>17</v>
      </c>
    </row>
    <row r="127" spans="1:12" s="62" customFormat="1" ht="23.1" customHeight="1" x14ac:dyDescent="0.35">
      <c r="A127" s="92"/>
      <c r="B127" s="92"/>
      <c r="C127" s="92"/>
      <c r="D127" s="83"/>
      <c r="E127" s="218" t="s">
        <v>15</v>
      </c>
      <c r="F127" s="218"/>
      <c r="G127" s="130">
        <f>+G118+G126</f>
        <v>2622930.12</v>
      </c>
      <c r="H127" s="130">
        <f>+H118+H126</f>
        <v>1260171.08</v>
      </c>
      <c r="I127" s="130">
        <f>+I6+G127-H127</f>
        <v>18451745.339999996</v>
      </c>
      <c r="J127" s="62">
        <f>+I126-I127</f>
        <v>0</v>
      </c>
      <c r="K127" s="62" t="e">
        <f>+[1]แยกประเภทเงินบำรุง!G189+'ศูนย์แพทย์เงินบำรุง44-3 รายวัน'!#REF!-'ศูนย์แพทย์เงินบำรุง44-3 รายวัน'!H126</f>
        <v>#REF!</v>
      </c>
      <c r="L127" s="62" t="e">
        <f>+[1]แยกประเภทเงินบำรุง!G177+[1]แยกประเภทเงินบำรุง!G179+[1]แยกประเภทเงินบำรุง!G181+[1]แยกประเภทเงินบำรุง!G183+[1]แยกประเภทเงินบำรุง!G185+[1]แยกประเภทเงินบำรุง!G187</f>
        <v>#REF!</v>
      </c>
    </row>
    <row r="128" spans="1:12" s="110" customFormat="1" ht="23.1" customHeight="1" x14ac:dyDescent="0.35">
      <c r="D128" s="123"/>
      <c r="G128" s="124"/>
      <c r="I128" s="125"/>
    </row>
    <row r="129" spans="1:13" s="110" customFormat="1" ht="23.1" customHeight="1" x14ac:dyDescent="0.35">
      <c r="A129" s="214" t="s">
        <v>0</v>
      </c>
      <c r="B129" s="214"/>
      <c r="C129" s="214"/>
      <c r="D129" s="214"/>
      <c r="E129" s="214"/>
      <c r="F129" s="214"/>
      <c r="G129" s="214"/>
      <c r="H129" s="214"/>
      <c r="I129" s="214"/>
      <c r="K129" s="85"/>
    </row>
    <row r="130" spans="1:13" s="110" customFormat="1" ht="23.1" customHeight="1" x14ac:dyDescent="0.35">
      <c r="A130" s="215" t="s">
        <v>34</v>
      </c>
      <c r="B130" s="215"/>
      <c r="C130" s="215"/>
      <c r="D130" s="215"/>
      <c r="E130" s="215"/>
      <c r="F130" s="215"/>
      <c r="G130" s="215"/>
      <c r="H130" s="215"/>
      <c r="I130" s="215"/>
    </row>
    <row r="131" spans="1:13" s="110" customFormat="1" ht="23.1" customHeight="1" x14ac:dyDescent="0.35">
      <c r="A131" s="80"/>
      <c r="B131" s="80"/>
      <c r="C131" s="80"/>
      <c r="D131" s="80"/>
      <c r="E131" s="80"/>
      <c r="F131" s="80"/>
      <c r="G131" s="79"/>
      <c r="H131" s="80"/>
      <c r="I131" s="80"/>
    </row>
    <row r="132" spans="1:13" s="110" customFormat="1" ht="23.1" customHeight="1" x14ac:dyDescent="0.35">
      <c r="A132" s="81" t="s">
        <v>1</v>
      </c>
      <c r="B132" s="82">
        <v>45931</v>
      </c>
      <c r="C132" s="81" t="s">
        <v>2</v>
      </c>
      <c r="D132" s="216" t="s">
        <v>3</v>
      </c>
      <c r="E132" s="218" t="s">
        <v>4</v>
      </c>
      <c r="F132" s="218" t="s">
        <v>5</v>
      </c>
      <c r="G132" s="219" t="s">
        <v>6</v>
      </c>
      <c r="H132" s="218" t="s">
        <v>7</v>
      </c>
      <c r="I132" s="218" t="s">
        <v>8</v>
      </c>
    </row>
    <row r="133" spans="1:13" s="110" customFormat="1" ht="23.1" customHeight="1" x14ac:dyDescent="0.35">
      <c r="A133" s="81" t="s">
        <v>9</v>
      </c>
      <c r="B133" s="81" t="s">
        <v>10</v>
      </c>
      <c r="C133" s="84" t="s">
        <v>11</v>
      </c>
      <c r="D133" s="217"/>
      <c r="E133" s="219"/>
      <c r="F133" s="219"/>
      <c r="G133" s="220"/>
      <c r="H133" s="219"/>
      <c r="I133" s="219"/>
    </row>
    <row r="134" spans="1:13" s="85" customFormat="1" ht="28.5" customHeight="1" x14ac:dyDescent="0.35">
      <c r="A134" s="87" t="s">
        <v>31</v>
      </c>
      <c r="B134" s="88"/>
      <c r="C134" s="89"/>
      <c r="D134" s="90"/>
      <c r="E134" s="218" t="s">
        <v>12</v>
      </c>
      <c r="F134" s="218"/>
      <c r="G134" s="130">
        <v>0</v>
      </c>
      <c r="H134" s="130">
        <v>0</v>
      </c>
      <c r="I134" s="130">
        <v>0</v>
      </c>
    </row>
    <row r="135" spans="1:13" s="62" customFormat="1" ht="23.1" customHeight="1" x14ac:dyDescent="0.35">
      <c r="A135" s="75"/>
      <c r="B135" s="152"/>
      <c r="C135" s="54"/>
      <c r="D135" s="27"/>
      <c r="E135" s="25"/>
      <c r="F135" s="25"/>
      <c r="G135" s="95"/>
      <c r="H135" s="54"/>
      <c r="I135" s="96"/>
    </row>
    <row r="136" spans="1:13" s="62" customFormat="1" ht="23.1" customHeight="1" x14ac:dyDescent="0.35">
      <c r="A136" s="75"/>
      <c r="B136" s="152"/>
      <c r="C136" s="54"/>
      <c r="D136" s="27"/>
      <c r="E136" s="25"/>
      <c r="F136" s="25"/>
      <c r="G136" s="95"/>
      <c r="H136" s="54"/>
      <c r="I136" s="96"/>
    </row>
    <row r="137" spans="1:13" s="110" customFormat="1" ht="23.1" customHeight="1" x14ac:dyDescent="0.35">
      <c r="A137" s="114"/>
      <c r="B137" s="97"/>
      <c r="C137" s="97"/>
      <c r="D137" s="86"/>
      <c r="E137" s="219" t="s">
        <v>13</v>
      </c>
      <c r="F137" s="219"/>
      <c r="G137" s="98">
        <f>SUM(G135:G136)</f>
        <v>0</v>
      </c>
      <c r="H137" s="98">
        <f>SUM(H135:H136)</f>
        <v>0</v>
      </c>
      <c r="I137" s="98">
        <f>+I134+G137-H137</f>
        <v>0</v>
      </c>
      <c r="K137" s="116" t="s">
        <v>32</v>
      </c>
      <c r="L137" s="116" t="s">
        <v>17</v>
      </c>
    </row>
    <row r="138" spans="1:13" s="110" customFormat="1" ht="23.1" customHeight="1" x14ac:dyDescent="0.35">
      <c r="A138" s="92"/>
      <c r="B138" s="92"/>
      <c r="C138" s="92"/>
      <c r="D138" s="83"/>
      <c r="E138" s="218" t="s">
        <v>15</v>
      </c>
      <c r="F138" s="218"/>
      <c r="G138" s="130">
        <f>+G134+G137</f>
        <v>0</v>
      </c>
      <c r="H138" s="130">
        <f>+H134+H137</f>
        <v>0</v>
      </c>
      <c r="I138" s="130">
        <f>+I6+G138-H138</f>
        <v>17088986.299999997</v>
      </c>
      <c r="J138" s="110">
        <f>+I137-I138</f>
        <v>-17088986.299999997</v>
      </c>
      <c r="K138" s="110" t="e">
        <f>+[1]แยกประเภทเงินบำรุง!G209+'ศูนย์แพทย์เงินบำรุง44-3 รายวัน'!#REF!-'ศูนย์แพทย์เงินบำรุง44-3 รายวัน'!H137</f>
        <v>#REF!</v>
      </c>
      <c r="L138" s="110" t="e">
        <f>+[1]แยกประเภทเงินบำรุง!G198+[1]แยกประเภทเงินบำรุง!G200+[1]แยกประเภทเงินบำรุง!G202+[1]แยกประเภทเงินบำรุง!G204+[1]แยกประเภทเงินบำรุง!G206+[1]แยกประเภทเงินบำรุง!G208</f>
        <v>#REF!</v>
      </c>
      <c r="M138" s="110" t="e">
        <f>+K138-L138</f>
        <v>#REF!</v>
      </c>
    </row>
    <row r="139" spans="1:13" s="110" customFormat="1" ht="23.1" customHeight="1" x14ac:dyDescent="0.35">
      <c r="D139" s="123"/>
      <c r="G139" s="124"/>
      <c r="I139" s="125"/>
    </row>
    <row r="140" spans="1:13" s="110" customFormat="1" ht="23.1" customHeight="1" x14ac:dyDescent="0.35">
      <c r="D140" s="123"/>
      <c r="G140" s="124"/>
      <c r="I140" s="125"/>
    </row>
    <row r="141" spans="1:13" s="110" customFormat="1" ht="23.1" customHeight="1" x14ac:dyDescent="0.35">
      <c r="D141" s="123"/>
      <c r="G141" s="124"/>
      <c r="I141" s="125"/>
    </row>
    <row r="142" spans="1:13" s="110" customFormat="1" ht="23.1" customHeight="1" x14ac:dyDescent="0.35">
      <c r="D142" s="123"/>
      <c r="G142" s="124"/>
      <c r="I142" s="125"/>
    </row>
    <row r="143" spans="1:13" s="110" customFormat="1" ht="23.1" customHeight="1" x14ac:dyDescent="0.35">
      <c r="D143" s="123"/>
      <c r="G143" s="124"/>
      <c r="I143" s="125"/>
    </row>
    <row r="144" spans="1:13" s="110" customFormat="1" ht="23.1" customHeight="1" x14ac:dyDescent="0.35">
      <c r="D144" s="123"/>
      <c r="G144" s="124"/>
      <c r="I144" s="125"/>
    </row>
    <row r="145" spans="4:11" s="110" customFormat="1" ht="23.1" customHeight="1" x14ac:dyDescent="0.35">
      <c r="D145" s="123"/>
      <c r="G145" s="124"/>
      <c r="I145" s="125"/>
    </row>
    <row r="146" spans="4:11" s="110" customFormat="1" ht="23.1" customHeight="1" x14ac:dyDescent="0.35">
      <c r="D146" s="123"/>
      <c r="G146" s="124"/>
      <c r="I146" s="125"/>
    </row>
    <row r="147" spans="4:11" s="110" customFormat="1" ht="23.1" customHeight="1" x14ac:dyDescent="0.35">
      <c r="D147" s="123"/>
      <c r="G147" s="124"/>
      <c r="I147" s="125"/>
    </row>
    <row r="148" spans="4:11" s="110" customFormat="1" ht="23.1" customHeight="1" x14ac:dyDescent="0.35">
      <c r="D148" s="123"/>
      <c r="G148" s="124"/>
      <c r="I148" s="125"/>
    </row>
    <row r="149" spans="4:11" s="110" customFormat="1" ht="23.1" customHeight="1" x14ac:dyDescent="0.35">
      <c r="D149" s="123"/>
      <c r="G149" s="124"/>
      <c r="I149" s="125"/>
    </row>
    <row r="150" spans="4:11" s="110" customFormat="1" ht="23.1" customHeight="1" x14ac:dyDescent="0.35">
      <c r="D150" s="123"/>
      <c r="G150" s="124"/>
      <c r="I150" s="125"/>
    </row>
    <row r="151" spans="4:11" s="110" customFormat="1" ht="23.1" customHeight="1" x14ac:dyDescent="0.35">
      <c r="D151" s="123"/>
      <c r="G151" s="124"/>
      <c r="I151" s="125"/>
    </row>
    <row r="152" spans="4:11" s="110" customFormat="1" ht="23.1" customHeight="1" x14ac:dyDescent="0.35">
      <c r="D152" s="123"/>
      <c r="G152" s="124"/>
      <c r="I152" s="125"/>
    </row>
    <row r="153" spans="4:11" s="110" customFormat="1" ht="23.1" customHeight="1" x14ac:dyDescent="0.35">
      <c r="D153" s="123"/>
      <c r="G153" s="124"/>
      <c r="I153" s="125"/>
    </row>
    <row r="154" spans="4:11" s="110" customFormat="1" ht="23.1" customHeight="1" x14ac:dyDescent="0.35">
      <c r="D154" s="123"/>
      <c r="G154" s="124"/>
      <c r="I154" s="125"/>
    </row>
    <row r="155" spans="4:11" s="110" customFormat="1" ht="23.1" customHeight="1" x14ac:dyDescent="0.35">
      <c r="D155" s="123"/>
      <c r="G155" s="124"/>
      <c r="I155" s="125"/>
    </row>
    <row r="156" spans="4:11" s="110" customFormat="1" ht="23.1" customHeight="1" x14ac:dyDescent="0.35">
      <c r="D156" s="123"/>
      <c r="G156" s="124"/>
      <c r="I156" s="125"/>
    </row>
    <row r="157" spans="4:11" s="110" customFormat="1" ht="23.1" customHeight="1" x14ac:dyDescent="0.35">
      <c r="D157" s="123"/>
      <c r="G157" s="124"/>
      <c r="I157" s="125"/>
    </row>
    <row r="158" spans="4:11" ht="23.1" customHeight="1" x14ac:dyDescent="0.35">
      <c r="K158" s="110"/>
    </row>
  </sheetData>
  <mergeCells count="131">
    <mergeCell ref="D116:D117"/>
    <mergeCell ref="E116:E117"/>
    <mergeCell ref="F116:F117"/>
    <mergeCell ref="G116:G117"/>
    <mergeCell ref="H116:H117"/>
    <mergeCell ref="I116:I117"/>
    <mergeCell ref="I106:I107"/>
    <mergeCell ref="E108:F108"/>
    <mergeCell ref="E110:F110"/>
    <mergeCell ref="E111:F111"/>
    <mergeCell ref="A113:I113"/>
    <mergeCell ref="A114:I114"/>
    <mergeCell ref="I132:I133"/>
    <mergeCell ref="E134:F134"/>
    <mergeCell ref="E137:F137"/>
    <mergeCell ref="E138:F138"/>
    <mergeCell ref="E118:F118"/>
    <mergeCell ref="E126:F126"/>
    <mergeCell ref="E127:F127"/>
    <mergeCell ref="A129:I129"/>
    <mergeCell ref="A130:I130"/>
    <mergeCell ref="D132:D133"/>
    <mergeCell ref="E132:E133"/>
    <mergeCell ref="F132:F133"/>
    <mergeCell ref="G132:G133"/>
    <mergeCell ref="H132:H133"/>
    <mergeCell ref="E97:F97"/>
    <mergeCell ref="E101:F101"/>
    <mergeCell ref="A103:I103"/>
    <mergeCell ref="A104:I104"/>
    <mergeCell ref="D106:D107"/>
    <mergeCell ref="E106:E107"/>
    <mergeCell ref="F106:F107"/>
    <mergeCell ref="G106:G107"/>
    <mergeCell ref="H106:H107"/>
    <mergeCell ref="E100:F100"/>
    <mergeCell ref="D95:D96"/>
    <mergeCell ref="E95:E96"/>
    <mergeCell ref="F95:F96"/>
    <mergeCell ref="G95:G96"/>
    <mergeCell ref="H95:H96"/>
    <mergeCell ref="I95:I96"/>
    <mergeCell ref="I83:I84"/>
    <mergeCell ref="E85:F85"/>
    <mergeCell ref="E89:F89"/>
    <mergeCell ref="E90:F90"/>
    <mergeCell ref="A92:I92"/>
    <mergeCell ref="A93:I93"/>
    <mergeCell ref="E73:F73"/>
    <mergeCell ref="E77:F77"/>
    <mergeCell ref="E78:F78"/>
    <mergeCell ref="A80:I80"/>
    <mergeCell ref="A81:I81"/>
    <mergeCell ref="D83:D84"/>
    <mergeCell ref="E83:E84"/>
    <mergeCell ref="F83:F84"/>
    <mergeCell ref="G83:G84"/>
    <mergeCell ref="H83:H84"/>
    <mergeCell ref="D71:D72"/>
    <mergeCell ref="E71:E72"/>
    <mergeCell ref="F71:F72"/>
    <mergeCell ref="G71:G72"/>
    <mergeCell ref="H71:H72"/>
    <mergeCell ref="I71:I72"/>
    <mergeCell ref="I58:I59"/>
    <mergeCell ref="E60:F60"/>
    <mergeCell ref="E65:F65"/>
    <mergeCell ref="E66:F66"/>
    <mergeCell ref="A68:I68"/>
    <mergeCell ref="A69:I69"/>
    <mergeCell ref="E50:F50"/>
    <mergeCell ref="E53:F53"/>
    <mergeCell ref="A55:I55"/>
    <mergeCell ref="A56:I56"/>
    <mergeCell ref="D58:D59"/>
    <mergeCell ref="E58:E59"/>
    <mergeCell ref="F58:F59"/>
    <mergeCell ref="G58:G59"/>
    <mergeCell ref="H58:H59"/>
    <mergeCell ref="E52:F52"/>
    <mergeCell ref="D48:D49"/>
    <mergeCell ref="E48:E49"/>
    <mergeCell ref="F48:F49"/>
    <mergeCell ref="G48:G49"/>
    <mergeCell ref="H48:H49"/>
    <mergeCell ref="I48:I49"/>
    <mergeCell ref="I37:I38"/>
    <mergeCell ref="E39:F39"/>
    <mergeCell ref="E42:F42"/>
    <mergeCell ref="E43:F43"/>
    <mergeCell ref="A45:I45"/>
    <mergeCell ref="A46:I46"/>
    <mergeCell ref="E24:F24"/>
    <mergeCell ref="E31:F31"/>
    <mergeCell ref="E32:F32"/>
    <mergeCell ref="A34:I34"/>
    <mergeCell ref="A35:I35"/>
    <mergeCell ref="D37:D38"/>
    <mergeCell ref="E37:E38"/>
    <mergeCell ref="F37:F38"/>
    <mergeCell ref="G37:G38"/>
    <mergeCell ref="H37:H38"/>
    <mergeCell ref="E8:F8"/>
    <mergeCell ref="A11:I11"/>
    <mergeCell ref="A12:I12"/>
    <mergeCell ref="D14:D15"/>
    <mergeCell ref="E14:E15"/>
    <mergeCell ref="F14:F15"/>
    <mergeCell ref="G14:G15"/>
    <mergeCell ref="H14:H15"/>
    <mergeCell ref="D22:D23"/>
    <mergeCell ref="E22:E23"/>
    <mergeCell ref="F22:F23"/>
    <mergeCell ref="G22:G23"/>
    <mergeCell ref="H22:H23"/>
    <mergeCell ref="I22:I23"/>
    <mergeCell ref="I14:I15"/>
    <mergeCell ref="E16:F16"/>
    <mergeCell ref="E17:F17"/>
    <mergeCell ref="A19:I19"/>
    <mergeCell ref="A20:I20"/>
    <mergeCell ref="E9:F9"/>
    <mergeCell ref="A1:I1"/>
    <mergeCell ref="A2:I2"/>
    <mergeCell ref="D4:D5"/>
    <mergeCell ref="E4:E5"/>
    <mergeCell ref="F4:F5"/>
    <mergeCell ref="G4:G5"/>
    <mergeCell ref="H4:H5"/>
    <mergeCell ref="I4:I5"/>
    <mergeCell ref="E6:F6"/>
  </mergeCells>
  <phoneticPr fontId="10" type="noConversion"/>
  <pageMargins left="0.74803149606299213" right="0" top="0.98425196850393704" bottom="0.39370078740157483" header="0.51181102362204722" footer="0.51181102362204722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แยกประเภทเงินบำรุงศูนย์แพทย </vt:lpstr>
      <vt:lpstr>ศูนย์แพทย์เงินบำรุง44-3 รายวัน</vt:lpstr>
      <vt:lpstr>'แยกประเภทเงินบำรุงศูนย์แพทย '!Print_Area</vt:lpstr>
      <vt:lpstr>'ศูนย์แพทย์เงินบำรุง44-3 รายวัน'!Print_Area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suchadat</dc:creator>
  <cp:lastModifiedBy>วนัชภรณ์ ทับศึก</cp:lastModifiedBy>
  <cp:lastPrinted>2026-10-02T11:30:43Z</cp:lastPrinted>
  <dcterms:created xsi:type="dcterms:W3CDTF">2021-10-14T07:47:32Z</dcterms:created>
  <dcterms:modified xsi:type="dcterms:W3CDTF">2026-10-02T12:50:46Z</dcterms:modified>
</cp:coreProperties>
</file>