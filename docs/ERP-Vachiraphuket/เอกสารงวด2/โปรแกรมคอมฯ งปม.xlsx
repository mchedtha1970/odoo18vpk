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โปรแกรมคอม งปม." sheetId="1" r:id="rId1"/>
  </sheets>
  <definedNames>
    <definedName name="_xlnm.Print_Area" localSheetId="0">'โปรแกรมคอม งปม.'!$A$1:$H$13</definedName>
  </definedNames>
  <calcPr calcId="124519"/>
</workbook>
</file>

<file path=xl/calcChain.xml><?xml version="1.0" encoding="utf-8"?>
<calcChain xmlns="http://schemas.openxmlformats.org/spreadsheetml/2006/main">
  <c r="D35" i="1"/>
  <c r="E35"/>
  <c r="F35"/>
  <c r="G35"/>
  <c r="H35"/>
  <c r="D40"/>
  <c r="E40"/>
  <c r="F40"/>
  <c r="G40"/>
</calcChain>
</file>

<file path=xl/sharedStrings.xml><?xml version="1.0" encoding="utf-8"?>
<sst xmlns="http://schemas.openxmlformats.org/spreadsheetml/2006/main" count="72" uniqueCount="57">
  <si>
    <t>ครุภัณฑ์ประจำปี 69</t>
  </si>
  <si>
    <t>สุทธิ</t>
  </si>
  <si>
    <t>สะสม</t>
  </si>
  <si>
    <t>ประจำปี</t>
  </si>
  <si>
    <t>มูลค่ารวม</t>
  </si>
  <si>
    <t>7440-013-0001/8(68)</t>
  </si>
  <si>
    <t>Software:Microsoft Window 11 Pro</t>
  </si>
  <si>
    <t>7440-013-0001/7(68)</t>
  </si>
  <si>
    <t>โปรแกรมตรวจสอบข้อมูลของระบบเครือข่าย(Firewall)</t>
  </si>
  <si>
    <t>7440-013-0001/6(68)</t>
  </si>
  <si>
    <t>โปรแกรม Navicat Premium 17</t>
  </si>
  <si>
    <t>7440-013-0001/5(68)</t>
  </si>
  <si>
    <t>7440-013-0001/4(68)</t>
  </si>
  <si>
    <t>ซอฟแวร์สำรองและกู้คืนข้อมูล(Veeam)</t>
  </si>
  <si>
    <t>7440-013-0001/3(68)</t>
  </si>
  <si>
    <t>7440-013-0001/2(68)</t>
  </si>
  <si>
    <t>7440-013-0002/1(68)</t>
  </si>
  <si>
    <t>ระบบจัดการผลการตรวจหัวใจด้วยคลื่นเสียงสะท้อนความถี่สูงและจัดเก็บข้อมูลทางด้านหัวใจ</t>
  </si>
  <si>
    <t>7440-013-0006/12(68)</t>
  </si>
  <si>
    <t>ระบบบริหารจัดการรถพยาบาลแบบศูนย์รวมศูนย์</t>
  </si>
  <si>
    <t>7440-013-0006/11(68)</t>
  </si>
  <si>
    <t>7440-013-0006/10(68)</t>
  </si>
  <si>
    <t>7440-013-0006/9(68)</t>
  </si>
  <si>
    <t>7440-013-0006/8(68)</t>
  </si>
  <si>
    <t>7440-013-0006/7(68)</t>
  </si>
  <si>
    <t>7440-013-0006/6(68)</t>
  </si>
  <si>
    <t>7440-013-0006/5(68)</t>
  </si>
  <si>
    <t>7440-013-0006/4(68)</t>
  </si>
  <si>
    <t>7440-013-0006/3(68)</t>
  </si>
  <si>
    <t>7440-013-0006/2(68)</t>
  </si>
  <si>
    <t>7440-013-0006/1(68)</t>
  </si>
  <si>
    <t>โปรแกรม Hos XP</t>
  </si>
  <si>
    <t>7440-013-0002/6</t>
  </si>
  <si>
    <t>ชนิด 1300013 โปรแกรม window XP Profesessional</t>
  </si>
  <si>
    <t>7440-013-0002/5</t>
  </si>
  <si>
    <t>ชนิด 1300010 โปรแกรมระบบรักษาความปลอดภัยบนเน็ตเวิร์ค</t>
  </si>
  <si>
    <t>7440-013-0002/4</t>
  </si>
  <si>
    <t>ชนิด 1300009 โปรแกรมระบบป้องกันไวรัสคอมพิวเตอร์</t>
  </si>
  <si>
    <t>7440-013-0002/3</t>
  </si>
  <si>
    <t>ชนิด 1300008 โปรแกรมระบบบริหารงานเครื่องคอมพิวเตอร์ลูก</t>
  </si>
  <si>
    <t>7440-013-0002/2(51)</t>
  </si>
  <si>
    <t>ชนิด 1300019 Softwere Network Management System</t>
  </si>
  <si>
    <t>7440-013-0002/2</t>
  </si>
  <si>
    <t>ชนิด 1300004 โปรแกรมระบบปฏิบัติการเครือข่าย</t>
  </si>
  <si>
    <t>7440-013-0002/1(52)</t>
  </si>
  <si>
    <t>ชนิด 1300020 Software and installation</t>
  </si>
  <si>
    <t>7440-013-0002/1(51)</t>
  </si>
  <si>
    <t>ชนิด 1300018 โปรแกรม AAA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</si>
  <si>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</si>
  <si>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</si>
  <si>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</si>
  <si>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</si>
  <si>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</si>
  <si>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</si>
  <si>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</si>
  <si>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 xml:space="preserve">ประเภทครุภัณฑ์ โปรแกรมคอมพิวเตอร์ 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</si>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</sst>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4"/>
      <color theme="1"/>
      <name val="Angsana New"/>
      <family val="1"/>
    </font>
    <font>
      <sz val="10"/>
      <color indexed="8"/>
      <name val="Arial"/>
      <family val="2"/>
    </font>
    <font>
      <b/>
      <sz val="14"/>
      <name val="Angsana New"/>
      <family val="1"/>
    </font>
    <font>
      <b/>
      <sz val="16"/>
      <color indexed="8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43" fontId="3" fillId="0" borderId="0" xfId="1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43" fontId="2" fillId="0" borderId="2" xfId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5" fillId="0" borderId="2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2" xfId="2" applyFont="1" applyBorder="1" applyAlignment="1">
      <alignment shrinkToFit="1"/>
    </xf>
    <xf numFmtId="1" fontId="5" fillId="0" borderId="2" xfId="3" applyNumberFormat="1" applyFont="1" applyBorder="1" applyAlignment="1">
      <alignment shrinkToFit="1"/>
    </xf>
    <xf numFmtId="43" fontId="2" fillId="0" borderId="2" xfId="1" applyFont="1" applyFill="1" applyBorder="1"/>
    <xf numFmtId="0" fontId="5" fillId="0" borderId="2" xfId="2" applyFont="1" applyBorder="1" applyAlignment="1">
      <alignment shrinkToFit="1"/>
    </xf>
    <xf numFmtId="0" fontId="6" fillId="0" borderId="2" xfId="1" applyNumberFormat="1" applyFont="1" applyFill="1" applyBorder="1" applyAlignment="1">
      <alignment horizontal="center"/>
    </xf>
    <xf numFmtId="43" fontId="6" fillId="0" borderId="2" xfId="1" applyFont="1" applyFill="1" applyBorder="1"/>
    <xf numFmtId="0" fontId="8" fillId="0" borderId="2" xfId="4" applyFont="1" applyBorder="1" applyAlignment="1">
      <alignment horizontal="center" vertical="center"/>
    </xf>
    <xf numFmtId="0" fontId="8" fillId="0" borderId="2" xfId="5" applyFont="1" applyBorder="1" applyAlignment="1">
      <alignment horizontal="left" vertical="top"/>
    </xf>
    <xf numFmtId="0" fontId="5" fillId="0" borderId="2" xfId="6" applyFont="1" applyBorder="1" applyAlignment="1">
      <alignment horizontal="center"/>
    </xf>
    <xf numFmtId="43" fontId="5" fillId="0" borderId="2" xfId="1" applyFont="1" applyBorder="1"/>
    <xf numFmtId="0" fontId="5" fillId="0" borderId="2" xfId="6" applyFont="1" applyBorder="1"/>
    <xf numFmtId="0" fontId="2" fillId="0" borderId="2" xfId="1" applyNumberFormat="1" applyFont="1" applyFill="1" applyBorder="1" applyAlignment="1">
      <alignment horizontal="center"/>
    </xf>
    <xf numFmtId="43" fontId="9" fillId="2" borderId="2" xfId="1" applyFont="1" applyFill="1" applyBorder="1" applyAlignment="1">
      <alignment horizontal="center" vertical="top"/>
    </xf>
    <xf numFmtId="43" fontId="2" fillId="0" borderId="2" xfId="1" applyFont="1" applyBorder="1" applyAlignment="1">
      <alignment horizontal="center"/>
    </xf>
    <xf numFmtId="0" fontId="6" fillId="0" borderId="0" xfId="0" applyFont="1"/>
    <xf numFmtId="43" fontId="6" fillId="0" borderId="0" xfId="1" applyFont="1"/>
    <xf numFmtId="43" fontId="6" fillId="0" borderId="0" xfId="1" applyFont="1" applyFill="1" applyAlignment="1"/>
    <xf numFmtId="0" fontId="6" fillId="0" borderId="0" xfId="0" applyFont="1" applyAlignment="1">
      <alignment horizontal="center"/>
    </xf>
    <xf numFmtId="43" fontId="6" fillId="0" borderId="0" xfId="1" applyFont="1" applyFill="1" applyAlignment="1">
      <alignment horizontal="center"/>
    </xf>
    <xf numFmtId="43" fontId="6" fillId="0" borderId="0" xfId="1" applyFont="1" applyAlignment="1">
      <alignment horizontal="center"/>
    </xf>
    <xf numFmtId="0" fontId="6" fillId="0" borderId="0" xfId="0" applyFont="1" applyAlignment="1">
      <alignment horizontal="center"/>
    </xf>
  </cellXfs>
  <cellStyles count="13">
    <cellStyle name="Comma" xfId="1" builtinId="3"/>
    <cellStyle name="Comma 2" xfId="7"/>
    <cellStyle name="Comma 4" xfId="8"/>
    <cellStyle name="Comma 5" xfId="9"/>
    <cellStyle name="Normal" xfId="0" builtinId="0"/>
    <cellStyle name="Normal 2" xfId="10"/>
    <cellStyle name="เครื่องหมายจุลภาค 2" xfId="11"/>
    <cellStyle name="จุลภาค 2" xfId="3"/>
    <cellStyle name="จุลภาค 2 2" xfId="12"/>
    <cellStyle name="ปกติ 2" xfId="5"/>
    <cellStyle name="ปกติ 3" xfId="4"/>
    <cellStyle name="ปกติ 4" xfId="2"/>
    <cellStyle name="ปกติ 5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87018</xdr:colOff>
      <xdr:row>2</xdr:row>
      <xdr:rowOff>96702</xdr:rowOff>
    </xdr:from>
    <xdr:to>
      <xdr:col>0</xdr:col>
      <xdr:colOff>458492</xdr:colOff>
      <xdr:row>3</xdr:row>
      <xdr:rowOff>174355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018" y="458652"/>
          <a:ext cx="371474" cy="2586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dimension ref="A1:U40"/>
  <sheetViews>
    <sheetView tabSelected="1" zoomScaleSheetLayoutView="130" workbookViewId="0">
      <selection activeCell="A6" sqref="A6:A34"/>
    </sheetView>
  </sheetViews>
  <sheetFormatPr defaultColWidth="9" defaultRowHeight="23.25"/>
  <cols>
    <col min="1" max="1" width="7.125" style="1" customWidth="1"/>
    <col min="2" max="2" width="42.75" style="1" customWidth="1"/>
    <col min="3" max="3" width="21" style="3" customWidth="1"/>
    <col min="4" max="4" width="13.75" style="2" customWidth="1"/>
    <col min="5" max="5" width="11.75" style="1" customWidth="1"/>
    <col min="6" max="6" width="14.5" style="2" customWidth="1"/>
    <col min="7" max="7" width="12.625" style="2" customWidth="1"/>
    <col min="8" max="8" width="15.25" style="2" customWidth="1"/>
    <col min="9" max="16384" width="9" style="1"/>
  </cols>
  <sheetData>
    <row r="1" spans="1:8" s="27" customFormat="1" ht="15.75" customHeight="1">
      <c r="C1" s="30"/>
      <c r="D1" s="28"/>
      <c r="E1" s="29"/>
      <c r="F1" s="28"/>
      <c r="G1" s="28"/>
      <c r="H1" s="28"/>
    </row>
    <row r="2" spans="1:8" s="27" customFormat="1" ht="18.75" customHeight="1">
      <c r="A2" s="33" t="s">
        <v>56</v>
      </c>
      <c r="B2" s="33"/>
      <c r="C2" s="33"/>
      <c r="D2" s="33"/>
      <c r="E2" s="33"/>
      <c r="F2" s="28"/>
      <c r="G2" s="28"/>
      <c r="H2" s="28"/>
    </row>
    <row r="3" spans="1:8" s="27" customFormat="1" ht="21">
      <c r="A3" s="30"/>
      <c r="B3" s="30"/>
      <c r="C3" s="30"/>
      <c r="D3" s="32"/>
      <c r="E3" s="31"/>
      <c r="F3" s="28"/>
      <c r="G3" s="28"/>
      <c r="H3" s="28"/>
    </row>
    <row r="4" spans="1:8" s="27" customFormat="1" ht="21">
      <c r="B4" s="27" t="s">
        <v>55</v>
      </c>
      <c r="C4" s="30"/>
      <c r="D4" s="28"/>
      <c r="E4" s="29"/>
      <c r="F4" s="28"/>
      <c r="G4" s="28"/>
      <c r="H4" s="28"/>
    </row>
    <row r="5" spans="1:8">
      <c r="A5" s="9" t="s">
        <v>54</v>
      </c>
      <c r="B5" s="9" t="s">
        <v>53</v>
      </c>
      <c r="C5" s="9" t="s">
        <v>52</v>
      </c>
      <c r="D5" s="26" t="s">
        <v>4</v>
      </c>
      <c r="E5" s="9" t="s">
        <v>51</v>
      </c>
      <c r="F5" s="25" t="s">
        <v>50</v>
      </c>
      <c r="G5" s="25" t="s">
        <v>49</v>
      </c>
      <c r="H5" s="25" t="s">
        <v>48</v>
      </c>
    </row>
    <row r="6" spans="1:8">
      <c r="A6" s="9">
        <v>1</v>
      </c>
      <c r="B6" s="20" t="s">
        <v>47</v>
      </c>
      <c r="C6" s="19" t="s">
        <v>46</v>
      </c>
      <c r="D6" s="15">
        <v>191383.31</v>
      </c>
      <c r="E6" s="24">
        <v>3</v>
      </c>
      <c r="F6" s="8">
        <v>0</v>
      </c>
      <c r="G6" s="8">
        <v>191382.31</v>
      </c>
      <c r="H6" s="8">
        <v>1</v>
      </c>
    </row>
    <row r="7" spans="1:8">
      <c r="A7" s="9">
        <v>2</v>
      </c>
      <c r="B7" s="20" t="s">
        <v>45</v>
      </c>
      <c r="C7" s="19" t="s">
        <v>44</v>
      </c>
      <c r="D7" s="15">
        <v>38948</v>
      </c>
      <c r="E7" s="24">
        <v>3</v>
      </c>
      <c r="F7" s="8">
        <v>0</v>
      </c>
      <c r="G7" s="8">
        <v>38947</v>
      </c>
      <c r="H7" s="8">
        <v>1</v>
      </c>
    </row>
    <row r="8" spans="1:8">
      <c r="A8" s="9">
        <v>3</v>
      </c>
      <c r="B8" s="20" t="s">
        <v>43</v>
      </c>
      <c r="C8" s="19" t="s">
        <v>42</v>
      </c>
      <c r="D8" s="15">
        <v>74364</v>
      </c>
      <c r="E8" s="24">
        <v>3</v>
      </c>
      <c r="F8" s="8">
        <v>0</v>
      </c>
      <c r="G8" s="8">
        <v>74363</v>
      </c>
      <c r="H8" s="8">
        <v>1</v>
      </c>
    </row>
    <row r="9" spans="1:8">
      <c r="A9" s="9">
        <v>4</v>
      </c>
      <c r="B9" s="20" t="s">
        <v>41</v>
      </c>
      <c r="C9" s="19" t="s">
        <v>40</v>
      </c>
      <c r="D9" s="15">
        <v>264043</v>
      </c>
      <c r="E9" s="24">
        <v>3</v>
      </c>
      <c r="F9" s="8">
        <v>0</v>
      </c>
      <c r="G9" s="8">
        <v>264042</v>
      </c>
      <c r="H9" s="8">
        <v>1</v>
      </c>
    </row>
    <row r="10" spans="1:8">
      <c r="A10" s="9">
        <v>5</v>
      </c>
      <c r="B10" s="20" t="s">
        <v>39</v>
      </c>
      <c r="C10" s="19" t="s">
        <v>38</v>
      </c>
      <c r="D10" s="15">
        <v>85000</v>
      </c>
      <c r="E10" s="24">
        <v>3</v>
      </c>
      <c r="F10" s="8">
        <v>0</v>
      </c>
      <c r="G10" s="8">
        <v>84999</v>
      </c>
      <c r="H10" s="8">
        <v>1</v>
      </c>
    </row>
    <row r="11" spans="1:8">
      <c r="A11" s="9">
        <v>6</v>
      </c>
      <c r="B11" s="20" t="s">
        <v>37</v>
      </c>
      <c r="C11" s="19" t="s">
        <v>36</v>
      </c>
      <c r="D11" s="15">
        <v>115000</v>
      </c>
      <c r="E11" s="24">
        <v>3</v>
      </c>
      <c r="F11" s="8">
        <v>0</v>
      </c>
      <c r="G11" s="8">
        <v>114999</v>
      </c>
      <c r="H11" s="8">
        <v>1</v>
      </c>
    </row>
    <row r="12" spans="1:8">
      <c r="A12" s="9">
        <v>7</v>
      </c>
      <c r="B12" s="20" t="s">
        <v>35</v>
      </c>
      <c r="C12" s="19" t="s">
        <v>34</v>
      </c>
      <c r="D12" s="15">
        <v>17070</v>
      </c>
      <c r="E12" s="24">
        <v>3</v>
      </c>
      <c r="F12" s="8">
        <v>0</v>
      </c>
      <c r="G12" s="8">
        <v>17069</v>
      </c>
      <c r="H12" s="8">
        <v>1</v>
      </c>
    </row>
    <row r="13" spans="1:8">
      <c r="A13" s="9">
        <v>8</v>
      </c>
      <c r="B13" s="20" t="s">
        <v>33</v>
      </c>
      <c r="C13" s="19" t="s">
        <v>32</v>
      </c>
      <c r="D13" s="15">
        <v>7490</v>
      </c>
      <c r="E13" s="24">
        <v>3</v>
      </c>
      <c r="F13" s="8">
        <v>0</v>
      </c>
      <c r="G13" s="8">
        <v>7489</v>
      </c>
      <c r="H13" s="8">
        <v>1</v>
      </c>
    </row>
    <row r="14" spans="1:8">
      <c r="A14" s="9">
        <v>9</v>
      </c>
      <c r="B14" s="23" t="s">
        <v>31</v>
      </c>
      <c r="C14" s="21"/>
      <c r="D14" s="22">
        <v>16000000</v>
      </c>
      <c r="E14" s="21">
        <v>3</v>
      </c>
      <c r="F14" s="8">
        <v>0</v>
      </c>
      <c r="G14" s="8">
        <v>15999999</v>
      </c>
      <c r="H14" s="8">
        <v>1</v>
      </c>
    </row>
    <row r="15" spans="1:8">
      <c r="A15" s="9">
        <v>10</v>
      </c>
      <c r="B15" s="20" t="s">
        <v>19</v>
      </c>
      <c r="C15" s="19" t="s">
        <v>30</v>
      </c>
      <c r="D15" s="18">
        <v>1</v>
      </c>
      <c r="E15" s="17">
        <v>3</v>
      </c>
      <c r="F15" s="8">
        <v>0</v>
      </c>
      <c r="G15" s="8">
        <v>0</v>
      </c>
      <c r="H15" s="8">
        <v>1</v>
      </c>
    </row>
    <row r="16" spans="1:8">
      <c r="A16" s="9">
        <v>11</v>
      </c>
      <c r="B16" s="20" t="s">
        <v>19</v>
      </c>
      <c r="C16" s="19" t="s">
        <v>29</v>
      </c>
      <c r="D16" s="18">
        <v>1</v>
      </c>
      <c r="E16" s="17">
        <v>3</v>
      </c>
      <c r="F16" s="8">
        <v>0</v>
      </c>
      <c r="G16" s="8">
        <v>0</v>
      </c>
      <c r="H16" s="8">
        <v>1</v>
      </c>
    </row>
    <row r="17" spans="1:8">
      <c r="A17" s="9">
        <v>12</v>
      </c>
      <c r="B17" s="20" t="s">
        <v>19</v>
      </c>
      <c r="C17" s="19" t="s">
        <v>28</v>
      </c>
      <c r="D17" s="18">
        <v>1</v>
      </c>
      <c r="E17" s="17">
        <v>3</v>
      </c>
      <c r="F17" s="8">
        <v>0</v>
      </c>
      <c r="G17" s="8">
        <v>0</v>
      </c>
      <c r="H17" s="8">
        <v>1</v>
      </c>
    </row>
    <row r="18" spans="1:8">
      <c r="A18" s="9">
        <v>13</v>
      </c>
      <c r="B18" s="20" t="s">
        <v>19</v>
      </c>
      <c r="C18" s="19" t="s">
        <v>27</v>
      </c>
      <c r="D18" s="18">
        <v>1</v>
      </c>
      <c r="E18" s="17">
        <v>3</v>
      </c>
      <c r="F18" s="8">
        <v>0</v>
      </c>
      <c r="G18" s="8">
        <v>0</v>
      </c>
      <c r="H18" s="8">
        <v>1</v>
      </c>
    </row>
    <row r="19" spans="1:8">
      <c r="A19" s="9">
        <v>14</v>
      </c>
      <c r="B19" s="20" t="s">
        <v>19</v>
      </c>
      <c r="C19" s="19" t="s">
        <v>26</v>
      </c>
      <c r="D19" s="18">
        <v>1</v>
      </c>
      <c r="E19" s="17">
        <v>3</v>
      </c>
      <c r="F19" s="8">
        <v>0</v>
      </c>
      <c r="G19" s="8">
        <v>0</v>
      </c>
      <c r="H19" s="8">
        <v>1</v>
      </c>
    </row>
    <row r="20" spans="1:8">
      <c r="A20" s="9">
        <v>15</v>
      </c>
      <c r="B20" s="20" t="s">
        <v>19</v>
      </c>
      <c r="C20" s="19" t="s">
        <v>25</v>
      </c>
      <c r="D20" s="18">
        <v>1</v>
      </c>
      <c r="E20" s="17">
        <v>3</v>
      </c>
      <c r="F20" s="8">
        <v>0</v>
      </c>
      <c r="G20" s="8">
        <v>0</v>
      </c>
      <c r="H20" s="8">
        <v>1</v>
      </c>
    </row>
    <row r="21" spans="1:8">
      <c r="A21" s="9">
        <v>16</v>
      </c>
      <c r="B21" s="20" t="s">
        <v>19</v>
      </c>
      <c r="C21" s="19" t="s">
        <v>24</v>
      </c>
      <c r="D21" s="18">
        <v>1</v>
      </c>
      <c r="E21" s="17">
        <v>3</v>
      </c>
      <c r="F21" s="8">
        <v>0</v>
      </c>
      <c r="G21" s="8">
        <v>0</v>
      </c>
      <c r="H21" s="8">
        <v>1</v>
      </c>
    </row>
    <row r="22" spans="1:8">
      <c r="A22" s="9">
        <v>17</v>
      </c>
      <c r="B22" s="20" t="s">
        <v>19</v>
      </c>
      <c r="C22" s="19" t="s">
        <v>23</v>
      </c>
      <c r="D22" s="18">
        <v>1</v>
      </c>
      <c r="E22" s="17">
        <v>3</v>
      </c>
      <c r="F22" s="8">
        <v>0</v>
      </c>
      <c r="G22" s="8">
        <v>0</v>
      </c>
      <c r="H22" s="8">
        <v>1</v>
      </c>
    </row>
    <row r="23" spans="1:8">
      <c r="A23" s="9">
        <v>18</v>
      </c>
      <c r="B23" s="20" t="s">
        <v>19</v>
      </c>
      <c r="C23" s="19" t="s">
        <v>22</v>
      </c>
      <c r="D23" s="18">
        <v>1</v>
      </c>
      <c r="E23" s="17">
        <v>3</v>
      </c>
      <c r="F23" s="8">
        <v>0</v>
      </c>
      <c r="G23" s="8">
        <v>0</v>
      </c>
      <c r="H23" s="8">
        <v>1</v>
      </c>
    </row>
    <row r="24" spans="1:8">
      <c r="A24" s="9">
        <v>19</v>
      </c>
      <c r="B24" s="20" t="s">
        <v>19</v>
      </c>
      <c r="C24" s="19" t="s">
        <v>21</v>
      </c>
      <c r="D24" s="18">
        <v>1</v>
      </c>
      <c r="E24" s="17">
        <v>3</v>
      </c>
      <c r="F24" s="8">
        <v>0</v>
      </c>
      <c r="G24" s="8">
        <v>0</v>
      </c>
      <c r="H24" s="8">
        <v>1</v>
      </c>
    </row>
    <row r="25" spans="1:8">
      <c r="A25" s="9">
        <v>20</v>
      </c>
      <c r="B25" s="20" t="s">
        <v>19</v>
      </c>
      <c r="C25" s="19" t="s">
        <v>20</v>
      </c>
      <c r="D25" s="18">
        <v>1</v>
      </c>
      <c r="E25" s="17">
        <v>3</v>
      </c>
      <c r="F25" s="8">
        <v>0</v>
      </c>
      <c r="G25" s="8">
        <v>0</v>
      </c>
      <c r="H25" s="8">
        <v>1</v>
      </c>
    </row>
    <row r="26" spans="1:8">
      <c r="A26" s="9">
        <v>21</v>
      </c>
      <c r="B26" s="20" t="s">
        <v>19</v>
      </c>
      <c r="C26" s="19" t="s">
        <v>18</v>
      </c>
      <c r="D26" s="18">
        <v>1</v>
      </c>
      <c r="E26" s="17">
        <v>3</v>
      </c>
      <c r="F26" s="8">
        <v>0</v>
      </c>
      <c r="G26" s="8">
        <v>0</v>
      </c>
      <c r="H26" s="8">
        <v>1</v>
      </c>
    </row>
    <row r="27" spans="1:8">
      <c r="A27" s="9">
        <v>22</v>
      </c>
      <c r="B27" s="16" t="s">
        <v>17</v>
      </c>
      <c r="C27" s="12" t="s">
        <v>16</v>
      </c>
      <c r="D27" s="15">
        <v>1990000</v>
      </c>
      <c r="E27" s="11">
        <v>3</v>
      </c>
      <c r="F27" s="8">
        <v>663333.32999999996</v>
      </c>
      <c r="G27" s="8">
        <v>1216111.1299999999</v>
      </c>
      <c r="H27" s="8">
        <v>773888.87000000011</v>
      </c>
    </row>
    <row r="28" spans="1:8">
      <c r="A28" s="9">
        <v>23</v>
      </c>
      <c r="B28" s="13" t="s">
        <v>13</v>
      </c>
      <c r="C28" s="12" t="s">
        <v>15</v>
      </c>
      <c r="D28" s="8">
        <v>63840</v>
      </c>
      <c r="E28" s="11">
        <v>3</v>
      </c>
      <c r="F28" s="8">
        <v>21280</v>
      </c>
      <c r="G28" s="8">
        <v>37239.97</v>
      </c>
      <c r="H28" s="8">
        <v>26600.03</v>
      </c>
    </row>
    <row r="29" spans="1:8">
      <c r="A29" s="9">
        <v>24</v>
      </c>
      <c r="B29" s="13" t="s">
        <v>13</v>
      </c>
      <c r="C29" s="12" t="s">
        <v>14</v>
      </c>
      <c r="D29" s="8">
        <v>63840</v>
      </c>
      <c r="E29" s="11">
        <v>3</v>
      </c>
      <c r="F29" s="8">
        <v>21280</v>
      </c>
      <c r="G29" s="8">
        <v>37239.97</v>
      </c>
      <c r="H29" s="8">
        <v>26600.03</v>
      </c>
    </row>
    <row r="30" spans="1:8">
      <c r="A30" s="9">
        <v>25</v>
      </c>
      <c r="B30" s="13" t="s">
        <v>13</v>
      </c>
      <c r="C30" s="12" t="s">
        <v>12</v>
      </c>
      <c r="D30" s="8">
        <v>63840</v>
      </c>
      <c r="E30" s="11">
        <v>3</v>
      </c>
      <c r="F30" s="8">
        <v>21280</v>
      </c>
      <c r="G30" s="8">
        <v>37239.97</v>
      </c>
      <c r="H30" s="8">
        <v>26600.03</v>
      </c>
    </row>
    <row r="31" spans="1:8">
      <c r="A31" s="9">
        <v>26</v>
      </c>
      <c r="B31" s="13" t="s">
        <v>10</v>
      </c>
      <c r="C31" s="12" t="s">
        <v>11</v>
      </c>
      <c r="D31" s="8">
        <v>60990</v>
      </c>
      <c r="E31" s="11">
        <v>3</v>
      </c>
      <c r="F31" s="8">
        <v>20330</v>
      </c>
      <c r="G31" s="8">
        <v>33883.360000000001</v>
      </c>
      <c r="H31" s="8">
        <v>27106.639999999999</v>
      </c>
    </row>
    <row r="32" spans="1:8">
      <c r="A32" s="9">
        <v>27</v>
      </c>
      <c r="B32" s="13" t="s">
        <v>10</v>
      </c>
      <c r="C32" s="12" t="s">
        <v>9</v>
      </c>
      <c r="D32" s="8">
        <v>60990</v>
      </c>
      <c r="E32" s="11">
        <v>3</v>
      </c>
      <c r="F32" s="8">
        <v>20330</v>
      </c>
      <c r="G32" s="8">
        <v>33883.360000000001</v>
      </c>
      <c r="H32" s="8">
        <v>27106.639999999999</v>
      </c>
    </row>
    <row r="33" spans="1:8">
      <c r="A33" s="9">
        <v>28</v>
      </c>
      <c r="B33" s="14" t="s">
        <v>8</v>
      </c>
      <c r="C33" s="12" t="s">
        <v>7</v>
      </c>
      <c r="D33" s="8">
        <v>1897000</v>
      </c>
      <c r="E33" s="11">
        <v>3</v>
      </c>
      <c r="F33" s="8">
        <v>632333.32999999996</v>
      </c>
      <c r="G33" s="8">
        <v>1001194.4099999999</v>
      </c>
      <c r="H33" s="8">
        <v>895805.59000000008</v>
      </c>
    </row>
    <row r="34" spans="1:8">
      <c r="A34" s="9">
        <v>29</v>
      </c>
      <c r="B34" s="13" t="s">
        <v>6</v>
      </c>
      <c r="C34" s="12" t="s">
        <v>5</v>
      </c>
      <c r="D34" s="8">
        <v>820000</v>
      </c>
      <c r="E34" s="11">
        <v>3</v>
      </c>
      <c r="F34" s="8">
        <v>273333.33</v>
      </c>
      <c r="G34" s="8">
        <v>410000.01</v>
      </c>
      <c r="H34" s="8">
        <v>409999.99</v>
      </c>
    </row>
    <row r="35" spans="1:8">
      <c r="A35" s="10"/>
      <c r="B35" s="10"/>
      <c r="C35" s="9"/>
      <c r="D35" s="8">
        <f>SUM(D6:D34)</f>
        <v>21813810.309999999</v>
      </c>
      <c r="E35" s="8">
        <f>SUM(E6:E34)</f>
        <v>87</v>
      </c>
      <c r="F35" s="8">
        <f>SUM(F6:F34)</f>
        <v>1673499.99</v>
      </c>
      <c r="G35" s="8">
        <f>SUM(G6:G34)</f>
        <v>19600081.489999995</v>
      </c>
      <c r="H35" s="8">
        <f>SUM(H6:H34)</f>
        <v>2213728.8200000003</v>
      </c>
    </row>
    <row r="39" spans="1:8" ht="24" thickBot="1">
      <c r="D39" s="7" t="s">
        <v>4</v>
      </c>
      <c r="E39" s="6" t="s">
        <v>3</v>
      </c>
      <c r="F39" s="6" t="s">
        <v>2</v>
      </c>
      <c r="G39" s="6" t="s">
        <v>1</v>
      </c>
    </row>
    <row r="40" spans="1:8" ht="26.25" thickBot="1">
      <c r="C40" s="5" t="s">
        <v>0</v>
      </c>
      <c r="D40" s="4">
        <f>D35</f>
        <v>21813810.309999999</v>
      </c>
      <c r="E40" s="4">
        <f>F35</f>
        <v>1673499.99</v>
      </c>
      <c r="F40" s="4">
        <f>G35</f>
        <v>19600081.489999995</v>
      </c>
      <c r="G40" s="4">
        <f>H35</f>
        <v>2213728.8200000003</v>
      </c>
    </row>
  </sheetData>
  <mergeCells count="1">
    <mergeCell ref="A2:E2"/>
  </mergeCells>
  <pageMargins left="0.70866141732283472" right="0.70866141732283472" top="0.74803149606299213" bottom="0.74803149606299213" header="0.31496062992125984" footer="0.31496062992125984"/>
  <pageSetup paperSize="9" scale="95" fitToHeight="0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โปรแกรมคอม งปม.</vt:lpstr>
      <vt:lpstr>'โปรแกรมคอม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2026-10-08T07:21:31Z</dcterms:created>
  <dcterms:modified xsi:type="dcterms:W3CDTF">2026-10-08T07:22:10Z</dcterms:modified>
</cp:coreProperties>
</file>