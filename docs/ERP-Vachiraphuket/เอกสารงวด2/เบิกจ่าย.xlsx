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b\Desktop\"/>
    </mc:Choice>
  </mc:AlternateContent>
  <xr:revisionPtr revIDLastSave="0" documentId="8_{E53D9B27-FC00-401D-AD26-B27A6A6724CE}" xr6:coauthVersionLast="47" xr6:coauthVersionMax="47" xr10:uidLastSave="{00000000-0000-0000-0000-000000000000}"/>
  <bookViews>
    <workbookView xWindow="-120" yWindow="-120" windowWidth="24240" windowHeight="13140" xr2:uid="{4DFEF22F-F46A-446C-B51A-6974CD331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93" i="1" l="1"/>
  <c r="B794" i="1" s="1"/>
  <c r="F763" i="1"/>
  <c r="A764" i="1" s="1"/>
  <c r="F733" i="1"/>
  <c r="B734" i="1" s="1"/>
  <c r="F703" i="1"/>
  <c r="B704" i="1" s="1"/>
  <c r="F673" i="1"/>
  <c r="B674" i="1" s="1"/>
  <c r="B644" i="1"/>
  <c r="F613" i="1"/>
  <c r="B614" i="1" s="1"/>
  <c r="F583" i="1"/>
  <c r="B584" i="1" s="1"/>
  <c r="F553" i="1"/>
  <c r="B554" i="1" s="1"/>
  <c r="F522" i="1"/>
  <c r="B523" i="1" s="1"/>
  <c r="F492" i="1"/>
  <c r="B493" i="1" s="1"/>
  <c r="F461" i="1"/>
  <c r="B462" i="1" s="1"/>
  <c r="F430" i="1"/>
  <c r="A431" i="1" s="1"/>
  <c r="A393" i="1"/>
  <c r="F356" i="1"/>
  <c r="A357" i="1" s="1"/>
  <c r="F319" i="1"/>
  <c r="A320" i="1" s="1"/>
  <c r="B282" i="1"/>
  <c r="B246" i="1"/>
  <c r="B209" i="1"/>
  <c r="B178" i="1"/>
  <c r="B143" i="1"/>
  <c r="F111" i="1"/>
  <c r="B112" i="1" s="1"/>
  <c r="B80" i="1"/>
  <c r="F48" i="1"/>
  <c r="B49" i="1" s="1"/>
  <c r="F18" i="1"/>
  <c r="B19" i="1" s="1"/>
</calcChain>
</file>

<file path=xl/sharedStrings.xml><?xml version="1.0" encoding="utf-8"?>
<sst xmlns="http://schemas.openxmlformats.org/spreadsheetml/2006/main" count="675" uniqueCount="170">
  <si>
    <t>บันทึกข้อความ</t>
  </si>
  <si>
    <r>
      <t xml:space="preserve">ส่วนราชการ </t>
    </r>
    <r>
      <rPr>
        <sz val="16"/>
        <rFont val="AngsanaUPC"/>
        <family val="1"/>
      </rPr>
      <t xml:space="preserve"> กลุ่มงานการเงิน โรงพยาบาลวชิระภูเก็ต โทร. 0 7636 1234 ต่อ 6512 - 6515</t>
    </r>
  </si>
  <si>
    <r>
      <t xml:space="preserve">ที่  </t>
    </r>
    <r>
      <rPr>
        <sz val="16"/>
        <rFont val="AngsanaUPC"/>
        <family val="1"/>
      </rPr>
      <t>ภก 0033.201.5/</t>
    </r>
    <r>
      <rPr>
        <b/>
        <sz val="16"/>
        <rFont val="AngsanaUPC"/>
        <family val="1"/>
      </rPr>
      <t xml:space="preserve">                                                                 วันที่</t>
    </r>
  </si>
  <si>
    <r>
      <t xml:space="preserve">เรื่อง  </t>
    </r>
    <r>
      <rPr>
        <sz val="16"/>
        <rFont val="AngsanaUPC"/>
        <family val="1"/>
      </rPr>
      <t xml:space="preserve">ขออนุมัติเบิกจ่ายเงินอาคารหลวงพ่อแช่ม100 ปี รพ. วชิระภูเก็ต  </t>
    </r>
  </si>
  <si>
    <t xml:space="preserve">เรียน   ผู้อำนวยการโรงพยาบาลวชิระภูเก็ต  </t>
  </si>
  <si>
    <t xml:space="preserve">                            ขอส่งใบสำคัญค่าใช้จ่ายประจำวัน   เพื่อเบิกเงิน อาคารหลวงพ่อแช่ม100 ปี รพ. วชิระภูเก็ต  </t>
  </si>
  <si>
    <t>ลำดับที่</t>
  </si>
  <si>
    <t>บริษัท</t>
  </si>
  <si>
    <t>บิลเลขที่</t>
  </si>
  <si>
    <t>จำนวนเงิน</t>
  </si>
  <si>
    <t>บาท</t>
  </si>
  <si>
    <t>กรมสรรพากร</t>
  </si>
  <si>
    <t>ภ.ง.ด.3</t>
  </si>
  <si>
    <t>ภ.ง.ด.53</t>
  </si>
  <si>
    <t>รวมเป็นเงิน</t>
  </si>
  <si>
    <t xml:space="preserve">สำหรับใช้ในกิจการปฎิบัติการของโรงพยาบาลวชิระภูเก็ต โดยใช้เงิน อาคารหลวงพ่อแช่ม100 ปี รพ. วชิระภูเก็ต           </t>
  </si>
  <si>
    <t>ธนาคารกรุงไทยสาขาภูเก็ต เลขที่ 805-0-46767-8 พร้อมบันทึกได้แนบใบสำคัญเพื่อเบิกเงินจำนวน  ....2... ฉบับ</t>
  </si>
  <si>
    <t>เป็นเงินทั้งสิ้น 846.10 บาท</t>
  </si>
  <si>
    <t>จึงเรียนมาเพื่อโปรดพิจารณาอนุมัติ</t>
  </si>
  <si>
    <t xml:space="preserve">                         อนุมัติให้เบิกจ่ายได้</t>
  </si>
  <si>
    <t>..................................................</t>
  </si>
  <si>
    <t>....................................................</t>
  </si>
  <si>
    <t>................................................................................</t>
  </si>
  <si>
    <t>(นางสาวชนากานต์  แย้มเกื้อ)</t>
  </si>
  <si>
    <t>นักวิชาการเงินและบัญชีปฏิบัติการ</t>
  </si>
  <si>
    <t>วันที่  ......................................................</t>
  </si>
  <si>
    <r>
      <t xml:space="preserve">เรื่อง  </t>
    </r>
    <r>
      <rPr>
        <sz val="16"/>
        <rFont val="AngsanaUPC"/>
        <family val="1"/>
      </rPr>
      <t xml:space="preserve">ขออนุมัติเบิกจ่ายเงินบริจาคเพื่อใช้ในกิจการโรงพยาบาลวชิระภูเก็ต </t>
    </r>
  </si>
  <si>
    <t xml:space="preserve">                       ขอส่งใบสำคัญค่าใช้จ่ายประจำวัน   เพื่อเบิกเงินบริจาคเพื่อใช้ในกิจการโรงพยาบาลวชิระภูเก็ต  </t>
  </si>
  <si>
    <t>บริษัท ไอเมดิกพลัส  จำกัด</t>
  </si>
  <si>
    <t>6904372</t>
  </si>
  <si>
    <t>ภาษีหัก ณ ที่จ่าย</t>
  </si>
  <si>
    <t xml:space="preserve">สำหรับใช้ในกิจการปฎิบัติการของโรงพยาบาลวชิระภูเก็ตโดยใช้เงินบริจาคเพื่อใช้ในกิจการโรงพยาบาล       </t>
  </si>
  <si>
    <t>วชิระภูเก็ต ธนาคารกรุงไทยสาขาภูเก็ต เลขที่ 805-1-83007-5 พร้อมบันทึกได้แนบใบสำคัญเพื่อเบิกเงิน</t>
  </si>
  <si>
    <t>จำนวน  ....1... ฉบับเป็นเงินทั้งสิ้น  49,550.76 บาท</t>
  </si>
  <si>
    <r>
      <t xml:space="preserve">เรื่อง  </t>
    </r>
    <r>
      <rPr>
        <sz val="16"/>
        <rFont val="AngsanaUPC"/>
        <family val="1"/>
      </rPr>
      <t>ขออนุมัติเบิกเงินกองทุนประกันสุขภาพแรงงานต่างด้าว รพ.วชิระภูเก็ต</t>
    </r>
  </si>
  <si>
    <t xml:space="preserve">                     ขอส่งใบสำคัญค่าใช้จ่ายประจำวัน   เพื่อเบิกเงินกองทุนประกันสุขภาพแรงงานต่างด้าว รพ.วชิระภูเก็ต</t>
  </si>
  <si>
    <t>บริษัท โทรคมนาคมแห่งชาติ จำกัด (มหาชน)</t>
  </si>
  <si>
    <t xml:space="preserve">สำหรับใช้ในกิจการปฎิบัติการของโรงพยาบาลวชิระภูเก็ต โดยใช้เงินกองทุนประกันสุขภาพแรงงานต่างด้าว        </t>
  </si>
  <si>
    <t>รพ. วชิระภูเก็ต  ธนาคารเพื่อการเกษตรและสหกรณ์การเกษตร สาขา ภูเก็ต เลขที่บัญชี 015602271021</t>
  </si>
  <si>
    <t>พร้อมบันทึกได้แนบใบสำคัญเพื่อเบิกเงินจำนวน  ....1... ฉบับ เป็นเงินทั้งสิ้น 2,957.40 บาท</t>
  </si>
  <si>
    <r>
      <t xml:space="preserve">เรื่อง  </t>
    </r>
    <r>
      <rPr>
        <sz val="16"/>
        <rFont val="AngsanaUPC"/>
        <family val="1"/>
      </rPr>
      <t xml:space="preserve">ขออนุมัติเบิกจ่ายเงินบริหารจัดการประกันสังคมโรงพยาบาลวชิระภูเก็ต </t>
    </r>
  </si>
  <si>
    <t xml:space="preserve">                 ขอส่งใบสำคัญค่าใช้จ่ายประจำวัน   เพื่อเบิกเงินบริหารจัดการประกันสังคมโรงพยาบาลวชิระภูเก็ต </t>
  </si>
  <si>
    <t>โรงพยาบาลถลาง</t>
  </si>
  <si>
    <t xml:space="preserve">สำหรับใช้ในกิจการปฎิบัติการของโรงพยาบาลวชิระภูเก็ต โดยใช้เงินบริหารจัดการประกันสังคมโรงพยาบาล         </t>
  </si>
  <si>
    <t xml:space="preserve">วชิระภูเก็ต  ธนาคารกรุงไทยสาขาภูเก็ต เลขที่ 805-0-87803-1 พร้อมบันทึกได้แนบใบสำคัญเพื่อเบิกเงินจำนวน  </t>
  </si>
  <si>
    <t>....1... ฉบับ เป็นเงินทั้งสิ้น 1,00,000.00 บาท</t>
  </si>
  <si>
    <r>
      <t xml:space="preserve">เรื่อง  </t>
    </r>
    <r>
      <rPr>
        <sz val="16"/>
        <rFont val="AngsanaUPC"/>
        <family val="1"/>
      </rPr>
      <t>ขออนุมัติเบิกจ่ายเงินบริจาคเพื่ออาคารรังสีรักษา โรงพยาบาลวชิระภูเก็ต ธนาคาร ยูโอบี สาขา หาดป่าตอง</t>
    </r>
  </si>
  <si>
    <t xml:space="preserve">                      ขอส่งใบสำคัญค่าใช้จ่ายประจำวัน   เพื่อเบิกเงินบริจาคเพื่ออาคารรังสีรักษา โรงพยาบาลวชิระภูเก็ต   </t>
  </si>
  <si>
    <t>บริษัท วอลท์เซ็นเอ็นเตอไพรซ์ จำกัด</t>
  </si>
  <si>
    <t>04/2569</t>
  </si>
  <si>
    <t>(ค่าก่อสร้างอาคารรังสีรักษา)</t>
  </si>
  <si>
    <t xml:space="preserve">สำหรับใช้ในกิจการปฎิบัติการของโรงพยาบาลวชิระภูเก็ตโดยใช้เงินบริจาคเพื่ออาคารรังสีรักษาโรงพยาบาล     </t>
  </si>
  <si>
    <t>วชิระภูเก็ต ธนาคารยูโอบี สาขา หาดป่าตอง เลขที่ 780-168-641-2 พร้อมบันทึกได้แนบใบสำคัญเพื่อเบิกเงิน</t>
  </si>
  <si>
    <t>จำนวน  ....1... ฉบับ เป็นเงินทั้งสิ้น 37,535,887.85 บาท</t>
  </si>
  <si>
    <t xml:space="preserve">                                                                                   บันทึกข้อความ</t>
  </si>
  <si>
    <t>ส่วนราชการ   โรงพยาบาลวชิระภูเก็ต</t>
  </si>
  <si>
    <t xml:space="preserve">เรื่อง    ขอส่งใบสำคัญค่าใช้จ่ายประจำวัน   เพื่อเบิกเงิน </t>
  </si>
  <si>
    <t>เงินโครงการงบกองสลาก โรงพยาบาลวชิระภูเก็ต</t>
  </si>
  <si>
    <t>ธนาคารกรุงไทยสาขาภูเก็ต เลขที่บ/ช 805-3-15815-3</t>
  </si>
  <si>
    <t xml:space="preserve">           ประจำวันที่  ...............  เดือน .........................  พ.ศ. .................</t>
  </si>
  <si>
    <r>
      <t xml:space="preserve">เรียน  </t>
    </r>
    <r>
      <rPr>
        <sz val="16"/>
        <rFont val="AngsanaUPC"/>
        <family val="1"/>
      </rPr>
      <t xml:space="preserve">  ผู้อำนวยการโรงพยาบาลวชิระภูเก็ต  เพื่อพิจารณาจ่ายค่าใช้จ่าย</t>
    </r>
  </si>
  <si>
    <t>ส.ต.</t>
  </si>
  <si>
    <t>บริษัท เอสเอ็มดี ไรส์ จำกัด (มหาชน)</t>
  </si>
  <si>
    <t>ภาษี ณ ที่จ่าย</t>
  </si>
  <si>
    <t xml:space="preserve">สำหรับใช้ในกิจการปฎิบัติการของโรงพยาบาลวชิระภูเก็ต โดยใช้เงิน           </t>
  </si>
  <si>
    <t xml:space="preserve">ธนาคารกรุงไทยสาขาภูเก็ต เลขที่บ/ช 805-3-15815-3พร้อมบันทึกได้แนบใบสำคัญเพื่อเบิกเงินจำนวน  ......1....... ฉบับ  </t>
  </si>
  <si>
    <t xml:space="preserve">   เป็นเงินทั้งสิ้น </t>
  </si>
  <si>
    <t>วันที่  .................................................................</t>
  </si>
  <si>
    <r>
      <t xml:space="preserve">เรื่อง  </t>
    </r>
    <r>
      <rPr>
        <sz val="16"/>
        <rFont val="AngsanaUPC"/>
        <family val="1"/>
      </rPr>
      <t xml:space="preserve">ขออนุมัติเบิกจ่ายเงิน PCU นริศร โรงพยาบาลวชิระภูเก็ต </t>
    </r>
  </si>
  <si>
    <t xml:space="preserve">                      ขอส่งใบสำคัญค่าใช้จ่ายประจำวัน   เพื่อเบิกจ่ายเงิน PCU นริศร โรงพยาบาลวชิระภูเก็ต  </t>
  </si>
  <si>
    <t>บริษัท พี พี เจ เอส คอนสทรัคชั่น จำกัด</t>
  </si>
  <si>
    <t>ค่าปรับ</t>
  </si>
  <si>
    <t xml:space="preserve">สำหรับใช้ในกิจการปฎิบัติการของโรงพยาบาลวชิระภูเก็ต โดยใช้เงิน  PCU นริศร โรงพยาบาลวชิระภูเก็ต           </t>
  </si>
  <si>
    <t>ธนาคารกรุงไทย สาขาภูเก็ต เลขที่บัญชี 805-3-19903-8 พร้อมบันทึกได้แนบใบสำคัญเพื่อเบิกเงิน</t>
  </si>
  <si>
    <t xml:space="preserve"> จำนวน  ......1....... ฉบับ  เป็นเงินทั้งสิ้น 210,779.33 บาท</t>
  </si>
  <si>
    <t xml:space="preserve">                                                                                         บันทึกข้อความ</t>
  </si>
  <si>
    <t>เงินบริจาค กองทุนทอดผ้าป่าเพื่อซื้อเครื่องมือแพทย์</t>
  </si>
  <si>
    <t>ธนาคารกรุงไทยสาขาภูเก็ต เลขที่บ/ช 805-0-84632-6</t>
  </si>
  <si>
    <t>บริษัท ฮอลลีวู้ด อินเตอร์เนชั่นแนล   จำกัด</t>
  </si>
  <si>
    <t xml:space="preserve">ธนาคารกรุงไทยสาขาภูเก็ต เลขที่บ/ช 805-0-84632-6พร้อมบันทึกได้แนบใบสำคัญเพื่อเบิกเงินจำนวน  ......1....... ฉบับ </t>
  </si>
  <si>
    <t xml:space="preserve"> เป็นเงินทั้งสิ้น </t>
  </si>
  <si>
    <t>(นางสุวรรณี  เพื่อนรักษ์)</t>
  </si>
  <si>
    <t xml:space="preserve">   เจ้าพนักงานการเงินและบัญชีชำนาญงาน</t>
  </si>
  <si>
    <t>เงินบริจาคเพื่ออาคารรังสรักษาโรงพยาบาลวชิระภูเก็ต</t>
  </si>
  <si>
    <t>ธนาคารกรุงไทย สาขาภูเก็ต เลขที่บ/ช 805-3-11019-3</t>
  </si>
  <si>
    <t>บริษัท สถาปนิกชุมชนและสิ่งแวดล้อม อาศรมศิลป์ จำกัด</t>
  </si>
  <si>
    <t>(ค่าออกแบบงวดที่ 4)</t>
  </si>
  <si>
    <t xml:space="preserve">พร้อมบันทึกได้แนบใบสำคัญเพื่อเบิกเงินจำนวน  ......1....... ฉบับ       เป็นเงินทั้งสิ้น </t>
  </si>
  <si>
    <t>เงินบริจาค  กองทุนจัดซื้อรถบริจาคโลหิต เคลื่อนที่</t>
  </si>
  <si>
    <t>ธนาคารกรุงไทยสาขาภูเก็ต เลขที่บ/ช 805-0-85016-1</t>
  </si>
  <si>
    <t>บริษัท  เอ็ม.เอช.ซี (ไทยแลนด์) จำกัด</t>
  </si>
  <si>
    <t>เงินบริจาค  กองทุน COVID-19 โรงพยาบาลวชิระภูเก็ต</t>
  </si>
  <si>
    <t>ธนาคารกรุงไทยสาขาภูเก็ต เลขที่บ/ช 805-0-93930-8</t>
  </si>
  <si>
    <r>
      <t xml:space="preserve">เรียน  </t>
    </r>
    <r>
      <rPr>
        <sz val="16"/>
        <rFont val="AngsanaUPC"/>
        <family val="1"/>
      </rPr>
      <t xml:space="preserve">  ผู้ประสานงานโครงการ COVID-19 โรงพยาบาลวชิระภูเก็ต  เพื่อพิจารณาจ่ายค่าใช้จ่าย</t>
    </r>
  </si>
  <si>
    <t>บริษัท สุวัณณ์ทวี ภูเก็ต  จำกัด</t>
  </si>
  <si>
    <t>จ่ายค่าเครื่องปรับอากาศ และระบายอากาศโครงการห้องฟันชั้น 4</t>
  </si>
  <si>
    <t xml:space="preserve">                                         อนุมัติให้เบิกจ่ายได้</t>
  </si>
  <si>
    <t>เงินบริหารจัดการประกันสังคม โรงพยาบาลวชิระภูเก็ต</t>
  </si>
  <si>
    <t>ธนาคารกรุงไทย จำกัด(มหาชน)เลขที่ 805-0-87803-1</t>
  </si>
  <si>
    <r>
      <t xml:space="preserve">เรียน  </t>
    </r>
    <r>
      <rPr>
        <sz val="16"/>
        <rFont val="AngsanaUPC"/>
        <family val="1"/>
      </rPr>
      <t xml:space="preserve">   โรงพยาบาลวชิระภูเก็ต  เพื่อพิจารณาจ่ายค่าใช้จ่าย</t>
    </r>
  </si>
  <si>
    <t>บริษัท โลเคิล ไลฟ์ แพลตฟอร์ม จำกัด</t>
  </si>
  <si>
    <t xml:space="preserve"> ภาษี ณ ที่จ่าย</t>
  </si>
  <si>
    <t>เงินประกันสุขภาพคนต่างด้าวหรือแรงงานต่างด้าว ร.พ. วชิระภูเก็ต</t>
  </si>
  <si>
    <t>ธนาคารกรุงไทย จำกัด(มหาชน)เลขที่ 805-3-10712-5</t>
  </si>
  <si>
    <t>สำนักงานสาธารณสุข จังหวัดภูเก็ต</t>
  </si>
  <si>
    <t>1 มิ.ย.68-30 มิ.ย 68</t>
  </si>
  <si>
    <t>(โอนเงินค่าบริหารจัดการของกองทุนประกันสุขภาพแรงงานต่างด้าว)</t>
  </si>
  <si>
    <t>1พ.ย.68-30 พ.ย.68</t>
  </si>
  <si>
    <t>1 ธ.ค.68-31 ธ.ค.68</t>
  </si>
  <si>
    <t xml:space="preserve">สำหรับใช้ในกิจการปฎิบัติการของโรงพยาบาลวชิระภูเก็ต โดยใช้เงินประกันสุขภาพคนต่างด้าวหรือ    </t>
  </si>
  <si>
    <t>แรงงานต่างด้าว  ร.พ. วชิระภูเก็ตธนาคารกรุงไทย จำกัด(มหาชน) เลขที่ 805-3-10712-5พร้อมบันทึกได้แนบ</t>
  </si>
  <si>
    <t>ใบสำคัญเพื่อเบิกเงินจำนวน  ......3....... ฉบับ  เป็นเงินทั้งสิ้น 208,215.00 บาท</t>
  </si>
  <si>
    <t>สำนักงานสาธารณสุขจังหวัดภูเก็ต</t>
  </si>
  <si>
    <t>พร้อมบันทึกได้แนบใบสำคัญเพื่อเบิกเงินจำนวน  ....1... ฉบับ เป็นเงินทั้งสิ้น 247,507.00 บาท</t>
  </si>
  <si>
    <t xml:space="preserve">             ขอส่งใบสำคัญค่าใช้จ่ายประจำวัน   เพื่อเบิกเงินกองทุนประกันสุขภาพแรงงานต่างด้าว รพ.วชิระภูเก็ต</t>
  </si>
  <si>
    <t>โรงพยาบาลมะเร็งสุราษฎร์ธานี (ค่ารักษาพยาบาล)</t>
  </si>
  <si>
    <t>OPD มี.ค.69-เม.ย.69</t>
  </si>
  <si>
    <t>พร้อมบันทึกได้แนบใบสำคัญเพื่อเบิกเงินจำนวน  ....1... ฉบับ เป็นเงินทั้งสิ้น 4,589.00 บาท</t>
  </si>
  <si>
    <t xml:space="preserve">                  ขอส่งใบสำคัญค่าใช้จ่ายประจำวัน   เพื่อเบิกเงินกองทุนประกันสุขภาพแรงงานต่างด้าว รพ.วชิระภูเก็ต</t>
  </si>
  <si>
    <t>โรงพยาบาลป่าตอง (ค่ารักษาพยาบาล)</t>
  </si>
  <si>
    <t>IPD เม.ย.69</t>
  </si>
  <si>
    <t>IPD พ.ค.69</t>
  </si>
  <si>
    <t>IPD พ.ค..69</t>
  </si>
  <si>
    <t>พร้อมบันทึกได้แนบใบสำคัญเพื่อเบิกเงินจำนวน  ....3... ฉบับ เป็นเงินทั้งสิ้น 11,614.30 บาท</t>
  </si>
  <si>
    <t xml:space="preserve">            ขอส่งใบสำคัญค่าใช้จ่ายประจำวัน   เพื่อเบิกเงินกองทุนประกันสุขภาพแรงงานต่างด้าว รพ.วชิระภูเก็ต</t>
  </si>
  <si>
    <t>โรงพยาบาลสงขลานครินทร์ (ค่ารักษาพยาบาล)</t>
  </si>
  <si>
    <t>OPD :เม.ย.69</t>
  </si>
  <si>
    <t>พร้อมบันทึกได้แนบใบสำคัญเพื่อเบิกเงินจำนวน  ....1... ฉบับ เป็นเงินทั้งสิ้น 13,576.00 บาท</t>
  </si>
  <si>
    <r>
      <t xml:space="preserve">เรื่อง  </t>
    </r>
    <r>
      <rPr>
        <sz val="16"/>
        <rFont val="AngsanaUPC"/>
        <family val="1"/>
      </rPr>
      <t xml:space="preserve">ขออนุมัติเบิกจ่ายเงินกองทุนธำรงบุคลากรทางการแพทย์ โรงพยาบาลวชิระภูเก็ต </t>
    </r>
  </si>
  <si>
    <t xml:space="preserve">                    ขอส่งใบสำคัญค่าใช้จ่ายประจำวัน เพื่อเบิกเงิน กองทุนธำรงบุคลากรทางการแพทย์ รพ.วชิระภูเก็ต </t>
  </si>
  <si>
    <t>นางสาวนพวรรณ  จรุงเกียรติขจร</t>
  </si>
  <si>
    <t xml:space="preserve">สำหรับใช้ในกิจการปฎิบัติการของโรงพยาบาลวชิระภูเก็ต โดยใช้เงิน กองทุนธำรงบุคลากรทางการแพทย์      </t>
  </si>
  <si>
    <t>โรงพยาบาลวชิระภูเก็ต ธนาคารกรุงไทยสาขาภูเก็ต เลขที่ 805-3-16216-9 พร้อมบันทึกได้แนบใบสำคัญ</t>
  </si>
  <si>
    <t>เพื่อเบิกเงินจำนวน  ....1... ฉบับ เป็นเงินทั้งสิ้น 100,000.- บาท</t>
  </si>
  <si>
    <t>โรงพยาบาลฉลอง (ค่ารักษาพยาบาล)</t>
  </si>
  <si>
    <t>IPD :เม.ย.69</t>
  </si>
  <si>
    <t>พร้อมบันทึกได้แนบใบสำคัญเพื่อเบิกเงินจำนวน  ....3... ฉบับ เป็นเงินทั้งสิ้น 11,793.10 บาท</t>
  </si>
  <si>
    <r>
      <t xml:space="preserve">เรื่อง  </t>
    </r>
    <r>
      <rPr>
        <sz val="16"/>
        <rFont val="AngsanaUPC"/>
        <family val="1"/>
      </rPr>
      <t xml:space="preserve">ขออนุมัติเบิกจ่ายเงินบริจาคเพื่อใช้ในกิจการโรงพยาบาลวชิระภูเก็ต ธนาคาร ยูโอบี สาขาภูเก็ต </t>
    </r>
  </si>
  <si>
    <t xml:space="preserve">                            ขอส่งใบสำคัญค่าใช้จ่ายประจำวัน   เพื่อเบิกเงินบริจาคเพื่อใช้ในกิจการโรงพยาบาลวชิระภูเก็ต  </t>
  </si>
  <si>
    <t>ห้างหุ้นส่วนจำกัด จี.ซี.ฮวด</t>
  </si>
  <si>
    <t xml:space="preserve">สำหรับใช้ในกิจการปฎิบัติการของโรงพยาบาลวชิระภูเก็ตโดยใช้เงินบริจาคเพื่อใช้ในกิจการโรงพยาบาล           </t>
  </si>
  <si>
    <t>วชิระภูเก็ต ธนาคาร ยูโอบี สาขาภูเก็ต เลขที่ 721-163-944-3 พร้อมบันทึกได้แนบใบสำคัญเพื่อเบิกเงิน</t>
  </si>
  <si>
    <t>จำนวน  ....1... ฉบับ เป็นเงินทั้งสิ้น 49,532.71 บาท</t>
  </si>
  <si>
    <t xml:space="preserve">                 ขอส่งใบสำคัญค่าใช้จ่ายประจำวัน   เพื่อเบิกเงินกองทุนประกันสุขภาพแรงงานต่างด้าว รพ.วชิระภูเก็ต</t>
  </si>
  <si>
    <t>โรงพยาบาลถลาง (ค่ารักษาพยาบาล)</t>
  </si>
  <si>
    <t>IPD ต.ค.68</t>
  </si>
  <si>
    <t>IPD ธ.ค.68</t>
  </si>
  <si>
    <t>พร้อมบันทึกได้แนบใบสำคัญเพื่อเบิกเงินจำนวน  ....2... ฉบับ เป็นเงินทั้งสิ้น 15,204.80 บาท</t>
  </si>
  <si>
    <t xml:space="preserve">               ขอส่งใบสำคัญค่าใช้จ่ายประจำวัน   เพื่อเบิกเงินกองทุนประกันสุขภาพแรงงานต่างด้าว รพ.วชิระภูเก็ต</t>
  </si>
  <si>
    <t>โรงพยาบาลมหาราชนครศรีธรรมราช(ค่ารักษาพยาบาล)</t>
  </si>
  <si>
    <t>OPD :ม.ค.-ก.พ.69</t>
  </si>
  <si>
    <t>พร้อมบันทึกได้แนบใบสำคัญเพื่อเบิกเงินจำนวน  ....1... ฉบับ เป็นเงินทั้งสิ้น 13,583.50 บาท</t>
  </si>
  <si>
    <r>
      <t xml:space="preserve">เรื่อง  </t>
    </r>
    <r>
      <rPr>
        <sz val="16"/>
        <rFont val="AngsanaUPC"/>
        <family val="1"/>
      </rPr>
      <t>ขออนุมัติเบิกจ่ายเงินประกันสุขภาพคนต่างด้าวหรือแรงงานต่างด้าว ร.พ.วชิระภูเก็ต</t>
    </r>
  </si>
  <si>
    <t xml:space="preserve">                     ขอส่งใบสำคัญค่าใช้จ่ายประจำวัน   เพื่อเบิกเงิน ประกันสุขภาพคนต่างด้าวหรือแรงงานต่างด้าว </t>
  </si>
  <si>
    <t>ร.พ.วชิระภูเก็ต</t>
  </si>
  <si>
    <t>กองทุนผู้ประกันตนคนต่างด้าวและแรงงานต่างด้าวผู้ประกันตน</t>
  </si>
  <si>
    <t>พค. 69</t>
  </si>
  <si>
    <t>แรงงานต่างด้าวกรณีค่าใช้จ่ายสูงและค่าบริหารจัดการ</t>
  </si>
  <si>
    <t>ก.ค.69</t>
  </si>
  <si>
    <t xml:space="preserve">สำหรับใช้ในกิจการปฎิบัติการของโรงพยาบาลวชิระภูเก็ต โดยใช้เงิน ประกันสุขภาพคนต่างด้าวหรือ     </t>
  </si>
  <si>
    <t>แรงงานต่างด้าว ร.พ.วชิระภูเก็ต     ธนาคารกรุงไทยสาขาภูเก็ต เลขที่ 805-3-10712-5 พร้อมบันทึกได้แนบ</t>
  </si>
  <si>
    <t>ใบสำคัญเพื่อเบิกเงินจำนวน  ....1... ฉบับ เป็นเงินทั้งสิ้น 720.00 บาท</t>
  </si>
  <si>
    <t xml:space="preserve">กลุ่มงานประกันสุขภาพแรงงานต่างด้าว </t>
  </si>
  <si>
    <t>ผู้ประกันตนแรงงานต่างด้าวกรณีค่าใช้จ่ายสูงและค่าบริหารจัดการ</t>
  </si>
  <si>
    <t>(ค่ารักษาพยาบาล เดือน ตุลาคม 2568)</t>
  </si>
  <si>
    <t>พร้อมบันทึกได้แนบใบสำคัญเพื่อเบิกเงินจำนวน  ....5... ฉบับ เป็นเงินทั้งสิ้น  266,629.00บาท</t>
  </si>
  <si>
    <t>โรงพยาบาลสุราษฎร์ธานี (ค่ารักษาพยาบาล)</t>
  </si>
  <si>
    <t>OPD ต.ค.-ธ.ค.68</t>
  </si>
  <si>
    <t>OPD ม.ค.69</t>
  </si>
  <si>
    <t>พร้อมบันทึกได้แนบใบสำคัญเพื่อเบิกเงินจำนวน  ....2... ฉบับ เป็นเงินทั้งสิ้น 9,080.00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</si>
</sst>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name val="AngsanaUPC"/>
      <family val="1"/>
      <charset val="222"/>
    </font>
    <font>
      <b/>
      <sz val="16"/>
      <name val="AngsanaUPC"/>
      <family val="1"/>
      <charset val="222"/>
    </font>
    <font>
      <sz val="16"/>
      <name val="AngsanaUPC"/>
      <family val="1"/>
    </font>
    <font>
      <b/>
      <sz val="16"/>
      <name val="AngsanaUPC"/>
      <family val="1"/>
    </font>
    <font>
      <sz val="16"/>
      <name val="AngsanaUPC"/>
      <family val="1"/>
      <charset val="222"/>
    </font>
    <font>
      <sz val="16"/>
      <name val="Arial"/>
      <family val="2"/>
    </font>
    <font>
      <sz val="16"/>
      <name val="Angsana News"/>
      <family val="1"/>
      <charset val="222"/>
    </font>
    <font>
      <sz val="12"/>
      <name val="AngsanaUPC"/>
      <family val="1"/>
      <charset val="222"/>
    </font>
    <font>
      <sz val="14"/>
      <name val="AngsanaUPC"/>
      <family val="1"/>
      <charset val="22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/>
    <xf numFmtId="0" fontId="6" fillId="0" borderId="12" xfId="0" applyFont="1" applyBorder="1"/>
    <xf numFmtId="0" fontId="6" fillId="0" borderId="6" xfId="0" applyFont="1" applyBorder="1"/>
    <xf numFmtId="49" fontId="6" fillId="0" borderId="11" xfId="0" applyNumberFormat="1" applyFont="1" applyBorder="1" applyAlignment="1">
      <alignment horizontal="center"/>
    </xf>
    <xf numFmtId="43" fontId="6" fillId="0" borderId="5" xfId="1" applyFont="1" applyBorder="1" applyAlignment="1">
      <alignment horizontal="center"/>
    </xf>
    <xf numFmtId="43" fontId="6" fillId="0" borderId="6" xfId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1" xfId="0" applyFont="1" applyBorder="1"/>
    <xf numFmtId="187" fontId="6" fillId="0" borderId="5" xfId="1" applyNumberFormat="1" applyFont="1" applyBorder="1" applyAlignment="1">
      <alignment horizontal="center"/>
    </xf>
    <xf numFmtId="187" fontId="6" fillId="0" borderId="6" xfId="1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43" fontId="3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0" borderId="11" xfId="0" applyFont="1" applyBorder="1"/>
    <xf numFmtId="0" fontId="6" fillId="0" borderId="0" xfId="0" applyFont="1" applyAlignment="1">
      <alignment horizontal="left"/>
    </xf>
    <xf numFmtId="0" fontId="3" fillId="0" borderId="0" xfId="0" applyFont="1"/>
    <xf numFmtId="0" fontId="6" fillId="0" borderId="6" xfId="0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/>
    <xf numFmtId="0" fontId="6" fillId="0" borderId="12" xfId="0" applyFont="1" applyBorder="1"/>
    <xf numFmtId="43" fontId="6" fillId="0" borderId="5" xfId="1" applyFont="1" applyBorder="1" applyAlignment="1">
      <alignment horizontal="right"/>
    </xf>
    <xf numFmtId="43" fontId="6" fillId="0" borderId="6" xfId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43" fontId="3" fillId="0" borderId="0" xfId="1" applyFont="1"/>
    <xf numFmtId="0" fontId="8" fillId="0" borderId="0" xfId="0" applyFont="1"/>
    <xf numFmtId="0" fontId="8" fillId="0" borderId="0" xfId="0" applyFont="1" applyAlignment="1">
      <alignment horizontal="center"/>
    </xf>
    <xf numFmtId="187" fontId="3" fillId="0" borderId="0" xfId="1" applyNumberFormat="1" applyFont="1"/>
    <xf numFmtId="43" fontId="6" fillId="0" borderId="0" xfId="1" applyFont="1" applyAlignment="1">
      <alignment horizontal="center"/>
    </xf>
    <xf numFmtId="43" fontId="6" fillId="0" borderId="5" xfId="1" applyFont="1" applyBorder="1" applyAlignment="1">
      <alignment horizontal="left"/>
    </xf>
    <xf numFmtId="43" fontId="6" fillId="0" borderId="6" xfId="1" applyFont="1" applyBorder="1" applyAlignment="1">
      <alignment horizontal="left"/>
    </xf>
    <xf numFmtId="0" fontId="9" fillId="0" borderId="5" xfId="0" applyFont="1" applyBorder="1"/>
    <xf numFmtId="0" fontId="9" fillId="0" borderId="12" xfId="0" applyFont="1" applyBorder="1"/>
    <xf numFmtId="0" fontId="9" fillId="0" borderId="6" xfId="0" applyFont="1" applyBorder="1"/>
    <xf numFmtId="49" fontId="10" fillId="0" borderId="11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43" fontId="6" fillId="0" borderId="11" xfId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10" fillId="0" borderId="9" xfId="0" applyFont="1" applyBorder="1"/>
    <xf numFmtId="0" fontId="10" fillId="0" borderId="10" xfId="0" applyFont="1" applyBorder="1"/>
    <xf numFmtId="187" fontId="6" fillId="0" borderId="11" xfId="1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10" fillId="0" borderId="5" xfId="0" applyFont="1" applyBorder="1"/>
    <xf numFmtId="0" fontId="10" fillId="0" borderId="12" xfId="0" applyFont="1" applyBorder="1"/>
    <xf numFmtId="0" fontId="10" fillId="0" borderId="6" xfId="0" applyFont="1" applyBorder="1"/>
    <xf numFmtId="0" fontId="3" fillId="0" borderId="3" xfId="0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10125075</xdr:colOff>
      <xdr:row>3</xdr:row>
      <xdr:rowOff>295275</xdr:rowOff>
    </xdr:from>
    <xdr:to>
      <xdr:col>3</xdr:col>
      <xdr:colOff>1571625</xdr:colOff>
      <xdr:row>3</xdr:row>
      <xdr:rowOff>914400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C099B7E-811A-4F6E-9E5B-6ACF0DB45A31}"/>
            </a:ext>
          </a:extLst>
        </xdr:cNvPr>
        <xdr:cNvSpPr>
          <a:spLocks noChangeArrowheads="1"/>
        </xdr:cNvSpPr>
      </xdr:nvSpPr>
      <xdr:spPr bwMode="auto">
        <a:xfrm>
          <a:off x="3800475" y="1362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32</xdr:row>
      <xdr:rowOff>295275</xdr:rowOff>
    </xdr:from>
    <xdr:to>
      <xdr:col>3</xdr:col>
      <xdr:colOff>1571625</xdr:colOff>
      <xdr:row>32</xdr:row>
      <xdr:rowOff>914400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id="{2A530BD7-CE6E-45C0-BC22-F1DFD002E2E1}"/>
            </a:ext>
          </a:extLst>
        </xdr:cNvPr>
        <xdr:cNvSpPr>
          <a:spLocks noChangeArrowheads="1"/>
        </xdr:cNvSpPr>
      </xdr:nvSpPr>
      <xdr:spPr bwMode="auto">
        <a:xfrm>
          <a:off x="3800475" y="9829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95</xdr:row>
      <xdr:rowOff>295275</xdr:rowOff>
    </xdr:from>
    <xdr:to>
      <xdr:col>3</xdr:col>
      <xdr:colOff>1571625</xdr:colOff>
      <xdr:row>95</xdr:row>
      <xdr:rowOff>914400</xdr:rowOff>
    </xdr:to>
    <xdr:sp macro="" textlink="">
      <xdr:nvSpPr>
        <xdr:cNvPr id="4" name="Rectangle 10">
          <a:extLst>
            <a:ext uri="{FF2B5EF4-FFF2-40B4-BE49-F238E27FC236}">
              <a16:creationId xmlns:a16="http://schemas.microsoft.com/office/drawing/2014/main" id="{989D2377-74CF-4795-8511-275835487C3F}"/>
            </a:ext>
          </a:extLst>
        </xdr:cNvPr>
        <xdr:cNvSpPr>
          <a:spLocks noChangeArrowheads="1"/>
        </xdr:cNvSpPr>
      </xdr:nvSpPr>
      <xdr:spPr bwMode="auto">
        <a:xfrm>
          <a:off x="3800475" y="28184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132</xdr:row>
      <xdr:rowOff>295275</xdr:rowOff>
    </xdr:from>
    <xdr:to>
      <xdr:col>3</xdr:col>
      <xdr:colOff>1571625</xdr:colOff>
      <xdr:row>132</xdr:row>
      <xdr:rowOff>914400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69DCD0BB-AFF1-4BB0-822B-CFEF335AE6EE}"/>
            </a:ext>
          </a:extLst>
        </xdr:cNvPr>
        <xdr:cNvSpPr>
          <a:spLocks noChangeArrowheads="1"/>
        </xdr:cNvSpPr>
      </xdr:nvSpPr>
      <xdr:spPr bwMode="auto">
        <a:xfrm>
          <a:off x="3800475" y="391477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156</xdr:row>
      <xdr:rowOff>295275</xdr:rowOff>
    </xdr:from>
    <xdr:to>
      <xdr:col>3</xdr:col>
      <xdr:colOff>1571625</xdr:colOff>
      <xdr:row>156</xdr:row>
      <xdr:rowOff>914400</xdr:rowOff>
    </xdr:to>
    <xdr:sp macro="" textlink="">
      <xdr:nvSpPr>
        <xdr:cNvPr id="6" name="Rectangle 15">
          <a:extLst>
            <a:ext uri="{FF2B5EF4-FFF2-40B4-BE49-F238E27FC236}">
              <a16:creationId xmlns:a16="http://schemas.microsoft.com/office/drawing/2014/main" id="{E2F809D0-C269-4591-8F7F-1BCD0B5760EB}"/>
            </a:ext>
          </a:extLst>
        </xdr:cNvPr>
        <xdr:cNvSpPr>
          <a:spLocks noChangeArrowheads="1"/>
        </xdr:cNvSpPr>
      </xdr:nvSpPr>
      <xdr:spPr bwMode="auto">
        <a:xfrm>
          <a:off x="3800475" y="46234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10239375</xdr:colOff>
      <xdr:row>178</xdr:row>
      <xdr:rowOff>238125</xdr:rowOff>
    </xdr:from>
    <xdr:to>
      <xdr:col>3</xdr:col>
      <xdr:colOff>1571625</xdr:colOff>
      <xdr:row>178</xdr:row>
      <xdr:rowOff>914400</xdr:rowOff>
    </xdr:to>
    <xdr:sp macro="" textlink="">
      <xdr:nvSpPr>
        <xdr:cNvPr id="7" name="Rectangle 16">
          <a:extLst>
            <a:ext uri="{FF2B5EF4-FFF2-40B4-BE49-F238E27FC236}">
              <a16:creationId xmlns:a16="http://schemas.microsoft.com/office/drawing/2014/main" id="{EF7BB5C1-93BF-402E-91A1-C8002761428F}"/>
            </a:ext>
          </a:extLst>
        </xdr:cNvPr>
        <xdr:cNvSpPr>
          <a:spLocks noChangeArrowheads="1"/>
        </xdr:cNvSpPr>
      </xdr:nvSpPr>
      <xdr:spPr bwMode="auto">
        <a:xfrm>
          <a:off x="3800475" y="52673250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192</xdr:row>
      <xdr:rowOff>295275</xdr:rowOff>
    </xdr:from>
    <xdr:to>
      <xdr:col>3</xdr:col>
      <xdr:colOff>1571625</xdr:colOff>
      <xdr:row>192</xdr:row>
      <xdr:rowOff>914400</xdr:rowOff>
    </xdr:to>
    <xdr:sp macro="" textlink="">
      <xdr:nvSpPr>
        <xdr:cNvPr id="8" name="Rectangle 18">
          <a:extLst>
            <a:ext uri="{FF2B5EF4-FFF2-40B4-BE49-F238E27FC236}">
              <a16:creationId xmlns:a16="http://schemas.microsoft.com/office/drawing/2014/main" id="{3CEEB0CA-D914-4027-877A-5E421E2B4F32}"/>
            </a:ext>
          </a:extLst>
        </xdr:cNvPr>
        <xdr:cNvSpPr>
          <a:spLocks noChangeArrowheads="1"/>
        </xdr:cNvSpPr>
      </xdr:nvSpPr>
      <xdr:spPr bwMode="auto">
        <a:xfrm>
          <a:off x="3800475" y="569404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10239375</xdr:colOff>
      <xdr:row>209</xdr:row>
      <xdr:rowOff>238125</xdr:rowOff>
    </xdr:from>
    <xdr:to>
      <xdr:col>3</xdr:col>
      <xdr:colOff>1571625</xdr:colOff>
      <xdr:row>209</xdr:row>
      <xdr:rowOff>914400</xdr:rowOff>
    </xdr:to>
    <xdr:sp macro="" textlink="">
      <xdr:nvSpPr>
        <xdr:cNvPr id="9" name="Rectangle 19">
          <a:extLst>
            <a:ext uri="{FF2B5EF4-FFF2-40B4-BE49-F238E27FC236}">
              <a16:creationId xmlns:a16="http://schemas.microsoft.com/office/drawing/2014/main" id="{BE329718-5333-485F-8F86-848D6B7A5FB0}"/>
            </a:ext>
          </a:extLst>
        </xdr:cNvPr>
        <xdr:cNvSpPr>
          <a:spLocks noChangeArrowheads="1"/>
        </xdr:cNvSpPr>
      </xdr:nvSpPr>
      <xdr:spPr bwMode="auto">
        <a:xfrm>
          <a:off x="3800475" y="61902975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223</xdr:row>
      <xdr:rowOff>295275</xdr:rowOff>
    </xdr:from>
    <xdr:to>
      <xdr:col>3</xdr:col>
      <xdr:colOff>1571625</xdr:colOff>
      <xdr:row>223</xdr:row>
      <xdr:rowOff>914400</xdr:rowOff>
    </xdr:to>
    <xdr:sp macro="" textlink="">
      <xdr:nvSpPr>
        <xdr:cNvPr id="10" name="Rectangle 20">
          <a:extLst>
            <a:ext uri="{FF2B5EF4-FFF2-40B4-BE49-F238E27FC236}">
              <a16:creationId xmlns:a16="http://schemas.microsoft.com/office/drawing/2014/main" id="{6E5A98B3-8778-46E2-9587-69C86E84847D}"/>
            </a:ext>
          </a:extLst>
        </xdr:cNvPr>
        <xdr:cNvSpPr>
          <a:spLocks noChangeArrowheads="1"/>
        </xdr:cNvSpPr>
      </xdr:nvSpPr>
      <xdr:spPr bwMode="auto">
        <a:xfrm>
          <a:off x="3800475" y="66093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10239375</xdr:colOff>
      <xdr:row>246</xdr:row>
      <xdr:rowOff>238125</xdr:rowOff>
    </xdr:from>
    <xdr:to>
      <xdr:col>3</xdr:col>
      <xdr:colOff>1571625</xdr:colOff>
      <xdr:row>246</xdr:row>
      <xdr:rowOff>914400</xdr:rowOff>
    </xdr:to>
    <xdr:sp macro="" textlink="">
      <xdr:nvSpPr>
        <xdr:cNvPr id="11" name="Rectangle 21">
          <a:extLst>
            <a:ext uri="{FF2B5EF4-FFF2-40B4-BE49-F238E27FC236}">
              <a16:creationId xmlns:a16="http://schemas.microsoft.com/office/drawing/2014/main" id="{E50E568D-609E-4EC3-83C3-AC1B4204279E}"/>
            </a:ext>
          </a:extLst>
        </xdr:cNvPr>
        <xdr:cNvSpPr>
          <a:spLocks noChangeArrowheads="1"/>
        </xdr:cNvSpPr>
      </xdr:nvSpPr>
      <xdr:spPr bwMode="auto">
        <a:xfrm>
          <a:off x="3800475" y="72828150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259</xdr:row>
      <xdr:rowOff>295275</xdr:rowOff>
    </xdr:from>
    <xdr:to>
      <xdr:col>3</xdr:col>
      <xdr:colOff>1571625</xdr:colOff>
      <xdr:row>259</xdr:row>
      <xdr:rowOff>914400</xdr:rowOff>
    </xdr:to>
    <xdr:sp macro="" textlink="">
      <xdr:nvSpPr>
        <xdr:cNvPr id="12" name="Rectangle 22">
          <a:extLst>
            <a:ext uri="{FF2B5EF4-FFF2-40B4-BE49-F238E27FC236}">
              <a16:creationId xmlns:a16="http://schemas.microsoft.com/office/drawing/2014/main" id="{F111468C-8035-4237-BDCC-616D4B8F2FC6}"/>
            </a:ext>
          </a:extLst>
        </xdr:cNvPr>
        <xdr:cNvSpPr>
          <a:spLocks noChangeArrowheads="1"/>
        </xdr:cNvSpPr>
      </xdr:nvSpPr>
      <xdr:spPr bwMode="auto">
        <a:xfrm>
          <a:off x="3800475" y="767238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47625</xdr:colOff>
      <xdr:row>283</xdr:row>
      <xdr:rowOff>66675</xdr:rowOff>
    </xdr:from>
    <xdr:to>
      <xdr:col>0</xdr:col>
      <xdr:colOff>47625</xdr:colOff>
      <xdr:row>283</xdr:row>
      <xdr:rowOff>123825</xdr:rowOff>
    </xdr:to>
    <xdr:sp macro="" textlink="">
      <xdr:nvSpPr>
        <xdr:cNvPr id="13" name="Rectangle 23">
          <a:extLst>
            <a:ext uri="{FF2B5EF4-FFF2-40B4-BE49-F238E27FC236}">
              <a16:creationId xmlns:a16="http://schemas.microsoft.com/office/drawing/2014/main" id="{9EB71994-D5F5-4C34-89FA-9E5AE742C0CF}"/>
            </a:ext>
          </a:extLst>
        </xdr:cNvPr>
        <xdr:cNvSpPr>
          <a:spLocks noChangeArrowheads="1"/>
        </xdr:cNvSpPr>
      </xdr:nvSpPr>
      <xdr:spPr bwMode="auto">
        <a:xfrm>
          <a:off x="47625" y="83581875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296</xdr:row>
      <xdr:rowOff>295275</xdr:rowOff>
    </xdr:from>
    <xdr:to>
      <xdr:col>3</xdr:col>
      <xdr:colOff>1571625</xdr:colOff>
      <xdr:row>296</xdr:row>
      <xdr:rowOff>914400</xdr:rowOff>
    </xdr:to>
    <xdr:sp macro="" textlink="">
      <xdr:nvSpPr>
        <xdr:cNvPr id="14" name="Rectangle 22">
          <a:extLst>
            <a:ext uri="{FF2B5EF4-FFF2-40B4-BE49-F238E27FC236}">
              <a16:creationId xmlns:a16="http://schemas.microsoft.com/office/drawing/2014/main" id="{8B198B12-F273-476A-9F17-4FEB8F545C08}"/>
            </a:ext>
          </a:extLst>
        </xdr:cNvPr>
        <xdr:cNvSpPr>
          <a:spLocks noChangeArrowheads="1"/>
        </xdr:cNvSpPr>
      </xdr:nvSpPr>
      <xdr:spPr bwMode="auto">
        <a:xfrm>
          <a:off x="3800475" y="87610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10239375</xdr:colOff>
      <xdr:row>320</xdr:row>
      <xdr:rowOff>238125</xdr:rowOff>
    </xdr:from>
    <xdr:to>
      <xdr:col>3</xdr:col>
      <xdr:colOff>1571625</xdr:colOff>
      <xdr:row>320</xdr:row>
      <xdr:rowOff>914400</xdr:rowOff>
    </xdr:to>
    <xdr:sp macro="" textlink="">
      <xdr:nvSpPr>
        <xdr:cNvPr id="15" name="Rectangle 23">
          <a:extLst>
            <a:ext uri="{FF2B5EF4-FFF2-40B4-BE49-F238E27FC236}">
              <a16:creationId xmlns:a16="http://schemas.microsoft.com/office/drawing/2014/main" id="{9D4296F6-527F-414F-9E1B-D877B774E9A7}"/>
            </a:ext>
          </a:extLst>
        </xdr:cNvPr>
        <xdr:cNvSpPr>
          <a:spLocks noChangeArrowheads="1"/>
        </xdr:cNvSpPr>
      </xdr:nvSpPr>
      <xdr:spPr bwMode="auto">
        <a:xfrm>
          <a:off x="3800475" y="94611825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333</xdr:row>
      <xdr:rowOff>295275</xdr:rowOff>
    </xdr:from>
    <xdr:to>
      <xdr:col>3</xdr:col>
      <xdr:colOff>1571625</xdr:colOff>
      <xdr:row>333</xdr:row>
      <xdr:rowOff>914400</xdr:rowOff>
    </xdr:to>
    <xdr:sp macro="" textlink="">
      <xdr:nvSpPr>
        <xdr:cNvPr id="16" name="Rectangle 22">
          <a:extLst>
            <a:ext uri="{FF2B5EF4-FFF2-40B4-BE49-F238E27FC236}">
              <a16:creationId xmlns:a16="http://schemas.microsoft.com/office/drawing/2014/main" id="{011FDD39-F03C-4D0D-912D-7C18A0DC0E8F}"/>
            </a:ext>
          </a:extLst>
        </xdr:cNvPr>
        <xdr:cNvSpPr>
          <a:spLocks noChangeArrowheads="1"/>
        </xdr:cNvSpPr>
      </xdr:nvSpPr>
      <xdr:spPr bwMode="auto">
        <a:xfrm>
          <a:off x="3800475" y="98507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10239375</xdr:colOff>
      <xdr:row>357</xdr:row>
      <xdr:rowOff>238125</xdr:rowOff>
    </xdr:from>
    <xdr:to>
      <xdr:col>3</xdr:col>
      <xdr:colOff>1571625</xdr:colOff>
      <xdr:row>357</xdr:row>
      <xdr:rowOff>914400</xdr:rowOff>
    </xdr:to>
    <xdr:sp macro="" textlink="">
      <xdr:nvSpPr>
        <xdr:cNvPr id="17" name="Rectangle 23">
          <a:extLst>
            <a:ext uri="{FF2B5EF4-FFF2-40B4-BE49-F238E27FC236}">
              <a16:creationId xmlns:a16="http://schemas.microsoft.com/office/drawing/2014/main" id="{BD81CD51-CC62-4AF1-A8F8-8BB0D21A4331}"/>
            </a:ext>
          </a:extLst>
        </xdr:cNvPr>
        <xdr:cNvSpPr>
          <a:spLocks noChangeArrowheads="1"/>
        </xdr:cNvSpPr>
      </xdr:nvSpPr>
      <xdr:spPr bwMode="auto">
        <a:xfrm>
          <a:off x="3800475" y="105508425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370</xdr:row>
      <xdr:rowOff>295275</xdr:rowOff>
    </xdr:from>
    <xdr:to>
      <xdr:col>3</xdr:col>
      <xdr:colOff>1571625</xdr:colOff>
      <xdr:row>370</xdr:row>
      <xdr:rowOff>914400</xdr:rowOff>
    </xdr:to>
    <xdr:sp macro="" textlink="">
      <xdr:nvSpPr>
        <xdr:cNvPr id="18" name="Rectangle 22">
          <a:extLst>
            <a:ext uri="{FF2B5EF4-FFF2-40B4-BE49-F238E27FC236}">
              <a16:creationId xmlns:a16="http://schemas.microsoft.com/office/drawing/2014/main" id="{3C4B09C1-E0AA-4B83-A7F2-9D605DBE7155}"/>
            </a:ext>
          </a:extLst>
        </xdr:cNvPr>
        <xdr:cNvSpPr>
          <a:spLocks noChangeArrowheads="1"/>
        </xdr:cNvSpPr>
      </xdr:nvSpPr>
      <xdr:spPr bwMode="auto">
        <a:xfrm>
          <a:off x="3800475" y="1093660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10239375</xdr:colOff>
      <xdr:row>393</xdr:row>
      <xdr:rowOff>238125</xdr:rowOff>
    </xdr:from>
    <xdr:to>
      <xdr:col>3</xdr:col>
      <xdr:colOff>1571625</xdr:colOff>
      <xdr:row>393</xdr:row>
      <xdr:rowOff>914400</xdr:rowOff>
    </xdr:to>
    <xdr:sp macro="" textlink="">
      <xdr:nvSpPr>
        <xdr:cNvPr id="19" name="Rectangle 23">
          <a:extLst>
            <a:ext uri="{FF2B5EF4-FFF2-40B4-BE49-F238E27FC236}">
              <a16:creationId xmlns:a16="http://schemas.microsoft.com/office/drawing/2014/main" id="{80820171-036F-4C96-9DF0-93762EBE42AB}"/>
            </a:ext>
          </a:extLst>
        </xdr:cNvPr>
        <xdr:cNvSpPr>
          <a:spLocks noChangeArrowheads="1"/>
        </xdr:cNvSpPr>
      </xdr:nvSpPr>
      <xdr:spPr bwMode="auto">
        <a:xfrm>
          <a:off x="3800475" y="116100225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406</xdr:row>
      <xdr:rowOff>295275</xdr:rowOff>
    </xdr:from>
    <xdr:to>
      <xdr:col>3</xdr:col>
      <xdr:colOff>1571625</xdr:colOff>
      <xdr:row>406</xdr:row>
      <xdr:rowOff>914400</xdr:rowOff>
    </xdr:to>
    <xdr:sp macro="" textlink="">
      <xdr:nvSpPr>
        <xdr:cNvPr id="20" name="Rectangle 22">
          <a:extLst>
            <a:ext uri="{FF2B5EF4-FFF2-40B4-BE49-F238E27FC236}">
              <a16:creationId xmlns:a16="http://schemas.microsoft.com/office/drawing/2014/main" id="{4C8097F0-86E6-4353-AAB5-6FE7853ECFE1}"/>
            </a:ext>
          </a:extLst>
        </xdr:cNvPr>
        <xdr:cNvSpPr>
          <a:spLocks noChangeArrowheads="1"/>
        </xdr:cNvSpPr>
      </xdr:nvSpPr>
      <xdr:spPr bwMode="auto">
        <a:xfrm>
          <a:off x="3800475" y="1199578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10239375</xdr:colOff>
      <xdr:row>431</xdr:row>
      <xdr:rowOff>238125</xdr:rowOff>
    </xdr:from>
    <xdr:to>
      <xdr:col>3</xdr:col>
      <xdr:colOff>1571625</xdr:colOff>
      <xdr:row>431</xdr:row>
      <xdr:rowOff>914400</xdr:rowOff>
    </xdr:to>
    <xdr:sp macro="" textlink="">
      <xdr:nvSpPr>
        <xdr:cNvPr id="21" name="Rectangle 23">
          <a:extLst>
            <a:ext uri="{FF2B5EF4-FFF2-40B4-BE49-F238E27FC236}">
              <a16:creationId xmlns:a16="http://schemas.microsoft.com/office/drawing/2014/main" id="{A841785B-EA17-491C-B6AF-CEF116CF4879}"/>
            </a:ext>
          </a:extLst>
        </xdr:cNvPr>
        <xdr:cNvSpPr>
          <a:spLocks noChangeArrowheads="1"/>
        </xdr:cNvSpPr>
      </xdr:nvSpPr>
      <xdr:spPr bwMode="auto">
        <a:xfrm>
          <a:off x="3800475" y="127282575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0</xdr:row>
      <xdr:rowOff>19050</xdr:rowOff>
    </xdr:from>
    <xdr:to>
      <xdr:col>0</xdr:col>
      <xdr:colOff>676275</xdr:colOff>
      <xdr:row>2</xdr:row>
      <xdr:rowOff>95250</xdr:rowOff>
    </xdr:to>
    <xdr:pic>
      <xdr:nvPicPr>
        <xdr:cNvPr id="22" name="รูปภาพ 2" descr="krut_s">
          <a:extLst>
            <a:ext uri="{FF2B5EF4-FFF2-40B4-BE49-F238E27FC236}">
              <a16:creationId xmlns:a16="http://schemas.microsoft.com/office/drawing/2014/main" id="{9EE680E1-5DB0-4230-908B-EF2538DE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90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33</xdr:row>
      <xdr:rowOff>295275</xdr:rowOff>
    </xdr:from>
    <xdr:to>
      <xdr:col>3</xdr:col>
      <xdr:colOff>1571625</xdr:colOff>
      <xdr:row>33</xdr:row>
      <xdr:rowOff>914400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6C4777D6-6F9C-4D94-A390-AFC346113EEE}"/>
            </a:ext>
          </a:extLst>
        </xdr:cNvPr>
        <xdr:cNvSpPr>
          <a:spLocks noChangeArrowheads="1"/>
        </xdr:cNvSpPr>
      </xdr:nvSpPr>
      <xdr:spPr bwMode="auto">
        <a:xfrm>
          <a:off x="3800475" y="10125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30</xdr:row>
      <xdr:rowOff>19050</xdr:rowOff>
    </xdr:from>
    <xdr:to>
      <xdr:col>0</xdr:col>
      <xdr:colOff>676275</xdr:colOff>
      <xdr:row>32</xdr:row>
      <xdr:rowOff>95250</xdr:rowOff>
    </xdr:to>
    <xdr:pic>
      <xdr:nvPicPr>
        <xdr:cNvPr id="24" name="รูปภาพ 2" descr="krut_s">
          <a:extLst>
            <a:ext uri="{FF2B5EF4-FFF2-40B4-BE49-F238E27FC236}">
              <a16:creationId xmlns:a16="http://schemas.microsoft.com/office/drawing/2014/main" id="{AC35AEB6-EEED-4560-89B6-BB476905D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88868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95</xdr:row>
      <xdr:rowOff>295275</xdr:rowOff>
    </xdr:from>
    <xdr:to>
      <xdr:col>3</xdr:col>
      <xdr:colOff>1571625</xdr:colOff>
      <xdr:row>95</xdr:row>
      <xdr:rowOff>914400</xdr:rowOff>
    </xdr:to>
    <xdr:sp macro="" textlink="">
      <xdr:nvSpPr>
        <xdr:cNvPr id="25" name="Rectangle 6">
          <a:extLst>
            <a:ext uri="{FF2B5EF4-FFF2-40B4-BE49-F238E27FC236}">
              <a16:creationId xmlns:a16="http://schemas.microsoft.com/office/drawing/2014/main" id="{47B4F79B-747A-42A1-8484-B87230BA83B4}"/>
            </a:ext>
          </a:extLst>
        </xdr:cNvPr>
        <xdr:cNvSpPr>
          <a:spLocks noChangeArrowheads="1"/>
        </xdr:cNvSpPr>
      </xdr:nvSpPr>
      <xdr:spPr bwMode="auto">
        <a:xfrm>
          <a:off x="3800475" y="28184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126</xdr:row>
      <xdr:rowOff>295275</xdr:rowOff>
    </xdr:from>
    <xdr:to>
      <xdr:col>3</xdr:col>
      <xdr:colOff>1571625</xdr:colOff>
      <xdr:row>126</xdr:row>
      <xdr:rowOff>914400</xdr:rowOff>
    </xdr:to>
    <xdr:sp macro="" textlink="">
      <xdr:nvSpPr>
        <xdr:cNvPr id="26" name="Rectangle 8">
          <a:extLst>
            <a:ext uri="{FF2B5EF4-FFF2-40B4-BE49-F238E27FC236}">
              <a16:creationId xmlns:a16="http://schemas.microsoft.com/office/drawing/2014/main" id="{C9D44565-907C-49C6-9A73-E9A71EBC44B0}"/>
            </a:ext>
          </a:extLst>
        </xdr:cNvPr>
        <xdr:cNvSpPr>
          <a:spLocks noChangeArrowheads="1"/>
        </xdr:cNvSpPr>
      </xdr:nvSpPr>
      <xdr:spPr bwMode="auto">
        <a:xfrm>
          <a:off x="3800475" y="37414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96</xdr:row>
      <xdr:rowOff>295275</xdr:rowOff>
    </xdr:from>
    <xdr:to>
      <xdr:col>3</xdr:col>
      <xdr:colOff>1571625</xdr:colOff>
      <xdr:row>96</xdr:row>
      <xdr:rowOff>914400</xdr:rowOff>
    </xdr:to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ECF8169B-B06C-4A0B-B775-86A337C08AFB}"/>
            </a:ext>
          </a:extLst>
        </xdr:cNvPr>
        <xdr:cNvSpPr>
          <a:spLocks noChangeArrowheads="1"/>
        </xdr:cNvSpPr>
      </xdr:nvSpPr>
      <xdr:spPr bwMode="auto">
        <a:xfrm>
          <a:off x="3800475" y="284797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152400</xdr:colOff>
      <xdr:row>92</xdr:row>
      <xdr:rowOff>95250</xdr:rowOff>
    </xdr:from>
    <xdr:to>
      <xdr:col>0</xdr:col>
      <xdr:colOff>590550</xdr:colOff>
      <xdr:row>94</xdr:row>
      <xdr:rowOff>171450</xdr:rowOff>
    </xdr:to>
    <xdr:pic>
      <xdr:nvPicPr>
        <xdr:cNvPr id="28" name="รูปภาพ 2" descr="krut_s">
          <a:extLst>
            <a:ext uri="{FF2B5EF4-FFF2-40B4-BE49-F238E27FC236}">
              <a16:creationId xmlns:a16="http://schemas.microsoft.com/office/drawing/2014/main" id="{05481286-D330-4003-A234-54ACE9F7A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72034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63</xdr:row>
      <xdr:rowOff>295275</xdr:rowOff>
    </xdr:from>
    <xdr:to>
      <xdr:col>3</xdr:col>
      <xdr:colOff>1571625</xdr:colOff>
      <xdr:row>63</xdr:row>
      <xdr:rowOff>914400</xdr:rowOff>
    </xdr:to>
    <xdr:sp macro="" textlink="">
      <xdr:nvSpPr>
        <xdr:cNvPr id="29" name="Rectangle 6">
          <a:extLst>
            <a:ext uri="{FF2B5EF4-FFF2-40B4-BE49-F238E27FC236}">
              <a16:creationId xmlns:a16="http://schemas.microsoft.com/office/drawing/2014/main" id="{1914C8FE-D63C-4674-92C5-FD75929D652F}"/>
            </a:ext>
          </a:extLst>
        </xdr:cNvPr>
        <xdr:cNvSpPr>
          <a:spLocks noChangeArrowheads="1"/>
        </xdr:cNvSpPr>
      </xdr:nvSpPr>
      <xdr:spPr bwMode="auto">
        <a:xfrm>
          <a:off x="3800475" y="188404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64</xdr:row>
      <xdr:rowOff>295275</xdr:rowOff>
    </xdr:from>
    <xdr:to>
      <xdr:col>3</xdr:col>
      <xdr:colOff>1571625</xdr:colOff>
      <xdr:row>64</xdr:row>
      <xdr:rowOff>914400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F5DEAA9-73E0-477D-96C3-8E6D1AE9204F}"/>
            </a:ext>
          </a:extLst>
        </xdr:cNvPr>
        <xdr:cNvSpPr>
          <a:spLocks noChangeArrowheads="1"/>
        </xdr:cNvSpPr>
      </xdr:nvSpPr>
      <xdr:spPr bwMode="auto">
        <a:xfrm>
          <a:off x="3800475" y="19135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61</xdr:row>
      <xdr:rowOff>19050</xdr:rowOff>
    </xdr:from>
    <xdr:to>
      <xdr:col>0</xdr:col>
      <xdr:colOff>676275</xdr:colOff>
      <xdr:row>63</xdr:row>
      <xdr:rowOff>95250</xdr:rowOff>
    </xdr:to>
    <xdr:pic>
      <xdr:nvPicPr>
        <xdr:cNvPr id="31" name="รูปภาพ 2" descr="krut_s">
          <a:extLst>
            <a:ext uri="{FF2B5EF4-FFF2-40B4-BE49-F238E27FC236}">
              <a16:creationId xmlns:a16="http://schemas.microsoft.com/office/drawing/2014/main" id="{FE8B6DA1-8884-4CB6-87EA-CFE4EFA36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7897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126</xdr:row>
      <xdr:rowOff>295275</xdr:rowOff>
    </xdr:from>
    <xdr:to>
      <xdr:col>3</xdr:col>
      <xdr:colOff>1571625</xdr:colOff>
      <xdr:row>126</xdr:row>
      <xdr:rowOff>914400</xdr:rowOff>
    </xdr:to>
    <xdr:sp macro="" textlink="">
      <xdr:nvSpPr>
        <xdr:cNvPr id="32" name="Rectangle 6">
          <a:extLst>
            <a:ext uri="{FF2B5EF4-FFF2-40B4-BE49-F238E27FC236}">
              <a16:creationId xmlns:a16="http://schemas.microsoft.com/office/drawing/2014/main" id="{BA9DDEB3-DCAB-470C-A429-3B58AD61781C}"/>
            </a:ext>
          </a:extLst>
        </xdr:cNvPr>
        <xdr:cNvSpPr>
          <a:spLocks noChangeArrowheads="1"/>
        </xdr:cNvSpPr>
      </xdr:nvSpPr>
      <xdr:spPr bwMode="auto">
        <a:xfrm>
          <a:off x="3800475" y="374142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127</xdr:row>
      <xdr:rowOff>295275</xdr:rowOff>
    </xdr:from>
    <xdr:to>
      <xdr:col>3</xdr:col>
      <xdr:colOff>1571625</xdr:colOff>
      <xdr:row>127</xdr:row>
      <xdr:rowOff>914400</xdr:rowOff>
    </xdr:to>
    <xdr:sp macro="" textlink="">
      <xdr:nvSpPr>
        <xdr:cNvPr id="33" name="Rectangle 1">
          <a:extLst>
            <a:ext uri="{FF2B5EF4-FFF2-40B4-BE49-F238E27FC236}">
              <a16:creationId xmlns:a16="http://schemas.microsoft.com/office/drawing/2014/main" id="{1B11C17B-FB2E-43AE-8D2C-6C45580373FC}"/>
            </a:ext>
          </a:extLst>
        </xdr:cNvPr>
        <xdr:cNvSpPr>
          <a:spLocks noChangeArrowheads="1"/>
        </xdr:cNvSpPr>
      </xdr:nvSpPr>
      <xdr:spPr bwMode="auto">
        <a:xfrm>
          <a:off x="3800475" y="37709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124</xdr:row>
      <xdr:rowOff>19050</xdr:rowOff>
    </xdr:from>
    <xdr:to>
      <xdr:col>0</xdr:col>
      <xdr:colOff>676275</xdr:colOff>
      <xdr:row>126</xdr:row>
      <xdr:rowOff>95250</xdr:rowOff>
    </xdr:to>
    <xdr:pic>
      <xdr:nvPicPr>
        <xdr:cNvPr id="34" name="รูปภาพ 2" descr="krut_s">
          <a:extLst>
            <a:ext uri="{FF2B5EF4-FFF2-40B4-BE49-F238E27FC236}">
              <a16:creationId xmlns:a16="http://schemas.microsoft.com/office/drawing/2014/main" id="{4819B656-D267-4D2B-99C6-5DE2C0B3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64712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445</xdr:row>
      <xdr:rowOff>295275</xdr:rowOff>
    </xdr:from>
    <xdr:to>
      <xdr:col>3</xdr:col>
      <xdr:colOff>1571625</xdr:colOff>
      <xdr:row>445</xdr:row>
      <xdr:rowOff>914400</xdr:rowOff>
    </xdr:to>
    <xdr:sp macro="" textlink="">
      <xdr:nvSpPr>
        <xdr:cNvPr id="35" name="Rectangle 6">
          <a:extLst>
            <a:ext uri="{FF2B5EF4-FFF2-40B4-BE49-F238E27FC236}">
              <a16:creationId xmlns:a16="http://schemas.microsoft.com/office/drawing/2014/main" id="{A231C141-C1B6-46EA-924F-32ADCDE614A9}"/>
            </a:ext>
          </a:extLst>
        </xdr:cNvPr>
        <xdr:cNvSpPr>
          <a:spLocks noChangeArrowheads="1"/>
        </xdr:cNvSpPr>
      </xdr:nvSpPr>
      <xdr:spPr bwMode="auto">
        <a:xfrm>
          <a:off x="3800475" y="1315116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446</xdr:row>
      <xdr:rowOff>295275</xdr:rowOff>
    </xdr:from>
    <xdr:to>
      <xdr:col>3</xdr:col>
      <xdr:colOff>1571625</xdr:colOff>
      <xdr:row>446</xdr:row>
      <xdr:rowOff>914400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AC60F324-3073-491E-A861-DEF006DF4947}"/>
            </a:ext>
          </a:extLst>
        </xdr:cNvPr>
        <xdr:cNvSpPr>
          <a:spLocks noChangeArrowheads="1"/>
        </xdr:cNvSpPr>
      </xdr:nvSpPr>
      <xdr:spPr bwMode="auto">
        <a:xfrm>
          <a:off x="3800475" y="131806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443</xdr:row>
      <xdr:rowOff>19050</xdr:rowOff>
    </xdr:from>
    <xdr:to>
      <xdr:col>0</xdr:col>
      <xdr:colOff>676275</xdr:colOff>
      <xdr:row>445</xdr:row>
      <xdr:rowOff>95250</xdr:rowOff>
    </xdr:to>
    <xdr:pic>
      <xdr:nvPicPr>
        <xdr:cNvPr id="37" name="รูปภาพ 2" descr="krut_s">
          <a:extLst>
            <a:ext uri="{FF2B5EF4-FFF2-40B4-BE49-F238E27FC236}">
              <a16:creationId xmlns:a16="http://schemas.microsoft.com/office/drawing/2014/main" id="{B459980E-F780-4691-866D-05FDA1B2A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305687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476</xdr:row>
      <xdr:rowOff>295275</xdr:rowOff>
    </xdr:from>
    <xdr:to>
      <xdr:col>3</xdr:col>
      <xdr:colOff>1571625</xdr:colOff>
      <xdr:row>476</xdr:row>
      <xdr:rowOff>914400</xdr:rowOff>
    </xdr:to>
    <xdr:sp macro="" textlink="">
      <xdr:nvSpPr>
        <xdr:cNvPr id="38" name="Rectangle 6">
          <a:extLst>
            <a:ext uri="{FF2B5EF4-FFF2-40B4-BE49-F238E27FC236}">
              <a16:creationId xmlns:a16="http://schemas.microsoft.com/office/drawing/2014/main" id="{5C06E7A0-ADD8-4173-8701-13BFC517E178}"/>
            </a:ext>
          </a:extLst>
        </xdr:cNvPr>
        <xdr:cNvSpPr>
          <a:spLocks noChangeArrowheads="1"/>
        </xdr:cNvSpPr>
      </xdr:nvSpPr>
      <xdr:spPr bwMode="auto">
        <a:xfrm>
          <a:off x="3800475" y="140703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477</xdr:row>
      <xdr:rowOff>295275</xdr:rowOff>
    </xdr:from>
    <xdr:to>
      <xdr:col>3</xdr:col>
      <xdr:colOff>1571625</xdr:colOff>
      <xdr:row>477</xdr:row>
      <xdr:rowOff>914400</xdr:rowOff>
    </xdr:to>
    <xdr:sp macro="" textlink="">
      <xdr:nvSpPr>
        <xdr:cNvPr id="39" name="Rectangle 1">
          <a:extLst>
            <a:ext uri="{FF2B5EF4-FFF2-40B4-BE49-F238E27FC236}">
              <a16:creationId xmlns:a16="http://schemas.microsoft.com/office/drawing/2014/main" id="{57975475-56D9-4985-B337-B1C7B57C93AD}"/>
            </a:ext>
          </a:extLst>
        </xdr:cNvPr>
        <xdr:cNvSpPr>
          <a:spLocks noChangeArrowheads="1"/>
        </xdr:cNvSpPr>
      </xdr:nvSpPr>
      <xdr:spPr bwMode="auto">
        <a:xfrm>
          <a:off x="3800475" y="140998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474</xdr:row>
      <xdr:rowOff>19050</xdr:rowOff>
    </xdr:from>
    <xdr:to>
      <xdr:col>0</xdr:col>
      <xdr:colOff>676275</xdr:colOff>
      <xdr:row>476</xdr:row>
      <xdr:rowOff>95250</xdr:rowOff>
    </xdr:to>
    <xdr:pic>
      <xdr:nvPicPr>
        <xdr:cNvPr id="40" name="รูปภาพ 2" descr="krut_s">
          <a:extLst>
            <a:ext uri="{FF2B5EF4-FFF2-40B4-BE49-F238E27FC236}">
              <a16:creationId xmlns:a16="http://schemas.microsoft.com/office/drawing/2014/main" id="{2729D620-0B66-4962-B176-7071C2EC4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397603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506</xdr:row>
      <xdr:rowOff>295275</xdr:rowOff>
    </xdr:from>
    <xdr:to>
      <xdr:col>3</xdr:col>
      <xdr:colOff>1571625</xdr:colOff>
      <xdr:row>506</xdr:row>
      <xdr:rowOff>914400</xdr:rowOff>
    </xdr:to>
    <xdr:sp macro="" textlink="">
      <xdr:nvSpPr>
        <xdr:cNvPr id="41" name="Rectangle 6">
          <a:extLst>
            <a:ext uri="{FF2B5EF4-FFF2-40B4-BE49-F238E27FC236}">
              <a16:creationId xmlns:a16="http://schemas.microsoft.com/office/drawing/2014/main" id="{EDA1AA8B-6E4E-403E-B6F8-4FC05749A4F4}"/>
            </a:ext>
          </a:extLst>
        </xdr:cNvPr>
        <xdr:cNvSpPr>
          <a:spLocks noChangeArrowheads="1"/>
        </xdr:cNvSpPr>
      </xdr:nvSpPr>
      <xdr:spPr bwMode="auto">
        <a:xfrm>
          <a:off x="3800475" y="1496377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507</xdr:row>
      <xdr:rowOff>295275</xdr:rowOff>
    </xdr:from>
    <xdr:to>
      <xdr:col>3</xdr:col>
      <xdr:colOff>1571625</xdr:colOff>
      <xdr:row>507</xdr:row>
      <xdr:rowOff>914400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EFCDCA60-FE27-4A19-94C6-635015CC55C7}"/>
            </a:ext>
          </a:extLst>
        </xdr:cNvPr>
        <xdr:cNvSpPr>
          <a:spLocks noChangeArrowheads="1"/>
        </xdr:cNvSpPr>
      </xdr:nvSpPr>
      <xdr:spPr bwMode="auto">
        <a:xfrm>
          <a:off x="3800475" y="149933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504</xdr:row>
      <xdr:rowOff>19050</xdr:rowOff>
    </xdr:from>
    <xdr:to>
      <xdr:col>0</xdr:col>
      <xdr:colOff>676275</xdr:colOff>
      <xdr:row>506</xdr:row>
      <xdr:rowOff>95250</xdr:rowOff>
    </xdr:to>
    <xdr:pic>
      <xdr:nvPicPr>
        <xdr:cNvPr id="43" name="รูปภาพ 2" descr="krut_s">
          <a:extLst>
            <a:ext uri="{FF2B5EF4-FFF2-40B4-BE49-F238E27FC236}">
              <a16:creationId xmlns:a16="http://schemas.microsoft.com/office/drawing/2014/main" id="{AA0F7020-F063-4755-8FFC-9CD5FAE5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486947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537</xdr:row>
      <xdr:rowOff>295275</xdr:rowOff>
    </xdr:from>
    <xdr:to>
      <xdr:col>3</xdr:col>
      <xdr:colOff>1571625</xdr:colOff>
      <xdr:row>537</xdr:row>
      <xdr:rowOff>914400</xdr:rowOff>
    </xdr:to>
    <xdr:sp macro="" textlink="">
      <xdr:nvSpPr>
        <xdr:cNvPr id="44" name="Rectangle 6">
          <a:extLst>
            <a:ext uri="{FF2B5EF4-FFF2-40B4-BE49-F238E27FC236}">
              <a16:creationId xmlns:a16="http://schemas.microsoft.com/office/drawing/2014/main" id="{C30F0A7E-2190-496A-8D1D-412BD318FD8B}"/>
            </a:ext>
          </a:extLst>
        </xdr:cNvPr>
        <xdr:cNvSpPr>
          <a:spLocks noChangeArrowheads="1"/>
        </xdr:cNvSpPr>
      </xdr:nvSpPr>
      <xdr:spPr bwMode="auto">
        <a:xfrm>
          <a:off x="3800475" y="158829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538</xdr:row>
      <xdr:rowOff>295275</xdr:rowOff>
    </xdr:from>
    <xdr:to>
      <xdr:col>3</xdr:col>
      <xdr:colOff>1571625</xdr:colOff>
      <xdr:row>538</xdr:row>
      <xdr:rowOff>914400</xdr:rowOff>
    </xdr:to>
    <xdr:sp macro="" textlink="">
      <xdr:nvSpPr>
        <xdr:cNvPr id="45" name="Rectangle 1">
          <a:extLst>
            <a:ext uri="{FF2B5EF4-FFF2-40B4-BE49-F238E27FC236}">
              <a16:creationId xmlns:a16="http://schemas.microsoft.com/office/drawing/2014/main" id="{4AB68A64-59E7-497B-917B-CB42641E3800}"/>
            </a:ext>
          </a:extLst>
        </xdr:cNvPr>
        <xdr:cNvSpPr>
          <a:spLocks noChangeArrowheads="1"/>
        </xdr:cNvSpPr>
      </xdr:nvSpPr>
      <xdr:spPr bwMode="auto">
        <a:xfrm>
          <a:off x="3800475" y="159124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95250</xdr:colOff>
      <xdr:row>535</xdr:row>
      <xdr:rowOff>0</xdr:rowOff>
    </xdr:from>
    <xdr:to>
      <xdr:col>0</xdr:col>
      <xdr:colOff>533400</xdr:colOff>
      <xdr:row>537</xdr:row>
      <xdr:rowOff>76200</xdr:rowOff>
    </xdr:to>
    <xdr:pic>
      <xdr:nvPicPr>
        <xdr:cNvPr id="46" name="รูปภาพ 2" descr="krut_s">
          <a:extLst>
            <a:ext uri="{FF2B5EF4-FFF2-40B4-BE49-F238E27FC236}">
              <a16:creationId xmlns:a16="http://schemas.microsoft.com/office/drawing/2014/main" id="{2F51C398-92AA-4F54-BF23-237F1803B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578673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568</xdr:row>
      <xdr:rowOff>295275</xdr:rowOff>
    </xdr:from>
    <xdr:to>
      <xdr:col>3</xdr:col>
      <xdr:colOff>1571625</xdr:colOff>
      <xdr:row>568</xdr:row>
      <xdr:rowOff>914400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003D0811-3342-40EB-BCCB-17F388A4911E}"/>
            </a:ext>
          </a:extLst>
        </xdr:cNvPr>
        <xdr:cNvSpPr>
          <a:spLocks noChangeArrowheads="1"/>
        </xdr:cNvSpPr>
      </xdr:nvSpPr>
      <xdr:spPr bwMode="auto">
        <a:xfrm>
          <a:off x="3800475" y="16805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565</xdr:row>
      <xdr:rowOff>19050</xdr:rowOff>
    </xdr:from>
    <xdr:to>
      <xdr:col>0</xdr:col>
      <xdr:colOff>676275</xdr:colOff>
      <xdr:row>567</xdr:row>
      <xdr:rowOff>95250</xdr:rowOff>
    </xdr:to>
    <xdr:pic>
      <xdr:nvPicPr>
        <xdr:cNvPr id="48" name="รูปภาพ 2" descr="krut_s">
          <a:extLst>
            <a:ext uri="{FF2B5EF4-FFF2-40B4-BE49-F238E27FC236}">
              <a16:creationId xmlns:a16="http://schemas.microsoft.com/office/drawing/2014/main" id="{AD579720-98DA-4AFA-A01D-AEFF954D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668208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597</xdr:row>
      <xdr:rowOff>295275</xdr:rowOff>
    </xdr:from>
    <xdr:to>
      <xdr:col>3</xdr:col>
      <xdr:colOff>1571625</xdr:colOff>
      <xdr:row>597</xdr:row>
      <xdr:rowOff>914400</xdr:rowOff>
    </xdr:to>
    <xdr:sp macro="" textlink="">
      <xdr:nvSpPr>
        <xdr:cNvPr id="49" name="Rectangle 6">
          <a:extLst>
            <a:ext uri="{FF2B5EF4-FFF2-40B4-BE49-F238E27FC236}">
              <a16:creationId xmlns:a16="http://schemas.microsoft.com/office/drawing/2014/main" id="{F8D76D5D-7316-4B2B-A2B0-D51A1DD67D86}"/>
            </a:ext>
          </a:extLst>
        </xdr:cNvPr>
        <xdr:cNvSpPr>
          <a:spLocks noChangeArrowheads="1"/>
        </xdr:cNvSpPr>
      </xdr:nvSpPr>
      <xdr:spPr bwMode="auto">
        <a:xfrm>
          <a:off x="3800475" y="1766982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598</xdr:row>
      <xdr:rowOff>295275</xdr:rowOff>
    </xdr:from>
    <xdr:to>
      <xdr:col>3</xdr:col>
      <xdr:colOff>1571625</xdr:colOff>
      <xdr:row>598</xdr:row>
      <xdr:rowOff>914400</xdr:rowOff>
    </xdr:to>
    <xdr:sp macro="" textlink="">
      <xdr:nvSpPr>
        <xdr:cNvPr id="50" name="Rectangle 1">
          <a:extLst>
            <a:ext uri="{FF2B5EF4-FFF2-40B4-BE49-F238E27FC236}">
              <a16:creationId xmlns:a16="http://schemas.microsoft.com/office/drawing/2014/main" id="{2449EB9F-8392-490D-8918-AB8E8518FE57}"/>
            </a:ext>
          </a:extLst>
        </xdr:cNvPr>
        <xdr:cNvSpPr>
          <a:spLocks noChangeArrowheads="1"/>
        </xdr:cNvSpPr>
      </xdr:nvSpPr>
      <xdr:spPr bwMode="auto">
        <a:xfrm>
          <a:off x="3800475" y="176993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595</xdr:row>
      <xdr:rowOff>19050</xdr:rowOff>
    </xdr:from>
    <xdr:to>
      <xdr:col>0</xdr:col>
      <xdr:colOff>676275</xdr:colOff>
      <xdr:row>597</xdr:row>
      <xdr:rowOff>95250</xdr:rowOff>
    </xdr:to>
    <xdr:pic>
      <xdr:nvPicPr>
        <xdr:cNvPr id="51" name="รูปภาพ 2" descr="krut_s">
          <a:extLst>
            <a:ext uri="{FF2B5EF4-FFF2-40B4-BE49-F238E27FC236}">
              <a16:creationId xmlns:a16="http://schemas.microsoft.com/office/drawing/2014/main" id="{FA65CCC9-01C6-48FF-AF9B-1FD679BB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757553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627</xdr:row>
      <xdr:rowOff>295275</xdr:rowOff>
    </xdr:from>
    <xdr:to>
      <xdr:col>3</xdr:col>
      <xdr:colOff>1571625</xdr:colOff>
      <xdr:row>627</xdr:row>
      <xdr:rowOff>914400</xdr:rowOff>
    </xdr:to>
    <xdr:sp macro="" textlink="">
      <xdr:nvSpPr>
        <xdr:cNvPr id="52" name="Rectangle 6">
          <a:extLst>
            <a:ext uri="{FF2B5EF4-FFF2-40B4-BE49-F238E27FC236}">
              <a16:creationId xmlns:a16="http://schemas.microsoft.com/office/drawing/2014/main" id="{333B960B-1854-491A-B84C-5399D9F7054B}"/>
            </a:ext>
          </a:extLst>
        </xdr:cNvPr>
        <xdr:cNvSpPr>
          <a:spLocks noChangeArrowheads="1"/>
        </xdr:cNvSpPr>
      </xdr:nvSpPr>
      <xdr:spPr bwMode="auto">
        <a:xfrm>
          <a:off x="3800475" y="185632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628</xdr:row>
      <xdr:rowOff>295275</xdr:rowOff>
    </xdr:from>
    <xdr:to>
      <xdr:col>3</xdr:col>
      <xdr:colOff>1571625</xdr:colOff>
      <xdr:row>628</xdr:row>
      <xdr:rowOff>914400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3ACE57DB-12C6-4116-B29F-ED55B9687EE2}"/>
            </a:ext>
          </a:extLst>
        </xdr:cNvPr>
        <xdr:cNvSpPr>
          <a:spLocks noChangeArrowheads="1"/>
        </xdr:cNvSpPr>
      </xdr:nvSpPr>
      <xdr:spPr bwMode="auto">
        <a:xfrm>
          <a:off x="3800475" y="1859280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625</xdr:row>
      <xdr:rowOff>19050</xdr:rowOff>
    </xdr:from>
    <xdr:to>
      <xdr:col>0</xdr:col>
      <xdr:colOff>676275</xdr:colOff>
      <xdr:row>627</xdr:row>
      <xdr:rowOff>95250</xdr:rowOff>
    </xdr:to>
    <xdr:pic>
      <xdr:nvPicPr>
        <xdr:cNvPr id="54" name="รูปภาพ 2" descr="krut_s">
          <a:extLst>
            <a:ext uri="{FF2B5EF4-FFF2-40B4-BE49-F238E27FC236}">
              <a16:creationId xmlns:a16="http://schemas.microsoft.com/office/drawing/2014/main" id="{D0DAB5E9-4D60-4CA4-9B6D-A50D4961E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846897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657</xdr:row>
      <xdr:rowOff>295275</xdr:rowOff>
    </xdr:from>
    <xdr:to>
      <xdr:col>3</xdr:col>
      <xdr:colOff>1571625</xdr:colOff>
      <xdr:row>657</xdr:row>
      <xdr:rowOff>914400</xdr:rowOff>
    </xdr:to>
    <xdr:sp macro="" textlink="">
      <xdr:nvSpPr>
        <xdr:cNvPr id="55" name="Rectangle 6">
          <a:extLst>
            <a:ext uri="{FF2B5EF4-FFF2-40B4-BE49-F238E27FC236}">
              <a16:creationId xmlns:a16="http://schemas.microsoft.com/office/drawing/2014/main" id="{6611E66B-B8C5-4115-9DB1-A455BAB38AEE}"/>
            </a:ext>
          </a:extLst>
        </xdr:cNvPr>
        <xdr:cNvSpPr>
          <a:spLocks noChangeArrowheads="1"/>
        </xdr:cNvSpPr>
      </xdr:nvSpPr>
      <xdr:spPr bwMode="auto">
        <a:xfrm>
          <a:off x="3800475" y="194567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658</xdr:row>
      <xdr:rowOff>295275</xdr:rowOff>
    </xdr:from>
    <xdr:to>
      <xdr:col>3</xdr:col>
      <xdr:colOff>1571625</xdr:colOff>
      <xdr:row>658</xdr:row>
      <xdr:rowOff>914400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EF39532F-EC52-4FEA-8737-9C393ABDDBC0}"/>
            </a:ext>
          </a:extLst>
        </xdr:cNvPr>
        <xdr:cNvSpPr>
          <a:spLocks noChangeArrowheads="1"/>
        </xdr:cNvSpPr>
      </xdr:nvSpPr>
      <xdr:spPr bwMode="auto">
        <a:xfrm>
          <a:off x="3800475" y="1948624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655</xdr:row>
      <xdr:rowOff>19050</xdr:rowOff>
    </xdr:from>
    <xdr:to>
      <xdr:col>0</xdr:col>
      <xdr:colOff>676275</xdr:colOff>
      <xdr:row>657</xdr:row>
      <xdr:rowOff>95250</xdr:rowOff>
    </xdr:to>
    <xdr:pic>
      <xdr:nvPicPr>
        <xdr:cNvPr id="57" name="รูปภาพ 2" descr="krut_s">
          <a:extLst>
            <a:ext uri="{FF2B5EF4-FFF2-40B4-BE49-F238E27FC236}">
              <a16:creationId xmlns:a16="http://schemas.microsoft.com/office/drawing/2014/main" id="{F8102333-BD81-4047-AFAA-48273ED71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9362420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687</xdr:row>
      <xdr:rowOff>295275</xdr:rowOff>
    </xdr:from>
    <xdr:to>
      <xdr:col>3</xdr:col>
      <xdr:colOff>1571625</xdr:colOff>
      <xdr:row>687</xdr:row>
      <xdr:rowOff>914400</xdr:rowOff>
    </xdr:to>
    <xdr:sp macro="" textlink="">
      <xdr:nvSpPr>
        <xdr:cNvPr id="58" name="Rectangle 6">
          <a:extLst>
            <a:ext uri="{FF2B5EF4-FFF2-40B4-BE49-F238E27FC236}">
              <a16:creationId xmlns:a16="http://schemas.microsoft.com/office/drawing/2014/main" id="{55762BCB-7B0B-4818-9F2B-DC7797571006}"/>
            </a:ext>
          </a:extLst>
        </xdr:cNvPr>
        <xdr:cNvSpPr>
          <a:spLocks noChangeArrowheads="1"/>
        </xdr:cNvSpPr>
      </xdr:nvSpPr>
      <xdr:spPr bwMode="auto">
        <a:xfrm>
          <a:off x="3800475" y="20350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688</xdr:row>
      <xdr:rowOff>295275</xdr:rowOff>
    </xdr:from>
    <xdr:to>
      <xdr:col>3</xdr:col>
      <xdr:colOff>1571625</xdr:colOff>
      <xdr:row>688</xdr:row>
      <xdr:rowOff>914400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68664CF4-A078-4287-BFB6-836CFCF48A03}"/>
            </a:ext>
          </a:extLst>
        </xdr:cNvPr>
        <xdr:cNvSpPr>
          <a:spLocks noChangeArrowheads="1"/>
        </xdr:cNvSpPr>
      </xdr:nvSpPr>
      <xdr:spPr bwMode="auto">
        <a:xfrm>
          <a:off x="3800475" y="203796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685</xdr:row>
      <xdr:rowOff>19050</xdr:rowOff>
    </xdr:from>
    <xdr:to>
      <xdr:col>0</xdr:col>
      <xdr:colOff>676275</xdr:colOff>
      <xdr:row>687</xdr:row>
      <xdr:rowOff>95250</xdr:rowOff>
    </xdr:to>
    <xdr:pic>
      <xdr:nvPicPr>
        <xdr:cNvPr id="60" name="รูปภาพ 2" descr="krut_s">
          <a:extLst>
            <a:ext uri="{FF2B5EF4-FFF2-40B4-BE49-F238E27FC236}">
              <a16:creationId xmlns:a16="http://schemas.microsoft.com/office/drawing/2014/main" id="{23297138-C843-4157-A4DA-0BD225956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2025586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718</xdr:row>
      <xdr:rowOff>295275</xdr:rowOff>
    </xdr:from>
    <xdr:to>
      <xdr:col>3</xdr:col>
      <xdr:colOff>1571625</xdr:colOff>
      <xdr:row>718</xdr:row>
      <xdr:rowOff>914400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405F9C0D-2DEE-4AEA-ADAA-7A5AC38A866B}"/>
            </a:ext>
          </a:extLst>
        </xdr:cNvPr>
        <xdr:cNvSpPr>
          <a:spLocks noChangeArrowheads="1"/>
        </xdr:cNvSpPr>
      </xdr:nvSpPr>
      <xdr:spPr bwMode="auto">
        <a:xfrm>
          <a:off x="3800475" y="212731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95250</xdr:colOff>
      <xdr:row>715</xdr:row>
      <xdr:rowOff>0</xdr:rowOff>
    </xdr:from>
    <xdr:to>
      <xdr:col>0</xdr:col>
      <xdr:colOff>533400</xdr:colOff>
      <xdr:row>717</xdr:row>
      <xdr:rowOff>76200</xdr:rowOff>
    </xdr:to>
    <xdr:pic>
      <xdr:nvPicPr>
        <xdr:cNvPr id="62" name="รูปภาพ 2" descr="krut_s">
          <a:extLst>
            <a:ext uri="{FF2B5EF4-FFF2-40B4-BE49-F238E27FC236}">
              <a16:creationId xmlns:a16="http://schemas.microsoft.com/office/drawing/2014/main" id="{C458713C-7F3C-4D37-9224-457469481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1474050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747</xdr:row>
      <xdr:rowOff>295275</xdr:rowOff>
    </xdr:from>
    <xdr:to>
      <xdr:col>3</xdr:col>
      <xdr:colOff>1571625</xdr:colOff>
      <xdr:row>747</xdr:row>
      <xdr:rowOff>914400</xdr:rowOff>
    </xdr:to>
    <xdr:sp macro="" textlink="">
      <xdr:nvSpPr>
        <xdr:cNvPr id="63" name="Rectangle 6">
          <a:extLst>
            <a:ext uri="{FF2B5EF4-FFF2-40B4-BE49-F238E27FC236}">
              <a16:creationId xmlns:a16="http://schemas.microsoft.com/office/drawing/2014/main" id="{7FF51B52-3DF1-4D2B-BA93-87C4E2B7109A}"/>
            </a:ext>
          </a:extLst>
        </xdr:cNvPr>
        <xdr:cNvSpPr>
          <a:spLocks noChangeArrowheads="1"/>
        </xdr:cNvSpPr>
      </xdr:nvSpPr>
      <xdr:spPr bwMode="auto">
        <a:xfrm>
          <a:off x="3800475" y="2213991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748</xdr:row>
      <xdr:rowOff>295275</xdr:rowOff>
    </xdr:from>
    <xdr:to>
      <xdr:col>3</xdr:col>
      <xdr:colOff>1571625</xdr:colOff>
      <xdr:row>748</xdr:row>
      <xdr:rowOff>914400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0372CC0B-1280-4EA6-8333-6B714CAED17A}"/>
            </a:ext>
          </a:extLst>
        </xdr:cNvPr>
        <xdr:cNvSpPr>
          <a:spLocks noChangeArrowheads="1"/>
        </xdr:cNvSpPr>
      </xdr:nvSpPr>
      <xdr:spPr bwMode="auto">
        <a:xfrm>
          <a:off x="3800475" y="221694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85725</xdr:colOff>
      <xdr:row>745</xdr:row>
      <xdr:rowOff>19050</xdr:rowOff>
    </xdr:from>
    <xdr:to>
      <xdr:col>0</xdr:col>
      <xdr:colOff>523875</xdr:colOff>
      <xdr:row>747</xdr:row>
      <xdr:rowOff>95250</xdr:rowOff>
    </xdr:to>
    <xdr:pic>
      <xdr:nvPicPr>
        <xdr:cNvPr id="65" name="รูปภาพ 2" descr="krut_s">
          <a:extLst>
            <a:ext uri="{FF2B5EF4-FFF2-40B4-BE49-F238E27FC236}">
              <a16:creationId xmlns:a16="http://schemas.microsoft.com/office/drawing/2014/main" id="{27E49A3D-9A6E-44A2-8283-C2AD4CC4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204561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10125075</xdr:colOff>
      <xdr:row>777</xdr:row>
      <xdr:rowOff>295275</xdr:rowOff>
    </xdr:from>
    <xdr:to>
      <xdr:col>3</xdr:col>
      <xdr:colOff>1571625</xdr:colOff>
      <xdr:row>777</xdr:row>
      <xdr:rowOff>914400</xdr:rowOff>
    </xdr:to>
    <xdr:sp macro="" textlink="">
      <xdr:nvSpPr>
        <xdr:cNvPr id="66" name="Rectangle 6">
          <a:extLst>
            <a:ext uri="{FF2B5EF4-FFF2-40B4-BE49-F238E27FC236}">
              <a16:creationId xmlns:a16="http://schemas.microsoft.com/office/drawing/2014/main" id="{2C8306E3-D465-45BB-9BCA-0662B1D461FB}"/>
            </a:ext>
          </a:extLst>
        </xdr:cNvPr>
        <xdr:cNvSpPr>
          <a:spLocks noChangeArrowheads="1"/>
        </xdr:cNvSpPr>
      </xdr:nvSpPr>
      <xdr:spPr bwMode="auto">
        <a:xfrm>
          <a:off x="3800475" y="230333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778</xdr:row>
      <xdr:rowOff>295275</xdr:rowOff>
    </xdr:from>
    <xdr:to>
      <xdr:col>3</xdr:col>
      <xdr:colOff>1571625</xdr:colOff>
      <xdr:row>778</xdr:row>
      <xdr:rowOff>914400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BB04B5A1-417B-4618-87F4-FBA1E7AD2EF8}"/>
            </a:ext>
          </a:extLst>
        </xdr:cNvPr>
        <xdr:cNvSpPr>
          <a:spLocks noChangeArrowheads="1"/>
        </xdr:cNvSpPr>
      </xdr:nvSpPr>
      <xdr:spPr bwMode="auto">
        <a:xfrm>
          <a:off x="3800475" y="230628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775</xdr:row>
      <xdr:rowOff>19050</xdr:rowOff>
    </xdr:from>
    <xdr:to>
      <xdr:col>0</xdr:col>
      <xdr:colOff>676275</xdr:colOff>
      <xdr:row>777</xdr:row>
      <xdr:rowOff>95250</xdr:rowOff>
    </xdr:to>
    <xdr:pic>
      <xdr:nvPicPr>
        <xdr:cNvPr id="68" name="รูปภาพ 2" descr="krut_s">
          <a:extLst>
            <a:ext uri="{FF2B5EF4-FFF2-40B4-BE49-F238E27FC236}">
              <a16:creationId xmlns:a16="http://schemas.microsoft.com/office/drawing/2014/main" id="{C890128B-6C21-44EE-90CB-5024101C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2293905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10239375</xdr:colOff>
      <xdr:row>209</xdr:row>
      <xdr:rowOff>238125</xdr:rowOff>
    </xdr:from>
    <xdr:to>
      <xdr:col>3</xdr:col>
      <xdr:colOff>1571625</xdr:colOff>
      <xdr:row>209</xdr:row>
      <xdr:rowOff>914400</xdr:rowOff>
    </xdr:to>
    <xdr:sp macro="" textlink="">
      <xdr:nvSpPr>
        <xdr:cNvPr id="69" name="Rectangle 16">
          <a:extLst>
            <a:ext uri="{FF2B5EF4-FFF2-40B4-BE49-F238E27FC236}">
              <a16:creationId xmlns:a16="http://schemas.microsoft.com/office/drawing/2014/main" id="{58464074-88E1-43DA-9660-771C040F89BF}"/>
            </a:ext>
          </a:extLst>
        </xdr:cNvPr>
        <xdr:cNvSpPr>
          <a:spLocks noChangeArrowheads="1"/>
        </xdr:cNvSpPr>
      </xdr:nvSpPr>
      <xdr:spPr bwMode="auto">
        <a:xfrm>
          <a:off x="3800475" y="61902975"/>
          <a:ext cx="0" cy="57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192</xdr:row>
      <xdr:rowOff>295275</xdr:rowOff>
    </xdr:from>
    <xdr:to>
      <xdr:col>3</xdr:col>
      <xdr:colOff>1571625</xdr:colOff>
      <xdr:row>192</xdr:row>
      <xdr:rowOff>914400</xdr:rowOff>
    </xdr:to>
    <xdr:sp macro="" textlink="">
      <xdr:nvSpPr>
        <xdr:cNvPr id="70" name="Rectangle 8">
          <a:extLst>
            <a:ext uri="{FF2B5EF4-FFF2-40B4-BE49-F238E27FC236}">
              <a16:creationId xmlns:a16="http://schemas.microsoft.com/office/drawing/2014/main" id="{E6234AB9-74A2-44BD-99C3-6B68C40E893A}"/>
            </a:ext>
          </a:extLst>
        </xdr:cNvPr>
        <xdr:cNvSpPr>
          <a:spLocks noChangeArrowheads="1"/>
        </xdr:cNvSpPr>
      </xdr:nvSpPr>
      <xdr:spPr bwMode="auto">
        <a:xfrm>
          <a:off x="3800475" y="569404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192</xdr:row>
      <xdr:rowOff>295275</xdr:rowOff>
    </xdr:from>
    <xdr:to>
      <xdr:col>3</xdr:col>
      <xdr:colOff>1571625</xdr:colOff>
      <xdr:row>192</xdr:row>
      <xdr:rowOff>914400</xdr:rowOff>
    </xdr:to>
    <xdr:sp macro="" textlink="">
      <xdr:nvSpPr>
        <xdr:cNvPr id="71" name="Rectangle 6">
          <a:extLst>
            <a:ext uri="{FF2B5EF4-FFF2-40B4-BE49-F238E27FC236}">
              <a16:creationId xmlns:a16="http://schemas.microsoft.com/office/drawing/2014/main" id="{2C08EA72-6A83-4BDA-BB11-4C7CF47A37EF}"/>
            </a:ext>
          </a:extLst>
        </xdr:cNvPr>
        <xdr:cNvSpPr>
          <a:spLocks noChangeArrowheads="1"/>
        </xdr:cNvSpPr>
      </xdr:nvSpPr>
      <xdr:spPr bwMode="auto">
        <a:xfrm>
          <a:off x="3800475" y="569404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10125075</xdr:colOff>
      <xdr:row>193</xdr:row>
      <xdr:rowOff>295275</xdr:rowOff>
    </xdr:from>
    <xdr:to>
      <xdr:col>3</xdr:col>
      <xdr:colOff>1571625</xdr:colOff>
      <xdr:row>193</xdr:row>
      <xdr:rowOff>914400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29A6F0B8-BCC6-4109-AAB5-41CF0A4F9BE4}"/>
            </a:ext>
          </a:extLst>
        </xdr:cNvPr>
        <xdr:cNvSpPr>
          <a:spLocks noChangeArrowheads="1"/>
        </xdr:cNvSpPr>
      </xdr:nvSpPr>
      <xdr:spPr bwMode="auto">
        <a:xfrm>
          <a:off x="3800475" y="57235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190</xdr:row>
      <xdr:rowOff>19050</xdr:rowOff>
    </xdr:from>
    <xdr:to>
      <xdr:col>0</xdr:col>
      <xdr:colOff>676275</xdr:colOff>
      <xdr:row>192</xdr:row>
      <xdr:rowOff>95250</xdr:rowOff>
    </xdr:to>
    <xdr:pic>
      <xdr:nvPicPr>
        <xdr:cNvPr id="73" name="รูปภาพ 2" descr="krut_s">
          <a:extLst>
            <a:ext uri="{FF2B5EF4-FFF2-40B4-BE49-F238E27FC236}">
              <a16:creationId xmlns:a16="http://schemas.microsoft.com/office/drawing/2014/main" id="{04EEB27E-B4F8-49A6-ABF2-49D2DDF1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55997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93EB-B8A6-4F8C-B107-03733D816E13}">
  <dimension ref="A1:G805"/>
  <sheetViews>
    <sheetView tabSelected="1" topLeftCell="A136" workbookViewId="0">
      <selection sqref="A1:G805"/>
    </sheetView>
  </sheetViews>
  <sheetFormatPr defaultRowHeight="14.25" x14ac:dyDescent="0.2"/>
  <sheetData>
    <row r="1" spans="1:7" ht="29.25" x14ac:dyDescent="0.2">
      <c r="A1" s="1" t="s">
        <v>0</v>
      </c>
      <c r="B1" s="1"/>
      <c r="C1" s="1"/>
      <c r="D1" s="1"/>
      <c r="E1" s="1"/>
      <c r="F1" s="1"/>
      <c r="G1" s="1"/>
    </row>
    <row r="2" spans="1:7" ht="23.25" x14ac:dyDescent="0.5">
      <c r="A2" s="2" t="s">
        <v>1</v>
      </c>
      <c r="B2" s="2"/>
      <c r="C2" s="2"/>
      <c r="D2" s="2"/>
      <c r="E2" s="2"/>
      <c r="F2" s="2"/>
      <c r="G2" s="2"/>
    </row>
    <row r="3" spans="1:7" ht="23.25" x14ac:dyDescent="0.5">
      <c r="A3" s="3" t="s">
        <v>2</v>
      </c>
      <c r="B3" s="4"/>
      <c r="C3" s="4"/>
      <c r="D3" s="4"/>
      <c r="E3" s="4"/>
      <c r="F3" s="4"/>
      <c r="G3" s="4"/>
    </row>
    <row r="4" spans="1:7" ht="23.25" x14ac:dyDescent="0.5">
      <c r="A4" s="3" t="s">
        <v>3</v>
      </c>
      <c r="B4" s="4"/>
      <c r="C4" s="4"/>
      <c r="D4" s="4"/>
      <c r="E4" s="4"/>
      <c r="F4" s="4"/>
      <c r="G4" s="4"/>
    </row>
    <row r="5" spans="1:7" ht="23.25" x14ac:dyDescent="0.5">
      <c r="A5" s="4" t="s">
        <v>4</v>
      </c>
      <c r="B5" s="4"/>
      <c r="C5" s="4"/>
      <c r="D5" s="4"/>
      <c r="E5" s="4"/>
      <c r="F5" s="4"/>
      <c r="G5" s="4"/>
    </row>
    <row r="6" spans="1:7" ht="23.25" x14ac:dyDescent="0.5">
      <c r="A6" s="4" t="s">
        <v>5</v>
      </c>
      <c r="B6" s="4"/>
      <c r="C6" s="4"/>
      <c r="D6" s="4"/>
      <c r="E6" s="4"/>
      <c r="F6" s="4"/>
      <c r="G6" s="4"/>
    </row>
    <row r="7" spans="1:7" ht="23.25" x14ac:dyDescent="0.5">
      <c r="A7" s="3"/>
      <c r="B7" s="4"/>
      <c r="C7" s="4"/>
      <c r="D7" s="4"/>
      <c r="E7" s="4"/>
      <c r="F7" s="4"/>
      <c r="G7" s="4"/>
    </row>
    <row r="8" spans="1:7" ht="23.25" x14ac:dyDescent="0.5">
      <c r="A8" s="5" t="s">
        <v>6</v>
      </c>
      <c r="B8" s="6" t="s">
        <v>7</v>
      </c>
      <c r="C8" s="7"/>
      <c r="D8" s="8"/>
      <c r="E8" s="5" t="s">
        <v>8</v>
      </c>
      <c r="F8" s="9" t="s">
        <v>9</v>
      </c>
      <c r="G8" s="10"/>
    </row>
    <row r="9" spans="1:7" ht="23.25" x14ac:dyDescent="0.5">
      <c r="A9" s="11"/>
      <c r="B9" s="12"/>
      <c r="C9" s="13"/>
      <c r="D9" s="14"/>
      <c r="E9" s="11"/>
      <c r="F9" s="9" t="s">
        <v>10</v>
      </c>
      <c r="G9" s="10"/>
    </row>
    <row r="10" spans="1:7" ht="23.25" x14ac:dyDescent="0.5">
      <c r="A10" s="15">
        <v>1</v>
      </c>
      <c r="B10" s="16" t="s">
        <v>11</v>
      </c>
      <c r="C10" s="17"/>
      <c r="D10" s="18"/>
      <c r="E10" s="19" t="s">
        <v>12</v>
      </c>
      <c r="F10" s="20">
        <v>230.1</v>
      </c>
      <c r="G10" s="21"/>
    </row>
    <row r="11" spans="1:7" ht="23.25" x14ac:dyDescent="0.5">
      <c r="A11" s="22">
        <v>2</v>
      </c>
      <c r="B11" s="16" t="s">
        <v>11</v>
      </c>
      <c r="C11" s="17"/>
      <c r="D11" s="18"/>
      <c r="E11" s="19" t="s">
        <v>13</v>
      </c>
      <c r="F11" s="20">
        <v>616</v>
      </c>
      <c r="G11" s="21"/>
    </row>
    <row r="12" spans="1:7" ht="23.25" x14ac:dyDescent="0.5">
      <c r="A12" s="15"/>
      <c r="B12" s="16"/>
      <c r="C12" s="17"/>
      <c r="D12" s="18"/>
      <c r="E12" s="23"/>
      <c r="F12" s="24"/>
      <c r="G12" s="25"/>
    </row>
    <row r="13" spans="1:7" ht="23.25" x14ac:dyDescent="0.5">
      <c r="A13" s="15"/>
      <c r="B13" s="16"/>
      <c r="C13" s="17"/>
      <c r="D13" s="18"/>
      <c r="E13" s="23"/>
      <c r="F13" s="20"/>
      <c r="G13" s="21"/>
    </row>
    <row r="14" spans="1:7" ht="23.25" x14ac:dyDescent="0.5">
      <c r="A14" s="15"/>
      <c r="B14" s="16"/>
      <c r="C14" s="17"/>
      <c r="D14" s="18"/>
      <c r="E14" s="23"/>
      <c r="F14" s="24"/>
      <c r="G14" s="25"/>
    </row>
    <row r="15" spans="1:7" ht="23.25" x14ac:dyDescent="0.5">
      <c r="A15" s="15"/>
      <c r="B15" s="16"/>
      <c r="C15" s="17"/>
      <c r="D15" s="18"/>
      <c r="E15" s="23"/>
      <c r="F15" s="24"/>
      <c r="G15" s="25"/>
    </row>
    <row r="16" spans="1:7" ht="23.25" x14ac:dyDescent="0.5">
      <c r="A16" s="15"/>
      <c r="B16" s="9"/>
      <c r="C16" s="26"/>
      <c r="D16" s="10"/>
      <c r="E16" s="23"/>
      <c r="F16" s="24"/>
      <c r="G16" s="25"/>
    </row>
    <row r="17" spans="1:7" ht="23.25" x14ac:dyDescent="0.5">
      <c r="A17" s="15"/>
      <c r="B17" s="9"/>
      <c r="C17" s="26"/>
      <c r="D17" s="10"/>
      <c r="E17" s="23"/>
      <c r="F17" s="24"/>
      <c r="G17" s="25"/>
    </row>
    <row r="18" spans="1:7" ht="23.25" x14ac:dyDescent="0.5">
      <c r="A18" s="27" t="s">
        <v>14</v>
      </c>
      <c r="B18" s="28"/>
      <c r="C18" s="28"/>
      <c r="D18" s="28"/>
      <c r="E18" s="29"/>
      <c r="F18" s="20">
        <f>SUM(F10:F17)</f>
        <v>846.1</v>
      </c>
      <c r="G18" s="21"/>
    </row>
    <row r="19" spans="1:7" ht="23.25" x14ac:dyDescent="0.5">
      <c r="A19" s="4"/>
      <c r="B19" s="30" t="str">
        <f>(BAHTTEXT(F18))</f>
        <v>แปดร้อยสี่สิบหกบาทสิบสตางค์</v>
      </c>
      <c r="C19" s="30"/>
      <c r="D19" s="30"/>
      <c r="E19" s="30"/>
      <c r="F19" s="4"/>
      <c r="G19" s="4"/>
    </row>
    <row r="20" spans="1:7" ht="23.25" x14ac:dyDescent="0.5">
      <c r="A20" s="4" t="s">
        <v>15</v>
      </c>
      <c r="B20" s="4"/>
      <c r="C20" s="4"/>
      <c r="D20" s="4"/>
      <c r="E20" s="4"/>
      <c r="F20" s="4"/>
      <c r="G20" s="4"/>
    </row>
    <row r="21" spans="1:7" ht="23.25" x14ac:dyDescent="0.5">
      <c r="A21" s="4" t="s">
        <v>16</v>
      </c>
      <c r="B21" s="4"/>
      <c r="C21" s="4"/>
      <c r="D21" s="4"/>
      <c r="E21" s="4"/>
      <c r="F21" s="4"/>
      <c r="G21" s="4"/>
    </row>
    <row r="22" spans="1:7" ht="23.25" x14ac:dyDescent="0.5">
      <c r="A22" s="4" t="s">
        <v>17</v>
      </c>
      <c r="B22" s="4"/>
      <c r="C22" s="4"/>
      <c r="D22" s="4"/>
      <c r="E22" s="31"/>
      <c r="F22" s="32"/>
      <c r="G22" s="4"/>
    </row>
    <row r="23" spans="1:7" ht="23.25" x14ac:dyDescent="0.5">
      <c r="A23" s="4" t="s">
        <v>18</v>
      </c>
      <c r="B23" s="4"/>
      <c r="C23" s="4"/>
      <c r="D23" s="4"/>
      <c r="E23" s="4"/>
      <c r="F23" s="4"/>
      <c r="G23" s="4"/>
    </row>
    <row r="24" spans="1:7" ht="23.25" x14ac:dyDescent="0.5">
      <c r="A24" s="4"/>
      <c r="B24" s="4"/>
      <c r="C24" s="4"/>
      <c r="D24" s="4"/>
      <c r="E24" s="3" t="s">
        <v>19</v>
      </c>
      <c r="F24" s="3"/>
      <c r="G24" s="4"/>
    </row>
    <row r="25" spans="1:7" ht="23.25" x14ac:dyDescent="0.5">
      <c r="A25" s="4"/>
      <c r="B25" s="4"/>
      <c r="C25" s="4"/>
      <c r="D25" s="4"/>
      <c r="E25" s="33"/>
      <c r="F25" s="33"/>
      <c r="G25" s="33"/>
    </row>
    <row r="26" spans="1:7" ht="23.25" x14ac:dyDescent="0.5">
      <c r="A26" s="4"/>
      <c r="B26" s="4"/>
      <c r="C26" s="4"/>
      <c r="D26" s="4"/>
      <c r="E26" s="33"/>
      <c r="F26" s="33"/>
      <c r="G26" s="33"/>
    </row>
    <row r="27" spans="1:7" ht="23.25" x14ac:dyDescent="0.5">
      <c r="A27" s="33" t="s">
        <v>20</v>
      </c>
      <c r="B27" s="33"/>
      <c r="C27" s="33"/>
      <c r="D27" s="32" t="s">
        <v>21</v>
      </c>
      <c r="E27" s="33" t="s">
        <v>22</v>
      </c>
      <c r="F27" s="33"/>
      <c r="G27" s="33"/>
    </row>
    <row r="28" spans="1:7" ht="23.25" x14ac:dyDescent="0.5">
      <c r="A28" s="34" t="s">
        <v>23</v>
      </c>
      <c r="B28" s="34"/>
      <c r="C28" s="34"/>
      <c r="D28" s="32"/>
      <c r="E28" s="34"/>
      <c r="F28" s="34"/>
      <c r="G28" s="34"/>
    </row>
    <row r="29" spans="1:7" ht="23.25" x14ac:dyDescent="0.5">
      <c r="A29" s="34" t="s">
        <v>24</v>
      </c>
      <c r="B29" s="34"/>
      <c r="C29" s="34"/>
      <c r="D29" s="32"/>
      <c r="E29" s="34"/>
      <c r="F29" s="34"/>
      <c r="G29" s="34"/>
    </row>
    <row r="30" spans="1:7" ht="23.25" x14ac:dyDescent="0.5">
      <c r="A30" s="4"/>
      <c r="B30" s="4"/>
      <c r="C30" s="4"/>
      <c r="D30" s="4"/>
      <c r="E30" s="33" t="s">
        <v>25</v>
      </c>
      <c r="F30" s="33"/>
      <c r="G30" s="33"/>
    </row>
    <row r="31" spans="1:7" ht="29.25" x14ac:dyDescent="0.2">
      <c r="A31" s="1" t="s">
        <v>0</v>
      </c>
      <c r="B31" s="1"/>
      <c r="C31" s="1"/>
      <c r="D31" s="1"/>
      <c r="E31" s="1"/>
      <c r="F31" s="1"/>
      <c r="G31" s="1"/>
    </row>
    <row r="32" spans="1:7" ht="23.25" x14ac:dyDescent="0.5">
      <c r="A32" s="2" t="s">
        <v>1</v>
      </c>
      <c r="B32" s="2"/>
      <c r="C32" s="2"/>
      <c r="D32" s="2"/>
      <c r="E32" s="2"/>
      <c r="F32" s="2"/>
      <c r="G32" s="2"/>
    </row>
    <row r="33" spans="1:7" ht="23.25" x14ac:dyDescent="0.5">
      <c r="A33" s="3" t="s">
        <v>2</v>
      </c>
      <c r="B33" s="4"/>
      <c r="C33" s="4"/>
      <c r="D33" s="4"/>
      <c r="E33" s="4"/>
      <c r="F33" s="4"/>
      <c r="G33" s="4"/>
    </row>
    <row r="34" spans="1:7" ht="23.25" x14ac:dyDescent="0.5">
      <c r="A34" s="3" t="s">
        <v>26</v>
      </c>
      <c r="B34" s="4"/>
      <c r="C34" s="4"/>
      <c r="D34" s="4"/>
      <c r="E34" s="4"/>
      <c r="F34" s="4"/>
      <c r="G34" s="4"/>
    </row>
    <row r="35" spans="1:7" ht="23.25" x14ac:dyDescent="0.5">
      <c r="A35" s="4" t="s">
        <v>4</v>
      </c>
      <c r="B35" s="4"/>
      <c r="C35" s="4"/>
      <c r="D35" s="4"/>
      <c r="E35" s="4"/>
      <c r="F35" s="4"/>
      <c r="G35" s="4"/>
    </row>
    <row r="36" spans="1:7" ht="23.25" x14ac:dyDescent="0.5">
      <c r="A36" s="4" t="s">
        <v>27</v>
      </c>
      <c r="B36" s="4"/>
      <c r="C36" s="4"/>
      <c r="D36" s="4"/>
      <c r="E36" s="4"/>
      <c r="F36" s="4"/>
      <c r="G36" s="4"/>
    </row>
    <row r="37" spans="1:7" ht="23.25" x14ac:dyDescent="0.5">
      <c r="A37" s="3"/>
      <c r="B37" s="4"/>
      <c r="C37" s="4"/>
      <c r="D37" s="4"/>
      <c r="E37" s="4"/>
      <c r="F37" s="4"/>
      <c r="G37" s="4"/>
    </row>
    <row r="38" spans="1:7" ht="23.25" x14ac:dyDescent="0.5">
      <c r="A38" s="5" t="s">
        <v>6</v>
      </c>
      <c r="B38" s="6" t="s">
        <v>7</v>
      </c>
      <c r="C38" s="7"/>
      <c r="D38" s="8"/>
      <c r="E38" s="5" t="s">
        <v>8</v>
      </c>
      <c r="F38" s="9" t="s">
        <v>9</v>
      </c>
      <c r="G38" s="10"/>
    </row>
    <row r="39" spans="1:7" ht="23.25" x14ac:dyDescent="0.5">
      <c r="A39" s="11"/>
      <c r="B39" s="12"/>
      <c r="C39" s="13"/>
      <c r="D39" s="14"/>
      <c r="E39" s="11"/>
      <c r="F39" s="9" t="s">
        <v>10</v>
      </c>
      <c r="G39" s="10"/>
    </row>
    <row r="40" spans="1:7" ht="23.25" x14ac:dyDescent="0.5">
      <c r="A40" s="15">
        <v>1</v>
      </c>
      <c r="B40" s="16" t="s">
        <v>28</v>
      </c>
      <c r="C40" s="17"/>
      <c r="D40" s="18"/>
      <c r="E40" s="19" t="s">
        <v>29</v>
      </c>
      <c r="F40" s="20">
        <v>50018.22</v>
      </c>
      <c r="G40" s="21"/>
    </row>
    <row r="41" spans="1:7" ht="23.25" x14ac:dyDescent="0.5">
      <c r="A41" s="22"/>
      <c r="B41" s="16"/>
      <c r="C41" s="17"/>
      <c r="D41" s="18"/>
      <c r="E41" s="19"/>
      <c r="F41" s="20"/>
      <c r="G41" s="21"/>
    </row>
    <row r="42" spans="1:7" ht="23.25" x14ac:dyDescent="0.5">
      <c r="A42" s="22"/>
      <c r="B42" s="16"/>
      <c r="C42" s="17"/>
      <c r="D42" s="18"/>
      <c r="E42" s="15"/>
      <c r="F42" s="24"/>
      <c r="G42" s="25"/>
    </row>
    <row r="43" spans="1:7" ht="23.25" x14ac:dyDescent="0.5">
      <c r="A43" s="15"/>
      <c r="B43" s="16" t="s">
        <v>30</v>
      </c>
      <c r="C43" s="17"/>
      <c r="D43" s="18"/>
      <c r="E43" s="23"/>
      <c r="F43" s="20">
        <v>467.46</v>
      </c>
      <c r="G43" s="21"/>
    </row>
    <row r="44" spans="1:7" ht="23.25" x14ac:dyDescent="0.5">
      <c r="A44" s="15"/>
      <c r="B44" s="35"/>
      <c r="C44" s="35"/>
      <c r="D44" s="35"/>
      <c r="E44" s="36"/>
      <c r="F44" s="24"/>
      <c r="G44" s="25"/>
    </row>
    <row r="45" spans="1:7" ht="23.25" x14ac:dyDescent="0.5">
      <c r="A45" s="15"/>
      <c r="B45" s="16"/>
      <c r="C45" s="17"/>
      <c r="D45" s="18"/>
      <c r="E45" s="23"/>
      <c r="F45" s="24"/>
      <c r="G45" s="25"/>
    </row>
    <row r="46" spans="1:7" ht="23.25" x14ac:dyDescent="0.5">
      <c r="A46" s="15"/>
      <c r="B46" s="9"/>
      <c r="C46" s="26"/>
      <c r="D46" s="10"/>
      <c r="E46" s="23"/>
      <c r="F46" s="24"/>
      <c r="G46" s="25"/>
    </row>
    <row r="47" spans="1:7" ht="23.25" x14ac:dyDescent="0.5">
      <c r="A47" s="15"/>
      <c r="B47" s="9"/>
      <c r="C47" s="26"/>
      <c r="D47" s="10"/>
      <c r="E47" s="23"/>
      <c r="F47" s="24"/>
      <c r="G47" s="25"/>
    </row>
    <row r="48" spans="1:7" ht="23.25" x14ac:dyDescent="0.5">
      <c r="A48" s="27" t="s">
        <v>14</v>
      </c>
      <c r="B48" s="28"/>
      <c r="C48" s="28"/>
      <c r="D48" s="28"/>
      <c r="E48" s="29"/>
      <c r="F48" s="20">
        <f>F40-F43</f>
        <v>49550.76</v>
      </c>
      <c r="G48" s="21"/>
    </row>
    <row r="49" spans="1:7" ht="23.25" x14ac:dyDescent="0.5">
      <c r="A49" s="4"/>
      <c r="B49" s="30" t="str">
        <f>(BAHTTEXT(F48))</f>
        <v>สี่หมื่นเก้าพันห้าร้อยห้าสิบบาทเจ็ดสิบหกสตางค์</v>
      </c>
      <c r="C49" s="30"/>
      <c r="D49" s="30"/>
      <c r="E49" s="30"/>
      <c r="F49" s="4"/>
      <c r="G49" s="4"/>
    </row>
    <row r="50" spans="1:7" ht="23.25" x14ac:dyDescent="0.5">
      <c r="A50" s="4" t="s">
        <v>31</v>
      </c>
      <c r="B50" s="4"/>
      <c r="C50" s="4"/>
      <c r="D50" s="4"/>
      <c r="E50" s="4"/>
      <c r="F50" s="4"/>
      <c r="G50" s="4"/>
    </row>
    <row r="51" spans="1:7" ht="23.25" x14ac:dyDescent="0.5">
      <c r="A51" s="4" t="s">
        <v>32</v>
      </c>
      <c r="B51" s="4"/>
      <c r="C51" s="4"/>
      <c r="D51" s="4"/>
      <c r="E51" s="4"/>
      <c r="F51" s="4"/>
      <c r="G51" s="4"/>
    </row>
    <row r="52" spans="1:7" ht="23.25" x14ac:dyDescent="0.5">
      <c r="A52" s="4" t="s">
        <v>33</v>
      </c>
      <c r="B52" s="4"/>
      <c r="C52" s="4"/>
      <c r="D52" s="4"/>
      <c r="E52" s="31"/>
      <c r="F52" s="32"/>
      <c r="G52" s="4"/>
    </row>
    <row r="53" spans="1:7" ht="23.25" x14ac:dyDescent="0.5">
      <c r="A53" s="4" t="s">
        <v>18</v>
      </c>
      <c r="B53" s="4"/>
      <c r="C53" s="4"/>
      <c r="D53" s="4"/>
      <c r="E53" s="4"/>
      <c r="F53" s="4"/>
      <c r="G53" s="4"/>
    </row>
    <row r="54" spans="1:7" ht="23.25" x14ac:dyDescent="0.5">
      <c r="A54" s="4"/>
      <c r="B54" s="4"/>
      <c r="C54" s="4"/>
      <c r="D54" s="4"/>
      <c r="E54" s="3" t="s">
        <v>19</v>
      </c>
      <c r="F54" s="3"/>
      <c r="G54" s="4"/>
    </row>
    <row r="55" spans="1:7" ht="23.25" x14ac:dyDescent="0.5">
      <c r="A55" s="4"/>
      <c r="B55" s="4"/>
      <c r="C55" s="4"/>
      <c r="D55" s="4"/>
      <c r="E55" s="33"/>
      <c r="F55" s="33"/>
      <c r="G55" s="33"/>
    </row>
    <row r="56" spans="1:7" ht="23.25" x14ac:dyDescent="0.5">
      <c r="A56" s="4"/>
      <c r="B56" s="4"/>
      <c r="C56" s="4"/>
      <c r="D56" s="4"/>
      <c r="E56" s="33"/>
      <c r="F56" s="33"/>
      <c r="G56" s="33"/>
    </row>
    <row r="57" spans="1:7" ht="23.25" x14ac:dyDescent="0.5">
      <c r="A57" s="33" t="s">
        <v>20</v>
      </c>
      <c r="B57" s="33"/>
      <c r="C57" s="33"/>
      <c r="D57" s="32" t="s">
        <v>21</v>
      </c>
      <c r="E57" s="33" t="s">
        <v>22</v>
      </c>
      <c r="F57" s="33"/>
      <c r="G57" s="33"/>
    </row>
    <row r="58" spans="1:7" ht="23.25" x14ac:dyDescent="0.5">
      <c r="A58" s="34" t="s">
        <v>23</v>
      </c>
      <c r="B58" s="34"/>
      <c r="C58" s="34"/>
      <c r="D58" s="32"/>
      <c r="E58" s="34"/>
      <c r="F58" s="34"/>
      <c r="G58" s="34"/>
    </row>
    <row r="59" spans="1:7" ht="23.25" x14ac:dyDescent="0.5">
      <c r="A59" s="34" t="s">
        <v>24</v>
      </c>
      <c r="B59" s="34"/>
      <c r="C59" s="34"/>
      <c r="D59" s="32"/>
      <c r="E59" s="34"/>
      <c r="F59" s="34"/>
      <c r="G59" s="34"/>
    </row>
    <row r="60" spans="1:7" ht="23.25" x14ac:dyDescent="0.5">
      <c r="A60" s="4"/>
      <c r="B60" s="4"/>
      <c r="C60" s="4"/>
      <c r="D60" s="4"/>
      <c r="E60" s="33" t="s">
        <v>25</v>
      </c>
      <c r="F60" s="33"/>
      <c r="G60" s="33"/>
    </row>
    <row r="61" spans="1:7" ht="23.25" x14ac:dyDescent="0.5">
      <c r="A61" s="4"/>
      <c r="B61" s="4"/>
      <c r="C61" s="4"/>
      <c r="D61" s="4"/>
      <c r="E61" s="4"/>
      <c r="F61" s="4"/>
      <c r="G61" s="4"/>
    </row>
    <row r="62" spans="1:7" ht="29.25" x14ac:dyDescent="0.2">
      <c r="A62" s="1" t="s">
        <v>0</v>
      </c>
      <c r="B62" s="1"/>
      <c r="C62" s="1"/>
      <c r="D62" s="1"/>
      <c r="E62" s="1"/>
      <c r="F62" s="1"/>
      <c r="G62" s="1"/>
    </row>
    <row r="63" spans="1:7" ht="23.25" x14ac:dyDescent="0.5">
      <c r="A63" s="2" t="s">
        <v>1</v>
      </c>
      <c r="B63" s="2"/>
      <c r="C63" s="2"/>
      <c r="D63" s="2"/>
      <c r="E63" s="2"/>
      <c r="F63" s="2"/>
      <c r="G63" s="2"/>
    </row>
    <row r="64" spans="1:7" ht="23.25" x14ac:dyDescent="0.5">
      <c r="A64" s="3" t="s">
        <v>2</v>
      </c>
      <c r="B64" s="4"/>
      <c r="C64" s="4"/>
      <c r="D64" s="4"/>
      <c r="E64" s="4"/>
      <c r="F64" s="4"/>
      <c r="G64" s="4"/>
    </row>
    <row r="65" spans="1:7" ht="23.25" x14ac:dyDescent="0.5">
      <c r="A65" s="3" t="s">
        <v>34</v>
      </c>
      <c r="B65" s="4"/>
      <c r="C65" s="4"/>
      <c r="D65" s="4"/>
      <c r="E65" s="4"/>
      <c r="F65" s="4"/>
      <c r="G65" s="4"/>
    </row>
    <row r="66" spans="1:7" ht="23.25" x14ac:dyDescent="0.5">
      <c r="A66" s="4" t="s">
        <v>4</v>
      </c>
      <c r="B66" s="4"/>
      <c r="C66" s="4"/>
      <c r="D66" s="4"/>
      <c r="E66" s="4"/>
      <c r="F66" s="4"/>
      <c r="G66" s="4"/>
    </row>
    <row r="67" spans="1:7" ht="23.25" x14ac:dyDescent="0.5">
      <c r="A67" s="4" t="s">
        <v>35</v>
      </c>
      <c r="B67" s="4"/>
      <c r="C67" s="4"/>
      <c r="D67" s="4"/>
      <c r="E67" s="4"/>
      <c r="F67" s="4"/>
      <c r="G67" s="4"/>
    </row>
    <row r="68" spans="1:7" ht="23.25" x14ac:dyDescent="0.5">
      <c r="A68" s="3"/>
      <c r="B68" s="4"/>
      <c r="C68" s="4"/>
      <c r="D68" s="4"/>
      <c r="E68" s="4"/>
      <c r="F68" s="4"/>
      <c r="G68" s="4"/>
    </row>
    <row r="69" spans="1:7" ht="23.25" x14ac:dyDescent="0.5">
      <c r="A69" s="5" t="s">
        <v>6</v>
      </c>
      <c r="B69" s="6" t="s">
        <v>7</v>
      </c>
      <c r="C69" s="7"/>
      <c r="D69" s="8"/>
      <c r="E69" s="5" t="s">
        <v>8</v>
      </c>
      <c r="F69" s="9" t="s">
        <v>9</v>
      </c>
      <c r="G69" s="10"/>
    </row>
    <row r="70" spans="1:7" ht="23.25" x14ac:dyDescent="0.5">
      <c r="A70" s="11"/>
      <c r="B70" s="12"/>
      <c r="C70" s="13"/>
      <c r="D70" s="14"/>
      <c r="E70" s="11"/>
      <c r="F70" s="9" t="s">
        <v>10</v>
      </c>
      <c r="G70" s="10"/>
    </row>
    <row r="71" spans="1:7" ht="23.25" x14ac:dyDescent="0.5">
      <c r="A71" s="15">
        <v>1</v>
      </c>
      <c r="B71" s="16" t="s">
        <v>36</v>
      </c>
      <c r="C71" s="17"/>
      <c r="D71" s="18"/>
      <c r="E71" s="19"/>
      <c r="F71" s="20">
        <v>2985.3</v>
      </c>
      <c r="G71" s="21"/>
    </row>
    <row r="72" spans="1:7" ht="23.25" x14ac:dyDescent="0.5">
      <c r="A72" s="22"/>
      <c r="B72" s="16"/>
      <c r="C72" s="17"/>
      <c r="D72" s="18"/>
      <c r="E72" s="15"/>
      <c r="F72" s="20"/>
      <c r="G72" s="21"/>
    </row>
    <row r="73" spans="1:7" ht="23.25" x14ac:dyDescent="0.5">
      <c r="A73" s="15"/>
      <c r="B73" s="16"/>
      <c r="C73" s="17"/>
      <c r="D73" s="18"/>
      <c r="E73" s="23"/>
      <c r="F73" s="24"/>
      <c r="G73" s="25"/>
    </row>
    <row r="74" spans="1:7" ht="23.25" x14ac:dyDescent="0.5">
      <c r="A74" s="15"/>
      <c r="B74" s="16" t="s">
        <v>30</v>
      </c>
      <c r="C74" s="17"/>
      <c r="D74" s="18"/>
      <c r="E74" s="23"/>
      <c r="F74" s="20">
        <v>27.9</v>
      </c>
      <c r="G74" s="21"/>
    </row>
    <row r="75" spans="1:7" ht="23.25" x14ac:dyDescent="0.5">
      <c r="A75" s="15"/>
      <c r="B75" s="16"/>
      <c r="C75" s="17"/>
      <c r="D75" s="18"/>
      <c r="E75" s="23"/>
      <c r="F75" s="24"/>
      <c r="G75" s="25"/>
    </row>
    <row r="76" spans="1:7" ht="23.25" x14ac:dyDescent="0.5">
      <c r="A76" s="15"/>
      <c r="B76" s="16"/>
      <c r="C76" s="17"/>
      <c r="D76" s="18"/>
      <c r="E76" s="23"/>
      <c r="F76" s="24"/>
      <c r="G76" s="25"/>
    </row>
    <row r="77" spans="1:7" ht="23.25" x14ac:dyDescent="0.5">
      <c r="A77" s="15"/>
      <c r="B77" s="9"/>
      <c r="C77" s="26"/>
      <c r="D77" s="10"/>
      <c r="E77" s="23"/>
      <c r="F77" s="24"/>
      <c r="G77" s="25"/>
    </row>
    <row r="78" spans="1:7" ht="23.25" x14ac:dyDescent="0.5">
      <c r="A78" s="15"/>
      <c r="B78" s="9"/>
      <c r="C78" s="26"/>
      <c r="D78" s="10"/>
      <c r="E78" s="23"/>
      <c r="F78" s="24"/>
      <c r="G78" s="25"/>
    </row>
    <row r="79" spans="1:7" ht="23.25" x14ac:dyDescent="0.5">
      <c r="A79" s="27" t="s">
        <v>14</v>
      </c>
      <c r="B79" s="28"/>
      <c r="C79" s="28"/>
      <c r="D79" s="28"/>
      <c r="E79" s="29"/>
      <c r="F79" s="20">
        <v>2957.4</v>
      </c>
      <c r="G79" s="21"/>
    </row>
    <row r="80" spans="1:7" ht="23.25" x14ac:dyDescent="0.5">
      <c r="A80" s="4"/>
      <c r="B80" s="30" t="str">
        <f>(BAHTTEXT(F79))</f>
        <v>สองพันเก้าร้อยห้าสิบเจ็ดบาทสี่สิบสตางค์</v>
      </c>
      <c r="C80" s="30"/>
      <c r="D80" s="30"/>
      <c r="E80" s="30"/>
      <c r="F80" s="4"/>
      <c r="G80" s="4"/>
    </row>
    <row r="81" spans="1:7" ht="23.25" x14ac:dyDescent="0.5">
      <c r="A81" s="4" t="s">
        <v>37</v>
      </c>
      <c r="B81" s="4"/>
      <c r="C81" s="4"/>
      <c r="D81" s="4"/>
      <c r="E81" s="4"/>
      <c r="F81" s="4"/>
      <c r="G81" s="4"/>
    </row>
    <row r="82" spans="1:7" ht="23.25" x14ac:dyDescent="0.5">
      <c r="A82" s="37" t="s">
        <v>38</v>
      </c>
      <c r="B82" s="37"/>
      <c r="C82" s="37"/>
      <c r="D82" s="37"/>
      <c r="E82" s="37"/>
      <c r="F82" s="37"/>
      <c r="G82" s="37"/>
    </row>
    <row r="83" spans="1:7" ht="23.25" x14ac:dyDescent="0.5">
      <c r="A83" s="4" t="s">
        <v>39</v>
      </c>
      <c r="B83" s="4"/>
      <c r="C83" s="4"/>
      <c r="D83" s="4"/>
      <c r="E83" s="31"/>
      <c r="F83" s="32"/>
      <c r="G83" s="4"/>
    </row>
    <row r="84" spans="1:7" ht="23.25" x14ac:dyDescent="0.5">
      <c r="A84" s="4" t="s">
        <v>18</v>
      </c>
      <c r="B84" s="4"/>
      <c r="C84" s="4"/>
      <c r="D84" s="4"/>
      <c r="E84" s="4"/>
      <c r="F84" s="4"/>
      <c r="G84" s="4"/>
    </row>
    <row r="85" spans="1:7" ht="23.25" x14ac:dyDescent="0.5">
      <c r="A85" s="4"/>
      <c r="B85" s="4"/>
      <c r="C85" s="4"/>
      <c r="D85" s="4"/>
      <c r="E85" s="3" t="s">
        <v>19</v>
      </c>
      <c r="F85" s="3"/>
      <c r="G85" s="4"/>
    </row>
    <row r="86" spans="1:7" ht="23.25" x14ac:dyDescent="0.5">
      <c r="A86" s="4"/>
      <c r="B86" s="4"/>
      <c r="C86" s="4"/>
      <c r="D86" s="4"/>
      <c r="E86" s="33"/>
      <c r="F86" s="33"/>
      <c r="G86" s="33"/>
    </row>
    <row r="87" spans="1:7" ht="23.25" x14ac:dyDescent="0.5">
      <c r="A87" s="4"/>
      <c r="B87" s="4"/>
      <c r="C87" s="4"/>
      <c r="D87" s="4"/>
      <c r="E87" s="33"/>
      <c r="F87" s="33"/>
      <c r="G87" s="33"/>
    </row>
    <row r="88" spans="1:7" ht="23.25" x14ac:dyDescent="0.5">
      <c r="A88" s="33" t="s">
        <v>20</v>
      </c>
      <c r="B88" s="33"/>
      <c r="C88" s="33"/>
      <c r="D88" s="32" t="s">
        <v>21</v>
      </c>
      <c r="E88" s="33" t="s">
        <v>22</v>
      </c>
      <c r="F88" s="33"/>
      <c r="G88" s="33"/>
    </row>
    <row r="89" spans="1:7" ht="23.25" x14ac:dyDescent="0.5">
      <c r="A89" s="34" t="s">
        <v>23</v>
      </c>
      <c r="B89" s="34"/>
      <c r="C89" s="34"/>
      <c r="D89" s="32"/>
      <c r="E89" s="34"/>
      <c r="F89" s="34"/>
      <c r="G89" s="34"/>
    </row>
    <row r="90" spans="1:7" ht="23.25" x14ac:dyDescent="0.5">
      <c r="A90" s="34" t="s">
        <v>24</v>
      </c>
      <c r="B90" s="34"/>
      <c r="C90" s="34"/>
      <c r="D90" s="32"/>
      <c r="E90" s="34"/>
      <c r="F90" s="34"/>
      <c r="G90" s="34"/>
    </row>
    <row r="91" spans="1:7" ht="23.25" x14ac:dyDescent="0.5">
      <c r="A91" s="4"/>
      <c r="B91" s="4"/>
      <c r="C91" s="4"/>
      <c r="D91" s="4"/>
      <c r="E91" s="33" t="s">
        <v>25</v>
      </c>
      <c r="F91" s="33"/>
      <c r="G91" s="33"/>
    </row>
    <row r="92" spans="1:7" ht="23.25" x14ac:dyDescent="0.5">
      <c r="A92" s="4"/>
      <c r="B92" s="4"/>
      <c r="C92" s="4"/>
      <c r="D92" s="4"/>
      <c r="E92" s="33"/>
      <c r="F92" s="33"/>
      <c r="G92" s="33"/>
    </row>
    <row r="93" spans="1:7" ht="23.25" x14ac:dyDescent="0.5">
      <c r="A93" s="4"/>
      <c r="B93" s="4"/>
      <c r="C93" s="4"/>
      <c r="D93" s="4"/>
      <c r="E93" s="33"/>
      <c r="F93" s="33"/>
      <c r="G93" s="33"/>
    </row>
    <row r="94" spans="1:7" ht="29.25" x14ac:dyDescent="0.2">
      <c r="A94" s="1" t="s">
        <v>0</v>
      </c>
      <c r="B94" s="1"/>
      <c r="C94" s="1"/>
      <c r="D94" s="1"/>
      <c r="E94" s="1"/>
      <c r="F94" s="1"/>
      <c r="G94" s="1"/>
    </row>
    <row r="95" spans="1:7" ht="23.25" x14ac:dyDescent="0.5">
      <c r="A95" s="2" t="s">
        <v>1</v>
      </c>
      <c r="B95" s="2"/>
      <c r="C95" s="2"/>
      <c r="D95" s="2"/>
      <c r="E95" s="2"/>
      <c r="F95" s="2"/>
      <c r="G95" s="2"/>
    </row>
    <row r="96" spans="1:7" ht="23.25" x14ac:dyDescent="0.5">
      <c r="A96" s="3" t="s">
        <v>2</v>
      </c>
      <c r="B96" s="4"/>
      <c r="C96" s="4"/>
      <c r="D96" s="4"/>
      <c r="E96" s="4"/>
      <c r="F96" s="4"/>
      <c r="G96" s="4"/>
    </row>
    <row r="97" spans="1:7" ht="23.25" x14ac:dyDescent="0.5">
      <c r="A97" s="3" t="s">
        <v>40</v>
      </c>
      <c r="B97" s="4"/>
      <c r="C97" s="4"/>
      <c r="D97" s="4"/>
      <c r="E97" s="4"/>
      <c r="F97" s="4"/>
      <c r="G97" s="4"/>
    </row>
    <row r="98" spans="1:7" ht="23.25" x14ac:dyDescent="0.5">
      <c r="A98" s="4" t="s">
        <v>4</v>
      </c>
      <c r="B98" s="4"/>
      <c r="C98" s="4"/>
      <c r="D98" s="4"/>
      <c r="E98" s="4"/>
      <c r="F98" s="4"/>
      <c r="G98" s="4"/>
    </row>
    <row r="99" spans="1:7" ht="23.25" x14ac:dyDescent="0.5">
      <c r="A99" s="4" t="s">
        <v>41</v>
      </c>
      <c r="B99" s="4"/>
      <c r="C99" s="4"/>
      <c r="D99" s="4"/>
      <c r="E99" s="4"/>
      <c r="F99" s="4"/>
      <c r="G99" s="4"/>
    </row>
    <row r="100" spans="1:7" ht="23.25" x14ac:dyDescent="0.5">
      <c r="A100" s="3"/>
      <c r="B100" s="4"/>
      <c r="C100" s="4"/>
      <c r="D100" s="4"/>
      <c r="E100" s="4"/>
      <c r="F100" s="4"/>
      <c r="G100" s="4"/>
    </row>
    <row r="101" spans="1:7" ht="23.25" x14ac:dyDescent="0.5">
      <c r="A101" s="5" t="s">
        <v>6</v>
      </c>
      <c r="B101" s="6" t="s">
        <v>7</v>
      </c>
      <c r="C101" s="7"/>
      <c r="D101" s="8"/>
      <c r="E101" s="5" t="s">
        <v>8</v>
      </c>
      <c r="F101" s="9" t="s">
        <v>9</v>
      </c>
      <c r="G101" s="10"/>
    </row>
    <row r="102" spans="1:7" ht="23.25" x14ac:dyDescent="0.5">
      <c r="A102" s="11"/>
      <c r="B102" s="12"/>
      <c r="C102" s="13"/>
      <c r="D102" s="14"/>
      <c r="E102" s="11"/>
      <c r="F102" s="9" t="s">
        <v>10</v>
      </c>
      <c r="G102" s="10"/>
    </row>
    <row r="103" spans="1:7" ht="23.25" x14ac:dyDescent="0.5">
      <c r="A103" s="15">
        <v>1</v>
      </c>
      <c r="B103" s="16" t="s">
        <v>42</v>
      </c>
      <c r="C103" s="17"/>
      <c r="D103" s="18"/>
      <c r="E103" s="19"/>
      <c r="F103" s="20">
        <v>1000000</v>
      </c>
      <c r="G103" s="21"/>
    </row>
    <row r="104" spans="1:7" ht="23.25" x14ac:dyDescent="0.5">
      <c r="A104" s="22"/>
      <c r="B104" s="16"/>
      <c r="C104" s="17"/>
      <c r="D104" s="18"/>
      <c r="E104" s="15"/>
      <c r="F104" s="20"/>
      <c r="G104" s="21"/>
    </row>
    <row r="105" spans="1:7" ht="23.25" x14ac:dyDescent="0.5">
      <c r="A105" s="15"/>
      <c r="B105" s="16"/>
      <c r="C105" s="17"/>
      <c r="D105" s="18"/>
      <c r="E105" s="23"/>
      <c r="F105" s="24"/>
      <c r="G105" s="25"/>
    </row>
    <row r="106" spans="1:7" ht="23.25" x14ac:dyDescent="0.5">
      <c r="A106" s="15"/>
      <c r="B106" s="16"/>
      <c r="C106" s="17"/>
      <c r="D106" s="18"/>
      <c r="E106" s="23"/>
      <c r="F106" s="20"/>
      <c r="G106" s="21"/>
    </row>
    <row r="107" spans="1:7" ht="23.25" x14ac:dyDescent="0.5">
      <c r="A107" s="15"/>
      <c r="B107" s="16"/>
      <c r="C107" s="17"/>
      <c r="D107" s="18"/>
      <c r="E107" s="23"/>
      <c r="F107" s="24"/>
      <c r="G107" s="25"/>
    </row>
    <row r="108" spans="1:7" ht="23.25" x14ac:dyDescent="0.5">
      <c r="A108" s="15"/>
      <c r="B108" s="16"/>
      <c r="C108" s="17"/>
      <c r="D108" s="18"/>
      <c r="E108" s="23"/>
      <c r="F108" s="24"/>
      <c r="G108" s="25"/>
    </row>
    <row r="109" spans="1:7" ht="23.25" x14ac:dyDescent="0.5">
      <c r="A109" s="15"/>
      <c r="B109" s="9"/>
      <c r="C109" s="26"/>
      <c r="D109" s="10"/>
      <c r="E109" s="23"/>
      <c r="F109" s="24"/>
      <c r="G109" s="25"/>
    </row>
    <row r="110" spans="1:7" ht="23.25" x14ac:dyDescent="0.5">
      <c r="A110" s="15"/>
      <c r="B110" s="9"/>
      <c r="C110" s="26"/>
      <c r="D110" s="10"/>
      <c r="E110" s="23"/>
      <c r="F110" s="24"/>
      <c r="G110" s="25"/>
    </row>
    <row r="111" spans="1:7" ht="23.25" x14ac:dyDescent="0.5">
      <c r="A111" s="27" t="s">
        <v>14</v>
      </c>
      <c r="B111" s="28"/>
      <c r="C111" s="28"/>
      <c r="D111" s="28"/>
      <c r="E111" s="29"/>
      <c r="F111" s="20">
        <f>SUM(F103:F110)</f>
        <v>1000000</v>
      </c>
      <c r="G111" s="21"/>
    </row>
    <row r="112" spans="1:7" ht="23.25" x14ac:dyDescent="0.5">
      <c r="A112" s="4"/>
      <c r="B112" s="30" t="str">
        <f>(BAHTTEXT(F111))</f>
        <v>หนึ่งล้านบาทถ้วน</v>
      </c>
      <c r="C112" s="30"/>
      <c r="D112" s="30"/>
      <c r="E112" s="30"/>
      <c r="F112" s="4"/>
      <c r="G112" s="4"/>
    </row>
    <row r="113" spans="1:7" ht="23.25" x14ac:dyDescent="0.5">
      <c r="A113" s="4" t="s">
        <v>43</v>
      </c>
      <c r="B113" s="4"/>
      <c r="C113" s="4"/>
      <c r="D113" s="4"/>
      <c r="E113" s="4"/>
      <c r="F113" s="4"/>
      <c r="G113" s="4"/>
    </row>
    <row r="114" spans="1:7" ht="23.25" x14ac:dyDescent="0.5">
      <c r="A114" s="4" t="s">
        <v>44</v>
      </c>
      <c r="B114" s="4"/>
      <c r="C114" s="4"/>
      <c r="D114" s="4"/>
      <c r="E114" s="4"/>
      <c r="F114" s="4"/>
      <c r="G114" s="4"/>
    </row>
    <row r="115" spans="1:7" ht="23.25" x14ac:dyDescent="0.5">
      <c r="A115" s="4" t="s">
        <v>45</v>
      </c>
      <c r="B115" s="4"/>
      <c r="C115" s="4"/>
      <c r="D115" s="4"/>
      <c r="E115" s="31"/>
      <c r="F115" s="32"/>
      <c r="G115" s="4"/>
    </row>
    <row r="116" spans="1:7" ht="23.25" x14ac:dyDescent="0.5">
      <c r="A116" s="4" t="s">
        <v>18</v>
      </c>
      <c r="B116" s="4"/>
      <c r="C116" s="4"/>
      <c r="D116" s="4"/>
      <c r="E116" s="4"/>
      <c r="F116" s="4"/>
      <c r="G116" s="4"/>
    </row>
    <row r="117" spans="1:7" ht="23.25" x14ac:dyDescent="0.5">
      <c r="A117" s="4"/>
      <c r="B117" s="4"/>
      <c r="C117" s="4"/>
      <c r="D117" s="4"/>
      <c r="E117" s="3" t="s">
        <v>19</v>
      </c>
      <c r="F117" s="3"/>
      <c r="G117" s="4"/>
    </row>
    <row r="118" spans="1:7" ht="23.25" x14ac:dyDescent="0.5">
      <c r="A118" s="4"/>
      <c r="B118" s="4"/>
      <c r="C118" s="4"/>
      <c r="D118" s="4"/>
      <c r="E118" s="33"/>
      <c r="F118" s="33"/>
      <c r="G118" s="33"/>
    </row>
    <row r="119" spans="1:7" ht="23.25" x14ac:dyDescent="0.5">
      <c r="A119" s="4"/>
      <c r="B119" s="4"/>
      <c r="C119" s="4"/>
      <c r="D119" s="4"/>
      <c r="E119" s="33"/>
      <c r="F119" s="33"/>
      <c r="G119" s="33"/>
    </row>
    <row r="120" spans="1:7" ht="23.25" x14ac:dyDescent="0.5">
      <c r="A120" s="33" t="s">
        <v>20</v>
      </c>
      <c r="B120" s="33"/>
      <c r="C120" s="33"/>
      <c r="D120" s="32" t="s">
        <v>21</v>
      </c>
      <c r="E120" s="33" t="s">
        <v>22</v>
      </c>
      <c r="F120" s="33"/>
      <c r="G120" s="33"/>
    </row>
    <row r="121" spans="1:7" ht="23.25" x14ac:dyDescent="0.5">
      <c r="A121" s="34" t="s">
        <v>23</v>
      </c>
      <c r="B121" s="34"/>
      <c r="C121" s="34"/>
      <c r="D121" s="32"/>
      <c r="E121" s="34"/>
      <c r="F121" s="34"/>
      <c r="G121" s="34"/>
    </row>
    <row r="122" spans="1:7" ht="23.25" x14ac:dyDescent="0.5">
      <c r="A122" s="34" t="s">
        <v>24</v>
      </c>
      <c r="B122" s="34"/>
      <c r="C122" s="34"/>
      <c r="D122" s="32"/>
      <c r="E122" s="34"/>
      <c r="F122" s="34"/>
      <c r="G122" s="34"/>
    </row>
    <row r="123" spans="1:7" ht="23.25" x14ac:dyDescent="0.5">
      <c r="A123" s="4"/>
      <c r="B123" s="4"/>
      <c r="C123" s="4"/>
      <c r="D123" s="4"/>
      <c r="E123" s="33" t="s">
        <v>25</v>
      </c>
      <c r="F123" s="33"/>
      <c r="G123" s="33"/>
    </row>
    <row r="124" spans="1:7" ht="23.25" x14ac:dyDescent="0.5">
      <c r="A124" s="4"/>
      <c r="B124" s="4"/>
      <c r="C124" s="4"/>
      <c r="D124" s="4"/>
      <c r="E124" s="4"/>
      <c r="F124" s="4"/>
      <c r="G124" s="4"/>
    </row>
    <row r="125" spans="1:7" ht="29.25" x14ac:dyDescent="0.2">
      <c r="A125" s="1" t="s">
        <v>0</v>
      </c>
      <c r="B125" s="1"/>
      <c r="C125" s="1"/>
      <c r="D125" s="1"/>
      <c r="E125" s="1"/>
      <c r="F125" s="1"/>
      <c r="G125" s="1"/>
    </row>
    <row r="126" spans="1:7" ht="23.25" x14ac:dyDescent="0.5">
      <c r="A126" s="2" t="s">
        <v>1</v>
      </c>
      <c r="B126" s="2"/>
      <c r="C126" s="2"/>
      <c r="D126" s="2"/>
      <c r="E126" s="2"/>
      <c r="F126" s="2"/>
      <c r="G126" s="2"/>
    </row>
    <row r="127" spans="1:7" ht="23.25" x14ac:dyDescent="0.5">
      <c r="A127" s="3" t="s">
        <v>2</v>
      </c>
      <c r="B127" s="4"/>
      <c r="C127" s="4"/>
      <c r="D127" s="4"/>
      <c r="E127" s="4"/>
      <c r="F127" s="4"/>
      <c r="G127" s="4"/>
    </row>
    <row r="128" spans="1:7" ht="23.25" x14ac:dyDescent="0.5">
      <c r="A128" s="3" t="s">
        <v>46</v>
      </c>
      <c r="B128" s="4"/>
      <c r="C128" s="4"/>
      <c r="D128" s="4"/>
      <c r="E128" s="4"/>
      <c r="F128" s="4"/>
      <c r="G128" s="4"/>
    </row>
    <row r="129" spans="1:7" ht="23.25" x14ac:dyDescent="0.5">
      <c r="A129" s="4" t="s">
        <v>4</v>
      </c>
      <c r="B129" s="4"/>
      <c r="C129" s="4"/>
      <c r="D129" s="4"/>
      <c r="E129" s="4"/>
      <c r="F129" s="4"/>
      <c r="G129" s="4"/>
    </row>
    <row r="130" spans="1:7" ht="23.25" x14ac:dyDescent="0.5">
      <c r="A130" s="4" t="s">
        <v>47</v>
      </c>
      <c r="B130" s="4"/>
      <c r="C130" s="4"/>
      <c r="D130" s="4"/>
      <c r="E130" s="4"/>
      <c r="F130" s="4"/>
      <c r="G130" s="4"/>
    </row>
    <row r="131" spans="1:7" ht="23.25" x14ac:dyDescent="0.5">
      <c r="A131" s="3"/>
      <c r="B131" s="4"/>
      <c r="C131" s="4"/>
      <c r="D131" s="4"/>
      <c r="E131" s="4"/>
      <c r="F131" s="4"/>
      <c r="G131" s="4"/>
    </row>
    <row r="132" spans="1:7" ht="23.25" x14ac:dyDescent="0.5">
      <c r="A132" s="5" t="s">
        <v>6</v>
      </c>
      <c r="B132" s="6" t="s">
        <v>7</v>
      </c>
      <c r="C132" s="7"/>
      <c r="D132" s="8"/>
      <c r="E132" s="5" t="s">
        <v>8</v>
      </c>
      <c r="F132" s="9" t="s">
        <v>9</v>
      </c>
      <c r="G132" s="10"/>
    </row>
    <row r="133" spans="1:7" ht="23.25" x14ac:dyDescent="0.5">
      <c r="A133" s="11"/>
      <c r="B133" s="12"/>
      <c r="C133" s="13"/>
      <c r="D133" s="14"/>
      <c r="E133" s="11"/>
      <c r="F133" s="9" t="s">
        <v>10</v>
      </c>
      <c r="G133" s="10"/>
    </row>
    <row r="134" spans="1:7" ht="23.25" x14ac:dyDescent="0.5">
      <c r="A134" s="15">
        <v>1</v>
      </c>
      <c r="B134" s="16" t="s">
        <v>48</v>
      </c>
      <c r="C134" s="17"/>
      <c r="D134" s="18"/>
      <c r="E134" s="19" t="s">
        <v>49</v>
      </c>
      <c r="F134" s="20">
        <v>12630000</v>
      </c>
      <c r="G134" s="21"/>
    </row>
    <row r="135" spans="1:7" ht="23.25" x14ac:dyDescent="0.5">
      <c r="A135" s="22"/>
      <c r="B135" s="16" t="s">
        <v>50</v>
      </c>
      <c r="C135" s="17"/>
      <c r="D135" s="18"/>
      <c r="E135" s="19" t="s">
        <v>49</v>
      </c>
      <c r="F135" s="20">
        <v>12630000</v>
      </c>
      <c r="G135" s="21"/>
    </row>
    <row r="136" spans="1:7" ht="23.25" x14ac:dyDescent="0.5">
      <c r="A136" s="15"/>
      <c r="B136" s="16"/>
      <c r="C136" s="17"/>
      <c r="D136" s="18"/>
      <c r="E136" s="19" t="s">
        <v>49</v>
      </c>
      <c r="F136" s="20">
        <v>12630000</v>
      </c>
      <c r="G136" s="21"/>
    </row>
    <row r="137" spans="1:7" ht="23.25" x14ac:dyDescent="0.5">
      <c r="A137" s="15"/>
      <c r="B137" s="16"/>
      <c r="C137" s="17"/>
      <c r="D137" s="18"/>
      <c r="E137" s="23"/>
      <c r="F137" s="20"/>
      <c r="G137" s="21"/>
    </row>
    <row r="138" spans="1:7" ht="23.25" x14ac:dyDescent="0.5">
      <c r="A138" s="15"/>
      <c r="B138" s="16" t="s">
        <v>30</v>
      </c>
      <c r="C138" s="17"/>
      <c r="D138" s="18"/>
      <c r="E138" s="23"/>
      <c r="F138" s="20">
        <v>554112.15</v>
      </c>
      <c r="G138" s="21"/>
    </row>
    <row r="139" spans="1:7" ht="23.25" x14ac:dyDescent="0.5">
      <c r="A139" s="15"/>
      <c r="B139" s="16"/>
      <c r="C139" s="17"/>
      <c r="D139" s="18"/>
      <c r="E139" s="23"/>
      <c r="F139" s="24"/>
      <c r="G139" s="25"/>
    </row>
    <row r="140" spans="1:7" ht="23.25" x14ac:dyDescent="0.5">
      <c r="A140" s="15"/>
      <c r="B140" s="9"/>
      <c r="C140" s="26"/>
      <c r="D140" s="10"/>
      <c r="E140" s="23"/>
      <c r="F140" s="24"/>
      <c r="G140" s="25"/>
    </row>
    <row r="141" spans="1:7" ht="23.25" x14ac:dyDescent="0.5">
      <c r="A141" s="15"/>
      <c r="B141" s="9"/>
      <c r="C141" s="26"/>
      <c r="D141" s="10"/>
      <c r="E141" s="23"/>
      <c r="F141" s="24"/>
      <c r="G141" s="25"/>
    </row>
    <row r="142" spans="1:7" ht="23.25" x14ac:dyDescent="0.5">
      <c r="A142" s="27" t="s">
        <v>14</v>
      </c>
      <c r="B142" s="28"/>
      <c r="C142" s="28"/>
      <c r="D142" s="28"/>
      <c r="E142" s="29"/>
      <c r="F142" s="20">
        <v>37535887.850000001</v>
      </c>
      <c r="G142" s="21"/>
    </row>
    <row r="143" spans="1:7" ht="23.25" x14ac:dyDescent="0.5">
      <c r="A143" s="4"/>
      <c r="B143" s="30" t="str">
        <f>(BAHTTEXT(F142))</f>
        <v>สามสิบเจ็ดล้านห้าแสนสามหมื่นห้าพันแปดร้อยแปดสิบเจ็ดบาทแปดสิบห้าสตางค์</v>
      </c>
      <c r="C143" s="30"/>
      <c r="D143" s="30"/>
      <c r="E143" s="30"/>
      <c r="F143" s="4"/>
      <c r="G143" s="4"/>
    </row>
    <row r="144" spans="1:7" ht="23.25" x14ac:dyDescent="0.5">
      <c r="A144" s="4" t="s">
        <v>51</v>
      </c>
      <c r="B144" s="4"/>
      <c r="C144" s="4"/>
      <c r="D144" s="4"/>
      <c r="E144" s="4"/>
      <c r="F144" s="4"/>
      <c r="G144" s="4"/>
    </row>
    <row r="145" spans="1:7" ht="23.25" x14ac:dyDescent="0.5">
      <c r="A145" s="4" t="s">
        <v>52</v>
      </c>
      <c r="B145" s="4"/>
      <c r="C145" s="4"/>
      <c r="D145" s="4"/>
      <c r="E145" s="4"/>
      <c r="F145" s="4"/>
      <c r="G145" s="4"/>
    </row>
    <row r="146" spans="1:7" ht="23.25" x14ac:dyDescent="0.5">
      <c r="A146" s="4" t="s">
        <v>53</v>
      </c>
      <c r="B146" s="4"/>
      <c r="C146" s="4"/>
      <c r="D146" s="4"/>
      <c r="E146" s="31"/>
      <c r="F146" s="32"/>
      <c r="G146" s="4"/>
    </row>
    <row r="147" spans="1:7" ht="23.25" x14ac:dyDescent="0.5">
      <c r="A147" s="4" t="s">
        <v>18</v>
      </c>
      <c r="B147" s="4"/>
      <c r="C147" s="4"/>
      <c r="D147" s="4"/>
      <c r="E147" s="4"/>
      <c r="F147" s="4"/>
      <c r="G147" s="4"/>
    </row>
    <row r="148" spans="1:7" ht="23.25" x14ac:dyDescent="0.5">
      <c r="A148" s="4"/>
      <c r="B148" s="4"/>
      <c r="C148" s="4"/>
      <c r="D148" s="4"/>
      <c r="E148" s="3" t="s">
        <v>19</v>
      </c>
      <c r="F148" s="3"/>
      <c r="G148" s="4"/>
    </row>
    <row r="149" spans="1:7" ht="23.25" x14ac:dyDescent="0.5">
      <c r="A149" s="4"/>
      <c r="B149" s="4"/>
      <c r="C149" s="4"/>
      <c r="D149" s="4"/>
      <c r="E149" s="33"/>
      <c r="F149" s="33"/>
      <c r="G149" s="33"/>
    </row>
    <row r="150" spans="1:7" ht="23.25" x14ac:dyDescent="0.5">
      <c r="A150" s="4"/>
      <c r="B150" s="4"/>
      <c r="C150" s="4"/>
      <c r="D150" s="4"/>
      <c r="E150" s="33"/>
      <c r="F150" s="33"/>
      <c r="G150" s="33"/>
    </row>
    <row r="151" spans="1:7" ht="23.25" x14ac:dyDescent="0.5">
      <c r="A151" s="33" t="s">
        <v>20</v>
      </c>
      <c r="B151" s="33"/>
      <c r="C151" s="33"/>
      <c r="D151" s="32" t="s">
        <v>21</v>
      </c>
      <c r="E151" s="33" t="s">
        <v>22</v>
      </c>
      <c r="F151" s="33"/>
      <c r="G151" s="33"/>
    </row>
    <row r="152" spans="1:7" ht="23.25" x14ac:dyDescent="0.5">
      <c r="A152" s="34" t="s">
        <v>23</v>
      </c>
      <c r="B152" s="34"/>
      <c r="C152" s="34"/>
      <c r="D152" s="32"/>
      <c r="E152" s="34"/>
      <c r="F152" s="34"/>
      <c r="G152" s="34"/>
    </row>
    <row r="153" spans="1:7" ht="23.25" x14ac:dyDescent="0.5">
      <c r="A153" s="34" t="s">
        <v>24</v>
      </c>
      <c r="B153" s="34"/>
      <c r="C153" s="34"/>
      <c r="D153" s="32"/>
      <c r="E153" s="34"/>
      <c r="F153" s="34"/>
      <c r="G153" s="34"/>
    </row>
    <row r="154" spans="1:7" ht="23.25" x14ac:dyDescent="0.5">
      <c r="A154" s="4"/>
      <c r="B154" s="4"/>
      <c r="C154" s="4"/>
      <c r="D154" s="4"/>
      <c r="E154" s="33" t="s">
        <v>25</v>
      </c>
      <c r="F154" s="33"/>
      <c r="G154" s="33"/>
    </row>
    <row r="155" spans="1:7" ht="23.25" x14ac:dyDescent="0.5">
      <c r="A155" s="38" t="s">
        <v>54</v>
      </c>
      <c r="B155" s="38"/>
      <c r="C155" s="38"/>
      <c r="D155" s="38"/>
      <c r="E155" s="38"/>
      <c r="F155" s="38"/>
      <c r="G155" s="38"/>
    </row>
    <row r="156" spans="1:7" ht="23.25" x14ac:dyDescent="0.5">
      <c r="A156" s="3" t="s">
        <v>55</v>
      </c>
      <c r="B156" s="4"/>
      <c r="C156" s="4"/>
      <c r="D156" s="4"/>
      <c r="E156" s="4"/>
      <c r="F156" s="4"/>
      <c r="G156" s="4"/>
    </row>
    <row r="157" spans="1:7" ht="23.25" x14ac:dyDescent="0.5">
      <c r="A157" s="3" t="s">
        <v>56</v>
      </c>
      <c r="B157" s="4"/>
      <c r="C157" s="4"/>
      <c r="D157" s="4"/>
      <c r="E157" s="4" t="s">
        <v>57</v>
      </c>
      <c r="F157" s="4"/>
      <c r="G157" s="4"/>
    </row>
    <row r="158" spans="1:7" ht="23.25" x14ac:dyDescent="0.5">
      <c r="A158" s="4"/>
      <c r="B158" s="4"/>
      <c r="C158" s="4"/>
      <c r="D158" s="4"/>
      <c r="E158" s="4" t="s">
        <v>58</v>
      </c>
      <c r="F158" s="4"/>
      <c r="G158" s="4"/>
    </row>
    <row r="159" spans="1:7" ht="23.25" x14ac:dyDescent="0.5">
      <c r="A159" s="4" t="s">
        <v>59</v>
      </c>
      <c r="B159" s="4"/>
      <c r="C159" s="4"/>
      <c r="D159" s="4"/>
      <c r="E159" s="4"/>
      <c r="F159" s="4"/>
      <c r="G159" s="4"/>
    </row>
    <row r="160" spans="1:7" ht="23.25" x14ac:dyDescent="0.5">
      <c r="A160" s="3" t="s">
        <v>60</v>
      </c>
      <c r="B160" s="4"/>
      <c r="C160" s="4"/>
      <c r="D160" s="4"/>
      <c r="E160" s="4"/>
      <c r="F160" s="4"/>
      <c r="G160" s="4"/>
    </row>
    <row r="161" spans="1:7" ht="23.25" x14ac:dyDescent="0.5">
      <c r="A161" s="5" t="s">
        <v>6</v>
      </c>
      <c r="B161" s="6" t="s">
        <v>7</v>
      </c>
      <c r="C161" s="7"/>
      <c r="D161" s="8"/>
      <c r="E161" s="5" t="s">
        <v>8</v>
      </c>
      <c r="F161" s="9" t="s">
        <v>9</v>
      </c>
      <c r="G161" s="10"/>
    </row>
    <row r="162" spans="1:7" ht="23.25" x14ac:dyDescent="0.5">
      <c r="A162" s="11"/>
      <c r="B162" s="12"/>
      <c r="C162" s="13"/>
      <c r="D162" s="14"/>
      <c r="E162" s="11"/>
      <c r="F162" s="39" t="s">
        <v>10</v>
      </c>
      <c r="G162" s="15" t="s">
        <v>61</v>
      </c>
    </row>
    <row r="163" spans="1:7" ht="23.25" x14ac:dyDescent="0.5">
      <c r="A163" s="15">
        <v>1</v>
      </c>
      <c r="B163" s="16" t="s">
        <v>62</v>
      </c>
      <c r="C163" s="17"/>
      <c r="D163" s="18"/>
      <c r="E163" s="40"/>
      <c r="F163" s="20">
        <v>873000</v>
      </c>
      <c r="G163" s="21"/>
    </row>
    <row r="164" spans="1:7" ht="23.25" x14ac:dyDescent="0.5">
      <c r="A164" s="15"/>
      <c r="B164" s="16"/>
      <c r="C164" s="17"/>
      <c r="D164" s="18"/>
      <c r="E164" s="40"/>
      <c r="F164" s="20"/>
      <c r="G164" s="21"/>
    </row>
    <row r="165" spans="1:7" ht="23.25" x14ac:dyDescent="0.5">
      <c r="A165" s="15"/>
      <c r="B165" s="16"/>
      <c r="C165" s="17"/>
      <c r="D165" s="18"/>
      <c r="E165" s="39"/>
      <c r="F165" s="24"/>
      <c r="G165" s="25"/>
    </row>
    <row r="166" spans="1:7" ht="23.25" x14ac:dyDescent="0.5">
      <c r="A166" s="15"/>
      <c r="B166" s="16"/>
      <c r="C166" s="17"/>
      <c r="D166" s="18"/>
      <c r="E166" s="39"/>
      <c r="F166" s="20"/>
      <c r="G166" s="21"/>
    </row>
    <row r="167" spans="1:7" ht="23.25" x14ac:dyDescent="0.5">
      <c r="A167" s="15"/>
      <c r="B167" s="16"/>
      <c r="C167" s="17"/>
      <c r="D167" s="18"/>
      <c r="E167" s="41"/>
      <c r="F167" s="20"/>
      <c r="G167" s="21"/>
    </row>
    <row r="168" spans="1:7" ht="23.25" x14ac:dyDescent="0.5">
      <c r="A168" s="15"/>
      <c r="B168" s="42" t="s">
        <v>63</v>
      </c>
      <c r="C168" s="43"/>
      <c r="D168" s="41"/>
      <c r="E168" s="41"/>
      <c r="F168" s="44">
        <v>8158.88</v>
      </c>
      <c r="G168" s="45"/>
    </row>
    <row r="169" spans="1:7" ht="23.25" x14ac:dyDescent="0.5">
      <c r="A169" s="15"/>
      <c r="B169" s="16"/>
      <c r="C169" s="17"/>
      <c r="D169" s="18"/>
      <c r="E169" s="41"/>
      <c r="F169" s="20"/>
      <c r="G169" s="21"/>
    </row>
    <row r="170" spans="1:7" ht="23.25" x14ac:dyDescent="0.5">
      <c r="A170" s="15"/>
      <c r="B170" s="16"/>
      <c r="C170" s="17"/>
      <c r="D170" s="18"/>
      <c r="E170" s="23"/>
      <c r="F170" s="20"/>
      <c r="G170" s="21"/>
    </row>
    <row r="171" spans="1:7" ht="23.25" x14ac:dyDescent="0.5">
      <c r="A171" s="15"/>
      <c r="B171" s="16"/>
      <c r="C171" s="17"/>
      <c r="D171" s="18"/>
      <c r="E171" s="23"/>
      <c r="F171" s="20"/>
      <c r="G171" s="21"/>
    </row>
    <row r="172" spans="1:7" ht="23.25" x14ac:dyDescent="0.5">
      <c r="A172" s="15"/>
      <c r="B172" s="16"/>
      <c r="C172" s="17"/>
      <c r="D172" s="18"/>
      <c r="E172" s="23"/>
      <c r="F172" s="20"/>
      <c r="G172" s="21"/>
    </row>
    <row r="173" spans="1:7" ht="23.25" x14ac:dyDescent="0.5">
      <c r="A173" s="15"/>
      <c r="B173" s="16"/>
      <c r="C173" s="17"/>
      <c r="D173" s="18"/>
      <c r="E173" s="23"/>
      <c r="F173" s="20"/>
      <c r="G173" s="21"/>
    </row>
    <row r="174" spans="1:7" ht="23.25" x14ac:dyDescent="0.5">
      <c r="A174" s="15"/>
      <c r="B174" s="16"/>
      <c r="C174" s="17"/>
      <c r="D174" s="18"/>
      <c r="E174" s="23"/>
      <c r="F174" s="20"/>
      <c r="G174" s="21"/>
    </row>
    <row r="175" spans="1:7" ht="23.25" x14ac:dyDescent="0.5">
      <c r="A175" s="15"/>
      <c r="B175" s="9"/>
      <c r="C175" s="26"/>
      <c r="D175" s="10"/>
      <c r="E175" s="23"/>
      <c r="F175" s="20"/>
      <c r="G175" s="21"/>
    </row>
    <row r="176" spans="1:7" ht="23.25" x14ac:dyDescent="0.5">
      <c r="A176" s="15"/>
      <c r="B176" s="9"/>
      <c r="C176" s="26"/>
      <c r="D176" s="10"/>
      <c r="E176" s="23"/>
      <c r="F176" s="20"/>
      <c r="G176" s="21"/>
    </row>
    <row r="177" spans="1:7" ht="23.25" x14ac:dyDescent="0.5">
      <c r="A177" s="27" t="s">
        <v>14</v>
      </c>
      <c r="B177" s="28"/>
      <c r="C177" s="28"/>
      <c r="D177" s="28"/>
      <c r="E177" s="29"/>
      <c r="F177" s="20">
        <v>864841.12</v>
      </c>
      <c r="G177" s="21"/>
    </row>
    <row r="178" spans="1:7" ht="23.25" x14ac:dyDescent="0.5">
      <c r="A178" s="4"/>
      <c r="B178" s="30" t="str">
        <f>BAHTTEXT(F177)</f>
        <v>แปดแสนหกหมื่นสี่พันแปดร้อยสี่สิบเอ็ดบาทสิบสองสตางค์</v>
      </c>
      <c r="C178" s="30"/>
      <c r="D178" s="30"/>
      <c r="E178" s="30"/>
      <c r="F178" s="4"/>
      <c r="G178" s="4"/>
    </row>
    <row r="179" spans="1:7" ht="23.25" x14ac:dyDescent="0.5">
      <c r="A179" s="4" t="s">
        <v>64</v>
      </c>
      <c r="B179" s="4"/>
      <c r="C179" s="4"/>
      <c r="D179" s="4"/>
      <c r="E179" s="4" t="s">
        <v>57</v>
      </c>
      <c r="F179" s="4"/>
      <c r="G179" s="4"/>
    </row>
    <row r="180" spans="1:7" ht="23.25" x14ac:dyDescent="0.5">
      <c r="A180" s="4" t="s">
        <v>65</v>
      </c>
      <c r="B180" s="4"/>
      <c r="C180" s="4"/>
      <c r="D180" s="4"/>
      <c r="E180" s="4"/>
      <c r="F180" s="4"/>
      <c r="G180" s="4"/>
    </row>
    <row r="181" spans="1:7" ht="23.25" x14ac:dyDescent="0.5">
      <c r="A181" s="4" t="s">
        <v>66</v>
      </c>
      <c r="B181" s="4"/>
      <c r="C181" s="31">
        <v>864841.12</v>
      </c>
      <c r="D181" s="32" t="s">
        <v>10</v>
      </c>
      <c r="E181" s="35"/>
      <c r="F181" s="35"/>
      <c r="G181" s="4"/>
    </row>
    <row r="182" spans="1:7" ht="23.25" x14ac:dyDescent="0.5">
      <c r="A182" s="4" t="s">
        <v>18</v>
      </c>
      <c r="B182" s="4"/>
      <c r="C182" s="4"/>
      <c r="D182" s="4"/>
      <c r="E182" s="4"/>
      <c r="F182" s="4"/>
      <c r="G182" s="4"/>
    </row>
    <row r="183" spans="1:7" ht="23.25" x14ac:dyDescent="0.5">
      <c r="A183" s="4"/>
      <c r="B183" s="4"/>
      <c r="C183" s="4"/>
      <c r="D183" s="4"/>
      <c r="E183" s="3" t="s">
        <v>19</v>
      </c>
      <c r="F183" s="3"/>
      <c r="G183" s="4"/>
    </row>
    <row r="184" spans="1:7" ht="23.25" x14ac:dyDescent="0.5">
      <c r="A184" s="4"/>
      <c r="B184" s="4"/>
      <c r="C184" s="4"/>
      <c r="D184" s="4"/>
      <c r="E184" s="33"/>
      <c r="F184" s="33"/>
      <c r="G184" s="33"/>
    </row>
    <row r="185" spans="1:7" ht="23.25" x14ac:dyDescent="0.5">
      <c r="A185" s="4"/>
      <c r="B185" s="4"/>
      <c r="C185" s="4"/>
      <c r="D185" s="4"/>
      <c r="E185" s="33"/>
      <c r="F185" s="33"/>
      <c r="G185" s="33"/>
    </row>
    <row r="186" spans="1:7" ht="23.25" x14ac:dyDescent="0.5">
      <c r="A186" s="33" t="s">
        <v>20</v>
      </c>
      <c r="B186" s="33"/>
      <c r="C186" s="33"/>
      <c r="D186" s="32" t="s">
        <v>21</v>
      </c>
      <c r="E186" s="33" t="s">
        <v>22</v>
      </c>
      <c r="F186" s="33"/>
      <c r="G186" s="33"/>
    </row>
    <row r="187" spans="1:7" ht="23.25" x14ac:dyDescent="0.5">
      <c r="A187" s="34" t="s">
        <v>23</v>
      </c>
      <c r="B187" s="34"/>
      <c r="C187" s="34"/>
      <c r="D187" s="46"/>
      <c r="E187" s="34"/>
      <c r="F187" s="34"/>
      <c r="G187" s="34"/>
    </row>
    <row r="188" spans="1:7" ht="23.25" x14ac:dyDescent="0.5">
      <c r="A188" s="34" t="s">
        <v>24</v>
      </c>
      <c r="B188" s="34"/>
      <c r="C188" s="34"/>
      <c r="D188" s="46"/>
      <c r="E188" s="34"/>
      <c r="F188" s="34"/>
      <c r="G188" s="34"/>
    </row>
    <row r="189" spans="1:7" ht="23.25" x14ac:dyDescent="0.5">
      <c r="A189" s="4"/>
      <c r="B189" s="4"/>
      <c r="C189" s="4"/>
      <c r="D189" s="4"/>
      <c r="E189" s="33" t="s">
        <v>67</v>
      </c>
      <c r="F189" s="33"/>
      <c r="G189" s="33"/>
    </row>
    <row r="190" spans="1:7" ht="23.25" x14ac:dyDescent="0.5">
      <c r="A190" s="4"/>
      <c r="B190" s="4"/>
      <c r="C190" s="4"/>
      <c r="D190" s="4"/>
      <c r="E190" s="4"/>
      <c r="F190" s="4"/>
      <c r="G190" s="4"/>
    </row>
    <row r="191" spans="1:7" ht="29.25" x14ac:dyDescent="0.2">
      <c r="A191" s="1" t="s">
        <v>0</v>
      </c>
      <c r="B191" s="1"/>
      <c r="C191" s="1"/>
      <c r="D191" s="1"/>
      <c r="E191" s="1"/>
      <c r="F191" s="1"/>
      <c r="G191" s="1"/>
    </row>
    <row r="192" spans="1:7" ht="23.25" x14ac:dyDescent="0.5">
      <c r="A192" s="2" t="s">
        <v>1</v>
      </c>
      <c r="B192" s="2"/>
      <c r="C192" s="2"/>
      <c r="D192" s="2"/>
      <c r="E192" s="2"/>
      <c r="F192" s="2"/>
      <c r="G192" s="2"/>
    </row>
    <row r="193" spans="1:7" ht="23.25" x14ac:dyDescent="0.5">
      <c r="A193" s="3" t="s">
        <v>2</v>
      </c>
      <c r="B193" s="4"/>
      <c r="C193" s="4"/>
      <c r="D193" s="4"/>
      <c r="E193" s="4"/>
      <c r="F193" s="4"/>
      <c r="G193" s="4"/>
    </row>
    <row r="194" spans="1:7" ht="23.25" x14ac:dyDescent="0.5">
      <c r="A194" s="3" t="s">
        <v>68</v>
      </c>
      <c r="B194" s="4"/>
      <c r="C194" s="4"/>
      <c r="D194" s="4"/>
      <c r="E194" s="4"/>
      <c r="F194" s="4"/>
      <c r="G194" s="4"/>
    </row>
    <row r="195" spans="1:7" ht="23.25" x14ac:dyDescent="0.5">
      <c r="A195" s="4" t="s">
        <v>4</v>
      </c>
      <c r="B195" s="4"/>
      <c r="C195" s="4"/>
      <c r="D195" s="4"/>
      <c r="E195" s="4"/>
      <c r="F195" s="4"/>
      <c r="G195" s="4"/>
    </row>
    <row r="196" spans="1:7" ht="23.25" x14ac:dyDescent="0.5">
      <c r="A196" s="4" t="s">
        <v>69</v>
      </c>
      <c r="B196" s="4"/>
      <c r="C196" s="4"/>
      <c r="D196" s="4"/>
      <c r="E196" s="4"/>
      <c r="F196" s="4"/>
      <c r="G196" s="4"/>
    </row>
    <row r="197" spans="1:7" ht="23.25" x14ac:dyDescent="0.5">
      <c r="A197" s="5" t="s">
        <v>6</v>
      </c>
      <c r="B197" s="6" t="s">
        <v>7</v>
      </c>
      <c r="C197" s="7"/>
      <c r="D197" s="8"/>
      <c r="E197" s="5" t="s">
        <v>8</v>
      </c>
      <c r="F197" s="9" t="s">
        <v>9</v>
      </c>
      <c r="G197" s="10"/>
    </row>
    <row r="198" spans="1:7" ht="23.25" x14ac:dyDescent="0.5">
      <c r="A198" s="11"/>
      <c r="B198" s="12"/>
      <c r="C198" s="13"/>
      <c r="D198" s="14"/>
      <c r="E198" s="11"/>
      <c r="F198" s="39" t="s">
        <v>10</v>
      </c>
      <c r="G198" s="15" t="s">
        <v>61</v>
      </c>
    </row>
    <row r="199" spans="1:7" ht="23.25" x14ac:dyDescent="0.5">
      <c r="A199" s="15">
        <v>1</v>
      </c>
      <c r="B199" s="16" t="s">
        <v>70</v>
      </c>
      <c r="C199" s="17"/>
      <c r="D199" s="18"/>
      <c r="E199" s="19"/>
      <c r="F199" s="20">
        <v>214500</v>
      </c>
      <c r="G199" s="21"/>
    </row>
    <row r="200" spans="1:7" ht="23.25" x14ac:dyDescent="0.5">
      <c r="A200" s="15"/>
      <c r="B200" s="16"/>
      <c r="C200" s="17"/>
      <c r="D200" s="18"/>
      <c r="E200" s="15"/>
      <c r="F200" s="24"/>
      <c r="G200" s="25"/>
    </row>
    <row r="201" spans="1:7" ht="23.25" x14ac:dyDescent="0.5">
      <c r="A201" s="15"/>
      <c r="B201" s="16" t="s">
        <v>71</v>
      </c>
      <c r="C201" s="17"/>
      <c r="D201" s="18"/>
      <c r="E201" s="15"/>
      <c r="F201" s="20">
        <v>1716</v>
      </c>
      <c r="G201" s="21"/>
    </row>
    <row r="202" spans="1:7" ht="23.25" x14ac:dyDescent="0.5">
      <c r="A202" s="15"/>
      <c r="B202" s="16"/>
      <c r="C202" s="17"/>
      <c r="D202" s="18"/>
      <c r="E202" s="15"/>
      <c r="F202" s="24"/>
      <c r="G202" s="25"/>
    </row>
    <row r="203" spans="1:7" ht="23.25" x14ac:dyDescent="0.5">
      <c r="A203" s="15"/>
      <c r="B203" s="16" t="s">
        <v>63</v>
      </c>
      <c r="C203" s="17"/>
      <c r="D203" s="18"/>
      <c r="E203" s="23"/>
      <c r="F203" s="20">
        <v>2004.67</v>
      </c>
      <c r="G203" s="21"/>
    </row>
    <row r="204" spans="1:7" ht="23.25" x14ac:dyDescent="0.5">
      <c r="A204" s="15"/>
      <c r="B204" s="16"/>
      <c r="C204" s="17"/>
      <c r="D204" s="18"/>
      <c r="E204" s="23"/>
      <c r="F204" s="24"/>
      <c r="G204" s="25"/>
    </row>
    <row r="205" spans="1:7" ht="23.25" x14ac:dyDescent="0.5">
      <c r="A205" s="15"/>
      <c r="B205" s="16"/>
      <c r="C205" s="17"/>
      <c r="D205" s="18"/>
      <c r="E205" s="23"/>
      <c r="F205" s="24"/>
      <c r="G205" s="25"/>
    </row>
    <row r="206" spans="1:7" ht="23.25" x14ac:dyDescent="0.5">
      <c r="A206" s="15"/>
      <c r="B206" s="9"/>
      <c r="C206" s="26"/>
      <c r="D206" s="10"/>
      <c r="E206" s="23"/>
      <c r="F206" s="24"/>
      <c r="G206" s="25"/>
    </row>
    <row r="207" spans="1:7" ht="23.25" x14ac:dyDescent="0.5">
      <c r="A207" s="15"/>
      <c r="B207" s="9"/>
      <c r="C207" s="26"/>
      <c r="D207" s="10"/>
      <c r="E207" s="23"/>
      <c r="F207" s="24"/>
      <c r="G207" s="25"/>
    </row>
    <row r="208" spans="1:7" ht="23.25" x14ac:dyDescent="0.5">
      <c r="A208" s="27" t="s">
        <v>14</v>
      </c>
      <c r="B208" s="28"/>
      <c r="C208" s="28"/>
      <c r="D208" s="28"/>
      <c r="E208" s="29"/>
      <c r="F208" s="20">
        <v>210779.33</v>
      </c>
      <c r="G208" s="21"/>
    </row>
    <row r="209" spans="1:7" ht="23.25" x14ac:dyDescent="0.5">
      <c r="A209" s="4"/>
      <c r="B209" s="30" t="str">
        <f>BAHTTEXT(F208)</f>
        <v>สองแสนหนึ่งหมื่นเจ็ดร้อยเจ็ดสิบเก้าบาทสามสิบสามสตางค์</v>
      </c>
      <c r="C209" s="30"/>
      <c r="D209" s="30"/>
      <c r="E209" s="30"/>
      <c r="F209" s="4"/>
      <c r="G209" s="4"/>
    </row>
    <row r="210" spans="1:7" ht="23.25" x14ac:dyDescent="0.5">
      <c r="A210" s="4" t="s">
        <v>72</v>
      </c>
      <c r="B210" s="4"/>
      <c r="C210" s="4"/>
      <c r="D210" s="4"/>
      <c r="E210" s="4"/>
      <c r="F210" s="4"/>
      <c r="G210" s="4"/>
    </row>
    <row r="211" spans="1:7" ht="23.25" x14ac:dyDescent="0.5">
      <c r="A211" s="4" t="s">
        <v>73</v>
      </c>
      <c r="B211" s="4"/>
      <c r="C211" s="4"/>
      <c r="D211" s="4"/>
      <c r="E211" s="4"/>
      <c r="F211" s="4"/>
      <c r="G211" s="4"/>
    </row>
    <row r="212" spans="1:7" ht="23.25" x14ac:dyDescent="0.5">
      <c r="A212" s="4" t="s">
        <v>74</v>
      </c>
      <c r="B212" s="4"/>
      <c r="C212" s="31"/>
      <c r="D212" s="32"/>
      <c r="E212" s="35"/>
      <c r="F212" s="35"/>
      <c r="G212" s="4"/>
    </row>
    <row r="213" spans="1:7" ht="23.25" x14ac:dyDescent="0.5">
      <c r="A213" s="4" t="s">
        <v>18</v>
      </c>
      <c r="B213" s="4"/>
      <c r="C213" s="4"/>
      <c r="D213" s="4"/>
      <c r="E213" s="4"/>
      <c r="F213" s="4"/>
      <c r="G213" s="4"/>
    </row>
    <row r="214" spans="1:7" ht="23.25" x14ac:dyDescent="0.5">
      <c r="A214" s="4"/>
      <c r="B214" s="4"/>
      <c r="C214" s="4"/>
      <c r="D214" s="4"/>
      <c r="E214" s="3" t="s">
        <v>19</v>
      </c>
      <c r="F214" s="3"/>
      <c r="G214" s="4"/>
    </row>
    <row r="215" spans="1:7" ht="23.25" x14ac:dyDescent="0.5">
      <c r="A215" s="4"/>
      <c r="B215" s="4"/>
      <c r="C215" s="4"/>
      <c r="D215" s="4"/>
      <c r="E215" s="33"/>
      <c r="F215" s="33"/>
      <c r="G215" s="33"/>
    </row>
    <row r="216" spans="1:7" ht="23.25" x14ac:dyDescent="0.5">
      <c r="A216" s="4"/>
      <c r="B216" s="4"/>
      <c r="C216" s="4"/>
      <c r="D216" s="4"/>
      <c r="E216" s="33"/>
      <c r="F216" s="33"/>
      <c r="G216" s="33"/>
    </row>
    <row r="217" spans="1:7" ht="23.25" x14ac:dyDescent="0.5">
      <c r="A217" s="33" t="s">
        <v>20</v>
      </c>
      <c r="B217" s="33"/>
      <c r="C217" s="33"/>
      <c r="D217" s="32" t="s">
        <v>21</v>
      </c>
      <c r="E217" s="33" t="s">
        <v>22</v>
      </c>
      <c r="F217" s="33"/>
      <c r="G217" s="33"/>
    </row>
    <row r="218" spans="1:7" ht="23.25" x14ac:dyDescent="0.5">
      <c r="A218" s="34" t="s">
        <v>23</v>
      </c>
      <c r="B218" s="34"/>
      <c r="C218" s="34"/>
      <c r="D218" s="46"/>
      <c r="E218" s="34"/>
      <c r="F218" s="34"/>
      <c r="G218" s="34"/>
    </row>
    <row r="219" spans="1:7" ht="23.25" x14ac:dyDescent="0.5">
      <c r="A219" s="34" t="s">
        <v>24</v>
      </c>
      <c r="B219" s="34"/>
      <c r="C219" s="34"/>
      <c r="D219" s="46"/>
      <c r="E219" s="34"/>
      <c r="F219" s="34"/>
      <c r="G219" s="34"/>
    </row>
    <row r="220" spans="1:7" ht="23.25" x14ac:dyDescent="0.5">
      <c r="A220" s="4"/>
      <c r="B220" s="4"/>
      <c r="C220" s="4"/>
      <c r="D220" s="4"/>
      <c r="E220" s="33" t="s">
        <v>67</v>
      </c>
      <c r="F220" s="33"/>
      <c r="G220" s="33"/>
    </row>
    <row r="221" spans="1:7" ht="23.25" x14ac:dyDescent="0.5">
      <c r="A221" s="4"/>
      <c r="B221" s="4"/>
      <c r="C221" s="4"/>
      <c r="D221" s="4"/>
      <c r="E221" s="4"/>
      <c r="F221" s="4"/>
      <c r="G221" s="4"/>
    </row>
    <row r="222" spans="1:7" ht="23.25" x14ac:dyDescent="0.5">
      <c r="A222" s="38" t="s">
        <v>75</v>
      </c>
      <c r="B222" s="38"/>
      <c r="C222" s="38"/>
      <c r="D222" s="38"/>
      <c r="E222" s="38"/>
      <c r="F222" s="38"/>
      <c r="G222" s="38"/>
    </row>
    <row r="223" spans="1:7" ht="23.25" x14ac:dyDescent="0.5">
      <c r="A223" s="3" t="s">
        <v>55</v>
      </c>
      <c r="B223" s="4"/>
      <c r="C223" s="4"/>
      <c r="D223" s="4"/>
      <c r="E223" s="4"/>
      <c r="F223" s="4"/>
      <c r="G223" s="4"/>
    </row>
    <row r="224" spans="1:7" ht="23.25" x14ac:dyDescent="0.5">
      <c r="A224" s="3" t="s">
        <v>56</v>
      </c>
      <c r="B224" s="4"/>
      <c r="C224" s="4"/>
      <c r="D224" s="4"/>
      <c r="E224" s="4" t="s">
        <v>76</v>
      </c>
      <c r="F224" s="4"/>
      <c r="G224" s="4"/>
    </row>
    <row r="225" spans="1:7" ht="23.25" x14ac:dyDescent="0.5">
      <c r="A225" s="4"/>
      <c r="B225" s="4"/>
      <c r="C225" s="4"/>
      <c r="D225" s="4"/>
      <c r="E225" s="4" t="s">
        <v>77</v>
      </c>
      <c r="F225" s="4"/>
      <c r="G225" s="4"/>
    </row>
    <row r="226" spans="1:7" ht="23.25" x14ac:dyDescent="0.5">
      <c r="A226" s="4" t="s">
        <v>59</v>
      </c>
      <c r="B226" s="4"/>
      <c r="C226" s="4"/>
      <c r="D226" s="4"/>
      <c r="E226" s="4"/>
      <c r="F226" s="4"/>
      <c r="G226" s="4"/>
    </row>
    <row r="227" spans="1:7" ht="23.25" x14ac:dyDescent="0.5">
      <c r="A227" s="3" t="s">
        <v>60</v>
      </c>
      <c r="B227" s="4"/>
      <c r="C227" s="4"/>
      <c r="D227" s="4"/>
      <c r="E227" s="4"/>
      <c r="F227" s="4"/>
      <c r="G227" s="4"/>
    </row>
    <row r="228" spans="1:7" ht="23.25" x14ac:dyDescent="0.5">
      <c r="A228" s="5" t="s">
        <v>6</v>
      </c>
      <c r="B228" s="6" t="s">
        <v>7</v>
      </c>
      <c r="C228" s="47"/>
      <c r="D228" s="48"/>
      <c r="E228" s="5" t="s">
        <v>8</v>
      </c>
      <c r="F228" s="9" t="s">
        <v>9</v>
      </c>
      <c r="G228" s="10"/>
    </row>
    <row r="229" spans="1:7" ht="23.25" x14ac:dyDescent="0.5">
      <c r="A229" s="49"/>
      <c r="B229" s="50"/>
      <c r="C229" s="51"/>
      <c r="D229" s="52"/>
      <c r="E229" s="49"/>
      <c r="F229" s="39" t="s">
        <v>10</v>
      </c>
      <c r="G229" s="15" t="s">
        <v>61</v>
      </c>
    </row>
    <row r="230" spans="1:7" ht="23.25" x14ac:dyDescent="0.5">
      <c r="A230" s="15">
        <v>1</v>
      </c>
      <c r="B230" s="16" t="s">
        <v>78</v>
      </c>
      <c r="C230" s="17"/>
      <c r="D230" s="18"/>
      <c r="E230" s="19"/>
      <c r="F230" s="20">
        <v>121082.07</v>
      </c>
      <c r="G230" s="21"/>
    </row>
    <row r="231" spans="1:7" ht="23.25" x14ac:dyDescent="0.5">
      <c r="A231" s="15"/>
      <c r="B231" s="16"/>
      <c r="C231" s="17"/>
      <c r="D231" s="18"/>
      <c r="E231" s="19"/>
      <c r="F231" s="24"/>
      <c r="G231" s="25"/>
    </row>
    <row r="232" spans="1:7" ht="23.25" x14ac:dyDescent="0.5">
      <c r="A232" s="15"/>
      <c r="B232" s="16"/>
      <c r="C232" s="17"/>
      <c r="D232" s="18"/>
      <c r="E232" s="19"/>
      <c r="F232" s="24"/>
      <c r="G232" s="25"/>
    </row>
    <row r="233" spans="1:7" ht="23.25" x14ac:dyDescent="0.5">
      <c r="A233" s="15"/>
      <c r="B233" s="16"/>
      <c r="C233" s="17"/>
      <c r="D233" s="18"/>
      <c r="E233" s="19"/>
      <c r="F233" s="24"/>
      <c r="G233" s="25"/>
    </row>
    <row r="234" spans="1:7" ht="23.25" x14ac:dyDescent="0.5">
      <c r="A234" s="15"/>
      <c r="B234" s="16"/>
      <c r="C234" s="17"/>
      <c r="D234" s="18"/>
      <c r="E234" s="23"/>
      <c r="F234" s="24"/>
      <c r="G234" s="25"/>
    </row>
    <row r="235" spans="1:7" ht="23.25" x14ac:dyDescent="0.5">
      <c r="A235" s="15"/>
      <c r="B235" s="16" t="s">
        <v>63</v>
      </c>
      <c r="C235" s="17"/>
      <c r="D235" s="18"/>
      <c r="E235" s="23"/>
      <c r="F235" s="20">
        <v>1131.6099999999999</v>
      </c>
      <c r="G235" s="21"/>
    </row>
    <row r="236" spans="1:7" ht="23.25" x14ac:dyDescent="0.5">
      <c r="A236" s="15"/>
      <c r="B236" s="16"/>
      <c r="C236" s="17"/>
      <c r="D236" s="18"/>
      <c r="E236" s="23"/>
      <c r="F236" s="24"/>
      <c r="G236" s="25"/>
    </row>
    <row r="237" spans="1:7" ht="23.25" x14ac:dyDescent="0.5">
      <c r="A237" s="15"/>
      <c r="B237" s="16"/>
      <c r="C237" s="17"/>
      <c r="D237" s="18"/>
      <c r="E237" s="23"/>
      <c r="F237" s="24"/>
      <c r="G237" s="25"/>
    </row>
    <row r="238" spans="1:7" ht="23.25" x14ac:dyDescent="0.5">
      <c r="A238" s="15"/>
      <c r="B238" s="16"/>
      <c r="C238" s="17"/>
      <c r="D238" s="18"/>
      <c r="E238" s="23"/>
      <c r="F238" s="24"/>
      <c r="G238" s="25"/>
    </row>
    <row r="239" spans="1:7" ht="23.25" x14ac:dyDescent="0.5">
      <c r="A239" s="15"/>
      <c r="B239" s="16"/>
      <c r="C239" s="17"/>
      <c r="D239" s="18"/>
      <c r="E239" s="23"/>
      <c r="F239" s="24"/>
      <c r="G239" s="25"/>
    </row>
    <row r="240" spans="1:7" ht="23.25" x14ac:dyDescent="0.5">
      <c r="A240" s="15"/>
      <c r="B240" s="16"/>
      <c r="C240" s="17"/>
      <c r="D240" s="18"/>
      <c r="E240" s="23"/>
      <c r="F240" s="24"/>
      <c r="G240" s="25"/>
    </row>
    <row r="241" spans="1:7" ht="23.25" x14ac:dyDescent="0.5">
      <c r="A241" s="15"/>
      <c r="B241" s="16"/>
      <c r="C241" s="17"/>
      <c r="D241" s="18"/>
      <c r="E241" s="23"/>
      <c r="F241" s="24"/>
      <c r="G241" s="25"/>
    </row>
    <row r="242" spans="1:7" ht="23.25" x14ac:dyDescent="0.5">
      <c r="A242" s="15"/>
      <c r="B242" s="16"/>
      <c r="C242" s="17"/>
      <c r="D242" s="18"/>
      <c r="E242" s="23"/>
      <c r="F242" s="24"/>
      <c r="G242" s="25"/>
    </row>
    <row r="243" spans="1:7" ht="23.25" x14ac:dyDescent="0.5">
      <c r="A243" s="15"/>
      <c r="B243" s="9"/>
      <c r="C243" s="26"/>
      <c r="D243" s="10"/>
      <c r="E243" s="23"/>
      <c r="F243" s="24"/>
      <c r="G243" s="25"/>
    </row>
    <row r="244" spans="1:7" ht="23.25" x14ac:dyDescent="0.5">
      <c r="A244" s="15"/>
      <c r="B244" s="9"/>
      <c r="C244" s="26"/>
      <c r="D244" s="10"/>
      <c r="E244" s="23"/>
      <c r="F244" s="24"/>
      <c r="G244" s="25"/>
    </row>
    <row r="245" spans="1:7" ht="23.25" x14ac:dyDescent="0.5">
      <c r="A245" s="27" t="s">
        <v>14</v>
      </c>
      <c r="B245" s="28"/>
      <c r="C245" s="28"/>
      <c r="D245" s="28"/>
      <c r="E245" s="29"/>
      <c r="F245" s="20">
        <v>119950.46</v>
      </c>
      <c r="G245" s="21"/>
    </row>
    <row r="246" spans="1:7" ht="23.25" x14ac:dyDescent="0.5">
      <c r="A246" s="4"/>
      <c r="B246" s="30" t="str">
        <f>BAHTTEXT(F245)</f>
        <v>หนึ่งแสนหนึ่งหมื่นเก้าพันเก้าร้อยห้าสิบบาทสี่สิบหกสตางค์</v>
      </c>
      <c r="C246" s="30"/>
      <c r="D246" s="30"/>
      <c r="E246" s="30"/>
      <c r="F246" s="4"/>
      <c r="G246" s="4"/>
    </row>
    <row r="247" spans="1:7" ht="23.25" x14ac:dyDescent="0.5">
      <c r="A247" s="4" t="s">
        <v>64</v>
      </c>
      <c r="B247" s="4"/>
      <c r="C247" s="4"/>
      <c r="D247" s="4"/>
      <c r="E247" s="4" t="s">
        <v>76</v>
      </c>
      <c r="F247" s="4"/>
      <c r="G247" s="4"/>
    </row>
    <row r="248" spans="1:7" ht="23.25" x14ac:dyDescent="0.5">
      <c r="A248" s="4" t="s">
        <v>79</v>
      </c>
      <c r="B248" s="4"/>
      <c r="C248" s="4"/>
      <c r="D248" s="4"/>
      <c r="E248" s="4"/>
      <c r="F248" s="35"/>
      <c r="G248" s="35"/>
    </row>
    <row r="249" spans="1:7" ht="23.25" x14ac:dyDescent="0.5">
      <c r="A249" s="4" t="s">
        <v>80</v>
      </c>
      <c r="B249" s="4"/>
      <c r="C249" s="4"/>
      <c r="D249" s="4"/>
      <c r="E249" s="53"/>
      <c r="F249" s="32"/>
      <c r="G249" s="4"/>
    </row>
    <row r="250" spans="1:7" ht="23.25" x14ac:dyDescent="0.5">
      <c r="A250" s="4" t="s">
        <v>18</v>
      </c>
      <c r="B250" s="4"/>
      <c r="C250" s="4"/>
      <c r="D250" s="4"/>
      <c r="E250" s="4"/>
      <c r="F250" s="4"/>
      <c r="G250" s="4"/>
    </row>
    <row r="251" spans="1:7" ht="23.25" x14ac:dyDescent="0.5">
      <c r="A251" s="4"/>
      <c r="B251" s="4"/>
      <c r="C251" s="4"/>
      <c r="D251" s="4"/>
      <c r="E251" s="3" t="s">
        <v>19</v>
      </c>
      <c r="F251" s="3"/>
      <c r="G251" s="4"/>
    </row>
    <row r="252" spans="1:7" ht="23.25" x14ac:dyDescent="0.5">
      <c r="A252" s="4"/>
      <c r="B252" s="4"/>
      <c r="C252" s="4"/>
      <c r="D252" s="4"/>
      <c r="E252" s="33"/>
      <c r="F252" s="33"/>
      <c r="G252" s="33"/>
    </row>
    <row r="253" spans="1:7" ht="23.25" x14ac:dyDescent="0.5">
      <c r="A253" s="4"/>
      <c r="B253" s="4"/>
      <c r="C253" s="4"/>
      <c r="D253" s="4"/>
      <c r="E253" s="33"/>
      <c r="F253" s="33"/>
      <c r="G253" s="33"/>
    </row>
    <row r="254" spans="1:7" ht="23.25" x14ac:dyDescent="0.5">
      <c r="A254" s="33" t="s">
        <v>20</v>
      </c>
      <c r="B254" s="33"/>
      <c r="C254" s="33"/>
      <c r="D254" s="32" t="s">
        <v>21</v>
      </c>
      <c r="E254" s="33" t="s">
        <v>22</v>
      </c>
      <c r="F254" s="33"/>
      <c r="G254" s="33"/>
    </row>
    <row r="255" spans="1:7" ht="23.25" x14ac:dyDescent="0.5">
      <c r="A255" s="34" t="s">
        <v>81</v>
      </c>
      <c r="B255" s="34"/>
      <c r="C255" s="34"/>
      <c r="D255" s="46"/>
      <c r="E255" s="34"/>
      <c r="F255" s="34"/>
      <c r="G255" s="34"/>
    </row>
    <row r="256" spans="1:7" ht="23.25" x14ac:dyDescent="0.5">
      <c r="A256" s="2" t="s">
        <v>82</v>
      </c>
      <c r="B256" s="2"/>
      <c r="C256" s="2"/>
      <c r="D256" s="46"/>
      <c r="E256" s="34"/>
      <c r="F256" s="34"/>
      <c r="G256" s="34"/>
    </row>
    <row r="257" spans="1:7" ht="23.25" x14ac:dyDescent="0.5">
      <c r="A257" s="4"/>
      <c r="B257" s="4"/>
      <c r="C257" s="4"/>
      <c r="D257" s="4"/>
      <c r="E257" s="33" t="s">
        <v>67</v>
      </c>
      <c r="F257" s="33"/>
      <c r="G257" s="33"/>
    </row>
    <row r="258" spans="1:7" ht="23.25" x14ac:dyDescent="0.5">
      <c r="A258" s="38" t="s">
        <v>75</v>
      </c>
      <c r="B258" s="38"/>
      <c r="C258" s="38"/>
      <c r="D258" s="38"/>
      <c r="E258" s="38"/>
      <c r="F258" s="38"/>
      <c r="G258" s="38"/>
    </row>
    <row r="259" spans="1:7" ht="23.25" x14ac:dyDescent="0.5">
      <c r="A259" s="3" t="s">
        <v>55</v>
      </c>
      <c r="B259" s="4"/>
      <c r="C259" s="4"/>
      <c r="D259" s="4"/>
      <c r="E259" s="4"/>
      <c r="F259" s="4"/>
      <c r="G259" s="4"/>
    </row>
    <row r="260" spans="1:7" ht="23.25" x14ac:dyDescent="0.5">
      <c r="A260" s="3" t="s">
        <v>56</v>
      </c>
      <c r="B260" s="4"/>
      <c r="C260" s="4"/>
      <c r="D260" s="4"/>
      <c r="E260" s="4" t="s">
        <v>83</v>
      </c>
      <c r="F260" s="4"/>
      <c r="G260" s="4"/>
    </row>
    <row r="261" spans="1:7" ht="23.25" x14ac:dyDescent="0.5">
      <c r="A261" s="4"/>
      <c r="B261" s="4"/>
      <c r="C261" s="4"/>
      <c r="D261" s="4"/>
      <c r="E261" s="4" t="s">
        <v>84</v>
      </c>
      <c r="F261" s="4"/>
      <c r="G261" s="4"/>
    </row>
    <row r="262" spans="1:7" ht="23.25" x14ac:dyDescent="0.5">
      <c r="A262" s="4" t="s">
        <v>59</v>
      </c>
      <c r="B262" s="4"/>
      <c r="C262" s="4"/>
      <c r="D262" s="4"/>
      <c r="E262" s="4"/>
      <c r="F262" s="4"/>
      <c r="G262" s="4"/>
    </row>
    <row r="263" spans="1:7" ht="23.25" x14ac:dyDescent="0.5">
      <c r="A263" s="3" t="s">
        <v>60</v>
      </c>
      <c r="B263" s="4"/>
      <c r="C263" s="4"/>
      <c r="D263" s="4"/>
      <c r="E263" s="4"/>
      <c r="F263" s="4"/>
      <c r="G263" s="4"/>
    </row>
    <row r="264" spans="1:7" ht="23.25" x14ac:dyDescent="0.5">
      <c r="A264" s="5" t="s">
        <v>6</v>
      </c>
      <c r="B264" s="6" t="s">
        <v>7</v>
      </c>
      <c r="C264" s="47"/>
      <c r="D264" s="48"/>
      <c r="E264" s="5" t="s">
        <v>8</v>
      </c>
      <c r="F264" s="9" t="s">
        <v>9</v>
      </c>
      <c r="G264" s="10"/>
    </row>
    <row r="265" spans="1:7" ht="23.25" x14ac:dyDescent="0.5">
      <c r="A265" s="49"/>
      <c r="B265" s="50"/>
      <c r="C265" s="51"/>
      <c r="D265" s="52"/>
      <c r="E265" s="49"/>
      <c r="F265" s="39" t="s">
        <v>10</v>
      </c>
      <c r="G265" s="15" t="s">
        <v>61</v>
      </c>
    </row>
    <row r="266" spans="1:7" ht="23.25" x14ac:dyDescent="0.5">
      <c r="A266" s="15">
        <v>1</v>
      </c>
      <c r="B266" s="16" t="s">
        <v>85</v>
      </c>
      <c r="C266" s="17"/>
      <c r="D266" s="18"/>
      <c r="E266" s="19"/>
      <c r="F266" s="20">
        <v>1442500</v>
      </c>
      <c r="G266" s="21"/>
    </row>
    <row r="267" spans="1:7" ht="23.25" x14ac:dyDescent="0.5">
      <c r="A267" s="15"/>
      <c r="B267" s="16" t="s">
        <v>86</v>
      </c>
      <c r="C267" s="17"/>
      <c r="D267" s="18"/>
      <c r="E267" s="19"/>
      <c r="F267" s="20"/>
      <c r="G267" s="21"/>
    </row>
    <row r="268" spans="1:7" ht="23.25" x14ac:dyDescent="0.5">
      <c r="A268" s="15"/>
      <c r="B268" s="16"/>
      <c r="C268" s="17"/>
      <c r="D268" s="18"/>
      <c r="E268" s="15"/>
      <c r="F268" s="20"/>
      <c r="G268" s="21"/>
    </row>
    <row r="269" spans="1:7" ht="23.25" x14ac:dyDescent="0.5">
      <c r="A269" s="15"/>
      <c r="B269" s="16"/>
      <c r="C269" s="17"/>
      <c r="D269" s="18"/>
      <c r="E269" s="15"/>
      <c r="F269" s="24"/>
      <c r="G269" s="25"/>
    </row>
    <row r="270" spans="1:7" ht="23.25" x14ac:dyDescent="0.5">
      <c r="A270" s="15"/>
      <c r="B270" s="16"/>
      <c r="C270" s="17"/>
      <c r="D270" s="18"/>
      <c r="E270" s="23"/>
      <c r="F270" s="24"/>
      <c r="G270" s="25"/>
    </row>
    <row r="271" spans="1:7" ht="23.25" x14ac:dyDescent="0.5">
      <c r="A271" s="15"/>
      <c r="B271" s="16" t="s">
        <v>63</v>
      </c>
      <c r="C271" s="17"/>
      <c r="D271" s="18"/>
      <c r="E271" s="23"/>
      <c r="F271" s="20">
        <v>13481.31</v>
      </c>
      <c r="G271" s="21"/>
    </row>
    <row r="272" spans="1:7" ht="23.25" x14ac:dyDescent="0.5">
      <c r="A272" s="15"/>
      <c r="B272" s="16"/>
      <c r="C272" s="17"/>
      <c r="D272" s="18"/>
      <c r="E272" s="23"/>
      <c r="F272" s="24"/>
      <c r="G272" s="25"/>
    </row>
    <row r="273" spans="1:7" ht="23.25" x14ac:dyDescent="0.5">
      <c r="A273" s="15"/>
      <c r="B273" s="16"/>
      <c r="C273" s="17"/>
      <c r="D273" s="18"/>
      <c r="E273" s="23"/>
      <c r="F273" s="24"/>
      <c r="G273" s="25"/>
    </row>
    <row r="274" spans="1:7" ht="23.25" x14ac:dyDescent="0.5">
      <c r="A274" s="15"/>
      <c r="B274" s="16"/>
      <c r="C274" s="17"/>
      <c r="D274" s="18"/>
      <c r="E274" s="23"/>
      <c r="F274" s="24"/>
      <c r="G274" s="25"/>
    </row>
    <row r="275" spans="1:7" ht="23.25" x14ac:dyDescent="0.5">
      <c r="A275" s="15"/>
      <c r="B275" s="16"/>
      <c r="C275" s="17"/>
      <c r="D275" s="18"/>
      <c r="E275" s="23"/>
      <c r="F275" s="24"/>
      <c r="G275" s="25"/>
    </row>
    <row r="276" spans="1:7" ht="23.25" x14ac:dyDescent="0.5">
      <c r="A276" s="15"/>
      <c r="B276" s="16"/>
      <c r="C276" s="17"/>
      <c r="D276" s="18"/>
      <c r="E276" s="23"/>
      <c r="F276" s="24"/>
      <c r="G276" s="25"/>
    </row>
    <row r="277" spans="1:7" ht="23.25" x14ac:dyDescent="0.5">
      <c r="A277" s="15"/>
      <c r="B277" s="16"/>
      <c r="C277" s="17"/>
      <c r="D277" s="18"/>
      <c r="E277" s="23"/>
      <c r="F277" s="24"/>
      <c r="G277" s="25"/>
    </row>
    <row r="278" spans="1:7" ht="23.25" x14ac:dyDescent="0.5">
      <c r="A278" s="15"/>
      <c r="B278" s="16"/>
      <c r="C278" s="17"/>
      <c r="D278" s="18"/>
      <c r="E278" s="23"/>
      <c r="F278" s="24"/>
      <c r="G278" s="25"/>
    </row>
    <row r="279" spans="1:7" ht="23.25" x14ac:dyDescent="0.5">
      <c r="A279" s="15"/>
      <c r="B279" s="9"/>
      <c r="C279" s="26"/>
      <c r="D279" s="10"/>
      <c r="E279" s="23"/>
      <c r="F279" s="24"/>
      <c r="G279" s="25"/>
    </row>
    <row r="280" spans="1:7" ht="23.25" x14ac:dyDescent="0.5">
      <c r="A280" s="15"/>
      <c r="B280" s="9"/>
      <c r="C280" s="26"/>
      <c r="D280" s="10"/>
      <c r="E280" s="23"/>
      <c r="F280" s="24"/>
      <c r="G280" s="25"/>
    </row>
    <row r="281" spans="1:7" ht="23.25" x14ac:dyDescent="0.5">
      <c r="A281" s="27" t="s">
        <v>14</v>
      </c>
      <c r="B281" s="28"/>
      <c r="C281" s="28"/>
      <c r="D281" s="28"/>
      <c r="E281" s="29"/>
      <c r="F281" s="20">
        <v>1429018.69</v>
      </c>
      <c r="G281" s="21"/>
    </row>
    <row r="282" spans="1:7" ht="23.25" x14ac:dyDescent="0.5">
      <c r="A282" s="4"/>
      <c r="B282" s="30" t="str">
        <f>BAHTTEXT(F281)</f>
        <v>หนึ่งล้านสี่แสนสองหมื่นเก้าพันสิบแปดบาทหกสิบเก้าสตางค์</v>
      </c>
      <c r="C282" s="30"/>
      <c r="D282" s="30"/>
      <c r="E282" s="30"/>
      <c r="F282" s="4"/>
      <c r="G282" s="4"/>
    </row>
    <row r="283" spans="1:7" ht="23.25" x14ac:dyDescent="0.5">
      <c r="A283" s="4" t="s">
        <v>64</v>
      </c>
      <c r="B283" s="4"/>
      <c r="C283" s="4"/>
      <c r="D283" s="4"/>
      <c r="E283" s="4" t="s">
        <v>83</v>
      </c>
      <c r="F283" s="4"/>
      <c r="G283" s="4"/>
    </row>
    <row r="284" spans="1:7" ht="23.25" x14ac:dyDescent="0.5">
      <c r="A284" s="4" t="s">
        <v>84</v>
      </c>
      <c r="B284" s="4"/>
      <c r="C284" s="4"/>
      <c r="D284" s="4"/>
      <c r="E284" s="35"/>
      <c r="F284" s="35"/>
      <c r="G284" s="35"/>
    </row>
    <row r="285" spans="1:7" ht="23.25" x14ac:dyDescent="0.5">
      <c r="A285" s="4" t="s">
        <v>87</v>
      </c>
      <c r="B285" s="4"/>
      <c r="C285" s="4"/>
      <c r="D285" s="4"/>
      <c r="E285" s="53">
        <v>1429018.69</v>
      </c>
      <c r="F285" s="32" t="s">
        <v>10</v>
      </c>
      <c r="G285" s="4"/>
    </row>
    <row r="286" spans="1:7" ht="23.25" x14ac:dyDescent="0.5">
      <c r="A286" s="4" t="s">
        <v>18</v>
      </c>
      <c r="B286" s="4"/>
      <c r="C286" s="4"/>
      <c r="D286" s="4"/>
      <c r="E286" s="4"/>
      <c r="F286" s="4"/>
      <c r="G286" s="4"/>
    </row>
    <row r="287" spans="1:7" ht="23.25" x14ac:dyDescent="0.5">
      <c r="A287" s="4"/>
      <c r="B287" s="4"/>
      <c r="C287" s="4"/>
      <c r="D287" s="4"/>
      <c r="E287" s="3" t="s">
        <v>19</v>
      </c>
      <c r="F287" s="3"/>
      <c r="G287" s="4"/>
    </row>
    <row r="288" spans="1:7" ht="23.25" x14ac:dyDescent="0.5">
      <c r="A288" s="4"/>
      <c r="B288" s="4"/>
      <c r="C288" s="4"/>
      <c r="D288" s="4"/>
      <c r="E288" s="33"/>
      <c r="F288" s="33"/>
      <c r="G288" s="33"/>
    </row>
    <row r="289" spans="1:7" ht="23.25" x14ac:dyDescent="0.5">
      <c r="A289" s="4"/>
      <c r="B289" s="4"/>
      <c r="C289" s="4"/>
      <c r="D289" s="4"/>
      <c r="E289" s="33"/>
      <c r="F289" s="33"/>
      <c r="G289" s="33"/>
    </row>
    <row r="290" spans="1:7" ht="23.25" x14ac:dyDescent="0.5">
      <c r="A290" s="33" t="s">
        <v>20</v>
      </c>
      <c r="B290" s="33"/>
      <c r="C290" s="33"/>
      <c r="D290" s="32" t="s">
        <v>21</v>
      </c>
      <c r="E290" s="33" t="s">
        <v>22</v>
      </c>
      <c r="F290" s="33"/>
      <c r="G290" s="33"/>
    </row>
    <row r="291" spans="1:7" ht="23.25" x14ac:dyDescent="0.5">
      <c r="A291" s="34" t="s">
        <v>23</v>
      </c>
      <c r="B291" s="34"/>
      <c r="C291" s="34"/>
      <c r="D291" s="46"/>
      <c r="E291" s="34"/>
      <c r="F291" s="34"/>
      <c r="G291" s="34"/>
    </row>
    <row r="292" spans="1:7" ht="23.25" x14ac:dyDescent="0.5">
      <c r="A292" s="34" t="s">
        <v>24</v>
      </c>
      <c r="B292" s="34"/>
      <c r="C292" s="34"/>
      <c r="D292" s="46"/>
      <c r="E292" s="34"/>
      <c r="F292" s="34"/>
      <c r="G292" s="34"/>
    </row>
    <row r="293" spans="1:7" ht="23.25" x14ac:dyDescent="0.5">
      <c r="A293" s="54"/>
      <c r="B293" s="54"/>
      <c r="C293" s="54"/>
      <c r="D293" s="54"/>
      <c r="E293" s="55" t="s">
        <v>67</v>
      </c>
      <c r="F293" s="55"/>
      <c r="G293" s="55"/>
    </row>
    <row r="294" spans="1:7" ht="20.25" x14ac:dyDescent="0.3">
      <c r="A294" s="35"/>
      <c r="B294" s="35"/>
      <c r="C294" s="35"/>
      <c r="D294" s="35"/>
      <c r="E294" s="35"/>
      <c r="F294" s="35"/>
      <c r="G294" s="35"/>
    </row>
    <row r="295" spans="1:7" ht="23.25" x14ac:dyDescent="0.5">
      <c r="A295" s="38" t="s">
        <v>75</v>
      </c>
      <c r="B295" s="38"/>
      <c r="C295" s="38"/>
      <c r="D295" s="38"/>
      <c r="E295" s="38"/>
      <c r="F295" s="38"/>
      <c r="G295" s="38"/>
    </row>
    <row r="296" spans="1:7" ht="23.25" x14ac:dyDescent="0.5">
      <c r="A296" s="3" t="s">
        <v>55</v>
      </c>
      <c r="B296" s="4"/>
      <c r="C296" s="4"/>
      <c r="D296" s="4"/>
      <c r="E296" s="4"/>
      <c r="F296" s="4"/>
      <c r="G296" s="4"/>
    </row>
    <row r="297" spans="1:7" ht="23.25" x14ac:dyDescent="0.5">
      <c r="A297" s="3" t="s">
        <v>56</v>
      </c>
      <c r="B297" s="4"/>
      <c r="C297" s="4"/>
      <c r="D297" s="4"/>
      <c r="E297" s="4" t="s">
        <v>88</v>
      </c>
      <c r="F297" s="4"/>
      <c r="G297" s="4"/>
    </row>
    <row r="298" spans="1:7" ht="23.25" x14ac:dyDescent="0.5">
      <c r="A298" s="4"/>
      <c r="B298" s="4"/>
      <c r="C298" s="4"/>
      <c r="D298" s="4"/>
      <c r="E298" s="4" t="s">
        <v>89</v>
      </c>
      <c r="F298" s="4"/>
      <c r="G298" s="4"/>
    </row>
    <row r="299" spans="1:7" ht="23.25" x14ac:dyDescent="0.5">
      <c r="A299" s="4" t="s">
        <v>59</v>
      </c>
      <c r="B299" s="4"/>
      <c r="C299" s="4"/>
      <c r="D299" s="4"/>
      <c r="E299" s="4"/>
      <c r="F299" s="4"/>
      <c r="G299" s="4"/>
    </row>
    <row r="300" spans="1:7" ht="23.25" x14ac:dyDescent="0.5">
      <c r="A300" s="3" t="s">
        <v>60</v>
      </c>
      <c r="B300" s="4"/>
      <c r="C300" s="4"/>
      <c r="D300" s="4"/>
      <c r="E300" s="4"/>
      <c r="F300" s="4"/>
      <c r="G300" s="4"/>
    </row>
    <row r="301" spans="1:7" ht="23.25" x14ac:dyDescent="0.5">
      <c r="A301" s="5" t="s">
        <v>6</v>
      </c>
      <c r="B301" s="6" t="s">
        <v>7</v>
      </c>
      <c r="C301" s="47"/>
      <c r="D301" s="48"/>
      <c r="E301" s="5" t="s">
        <v>8</v>
      </c>
      <c r="F301" s="9" t="s">
        <v>9</v>
      </c>
      <c r="G301" s="10"/>
    </row>
    <row r="302" spans="1:7" ht="23.25" x14ac:dyDescent="0.5">
      <c r="A302" s="49"/>
      <c r="B302" s="50"/>
      <c r="C302" s="51"/>
      <c r="D302" s="52"/>
      <c r="E302" s="49"/>
      <c r="F302" s="39" t="s">
        <v>10</v>
      </c>
      <c r="G302" s="15" t="s">
        <v>61</v>
      </c>
    </row>
    <row r="303" spans="1:7" ht="23.25" x14ac:dyDescent="0.5">
      <c r="A303" s="15">
        <v>1</v>
      </c>
      <c r="B303" s="16" t="s">
        <v>90</v>
      </c>
      <c r="C303" s="17"/>
      <c r="D303" s="18"/>
      <c r="E303" s="19"/>
      <c r="F303" s="20">
        <v>278200</v>
      </c>
      <c r="G303" s="21"/>
    </row>
    <row r="304" spans="1:7" ht="23.25" x14ac:dyDescent="0.5">
      <c r="A304" s="15"/>
      <c r="B304" s="16"/>
      <c r="C304" s="17"/>
      <c r="D304" s="18"/>
      <c r="E304" s="19"/>
      <c r="F304" s="24"/>
      <c r="G304" s="25"/>
    </row>
    <row r="305" spans="1:7" ht="23.25" x14ac:dyDescent="0.5">
      <c r="A305" s="15"/>
      <c r="B305" s="16"/>
      <c r="C305" s="17"/>
      <c r="D305" s="18"/>
      <c r="E305" s="15"/>
      <c r="F305" s="24"/>
      <c r="G305" s="25"/>
    </row>
    <row r="306" spans="1:7" ht="23.25" x14ac:dyDescent="0.5">
      <c r="A306" s="15"/>
      <c r="B306" s="16"/>
      <c r="C306" s="17"/>
      <c r="D306" s="18"/>
      <c r="E306" s="15"/>
      <c r="F306" s="24"/>
      <c r="G306" s="25"/>
    </row>
    <row r="307" spans="1:7" ht="23.25" x14ac:dyDescent="0.5">
      <c r="A307" s="15"/>
      <c r="B307" s="16" t="s">
        <v>63</v>
      </c>
      <c r="C307" s="17"/>
      <c r="D307" s="18"/>
      <c r="E307" s="23"/>
      <c r="F307" s="20">
        <v>2600</v>
      </c>
      <c r="G307" s="21"/>
    </row>
    <row r="308" spans="1:7" ht="23.25" x14ac:dyDescent="0.5">
      <c r="A308" s="15"/>
      <c r="B308" s="16"/>
      <c r="C308" s="17"/>
      <c r="D308" s="18"/>
      <c r="E308" s="23"/>
      <c r="F308" s="24"/>
      <c r="G308" s="25"/>
    </row>
    <row r="309" spans="1:7" ht="23.25" x14ac:dyDescent="0.5">
      <c r="A309" s="15"/>
      <c r="B309" s="42"/>
      <c r="C309" s="43"/>
      <c r="D309" s="41"/>
      <c r="E309" s="23"/>
      <c r="F309" s="24"/>
      <c r="G309" s="25"/>
    </row>
    <row r="310" spans="1:7" ht="23.25" x14ac:dyDescent="0.5">
      <c r="A310" s="15"/>
      <c r="B310" s="16"/>
      <c r="C310" s="17"/>
      <c r="D310" s="18"/>
      <c r="E310" s="23"/>
      <c r="F310" s="24"/>
      <c r="G310" s="25"/>
    </row>
    <row r="311" spans="1:7" ht="23.25" x14ac:dyDescent="0.5">
      <c r="A311" s="15"/>
      <c r="B311" s="16"/>
      <c r="C311" s="17"/>
      <c r="D311" s="18"/>
      <c r="E311" s="23"/>
      <c r="F311" s="24"/>
      <c r="G311" s="25"/>
    </row>
    <row r="312" spans="1:7" ht="23.25" x14ac:dyDescent="0.5">
      <c r="A312" s="15"/>
      <c r="B312" s="16"/>
      <c r="C312" s="17"/>
      <c r="D312" s="18"/>
      <c r="E312" s="23"/>
      <c r="F312" s="24"/>
      <c r="G312" s="25"/>
    </row>
    <row r="313" spans="1:7" ht="23.25" x14ac:dyDescent="0.5">
      <c r="A313" s="15"/>
      <c r="B313" s="16"/>
      <c r="C313" s="17"/>
      <c r="D313" s="18"/>
      <c r="E313" s="23"/>
      <c r="F313" s="24"/>
      <c r="G313" s="25"/>
    </row>
    <row r="314" spans="1:7" ht="23.25" x14ac:dyDescent="0.5">
      <c r="A314" s="15"/>
      <c r="B314" s="16"/>
      <c r="C314" s="17"/>
      <c r="D314" s="18"/>
      <c r="E314" s="23"/>
      <c r="F314" s="24"/>
      <c r="G314" s="25"/>
    </row>
    <row r="315" spans="1:7" ht="23.25" x14ac:dyDescent="0.5">
      <c r="A315" s="15"/>
      <c r="B315" s="16"/>
      <c r="C315" s="17"/>
      <c r="D315" s="18"/>
      <c r="E315" s="23"/>
      <c r="F315" s="24"/>
      <c r="G315" s="25"/>
    </row>
    <row r="316" spans="1:7" ht="23.25" x14ac:dyDescent="0.5">
      <c r="A316" s="15"/>
      <c r="B316" s="16"/>
      <c r="C316" s="17"/>
      <c r="D316" s="18"/>
      <c r="E316" s="23"/>
      <c r="F316" s="24"/>
      <c r="G316" s="25"/>
    </row>
    <row r="317" spans="1:7" ht="23.25" x14ac:dyDescent="0.5">
      <c r="A317" s="15"/>
      <c r="B317" s="9"/>
      <c r="C317" s="26"/>
      <c r="D317" s="10"/>
      <c r="E317" s="23"/>
      <c r="F317" s="24"/>
      <c r="G317" s="25"/>
    </row>
    <row r="318" spans="1:7" ht="23.25" x14ac:dyDescent="0.5">
      <c r="A318" s="15"/>
      <c r="B318" s="9"/>
      <c r="C318" s="26"/>
      <c r="D318" s="10"/>
      <c r="E318" s="23"/>
      <c r="F318" s="24"/>
      <c r="G318" s="25"/>
    </row>
    <row r="319" spans="1:7" ht="23.25" x14ac:dyDescent="0.5">
      <c r="A319" s="27" t="s">
        <v>14</v>
      </c>
      <c r="B319" s="28"/>
      <c r="C319" s="28"/>
      <c r="D319" s="28"/>
      <c r="E319" s="29"/>
      <c r="F319" s="20">
        <f>F303-F307</f>
        <v>275600</v>
      </c>
      <c r="G319" s="21"/>
    </row>
    <row r="320" spans="1:7" ht="23.25" x14ac:dyDescent="0.5">
      <c r="A320" s="47" t="str">
        <f>BAHTTEXT(F319)</f>
        <v>สองแสนเจ็ดหมื่นห้าพันหกร้อยบาทถ้วน</v>
      </c>
      <c r="B320" s="47"/>
      <c r="C320" s="47"/>
      <c r="D320" s="47"/>
      <c r="E320" s="47"/>
      <c r="F320" s="4"/>
      <c r="G320" s="4"/>
    </row>
    <row r="321" spans="1:7" ht="23.25" x14ac:dyDescent="0.5">
      <c r="A321" s="4" t="s">
        <v>64</v>
      </c>
      <c r="B321" s="4"/>
      <c r="C321" s="4"/>
      <c r="D321" s="4"/>
      <c r="E321" s="4" t="s">
        <v>88</v>
      </c>
      <c r="F321" s="4"/>
      <c r="G321" s="4"/>
    </row>
    <row r="322" spans="1:7" ht="23.25" x14ac:dyDescent="0.5">
      <c r="A322" s="4"/>
      <c r="B322" s="4"/>
      <c r="C322" s="4"/>
      <c r="D322" s="4"/>
      <c r="E322" s="4" t="s">
        <v>89</v>
      </c>
      <c r="F322" s="4"/>
      <c r="G322" s="4"/>
    </row>
    <row r="323" spans="1:7" ht="23.25" x14ac:dyDescent="0.5">
      <c r="A323" s="4" t="s">
        <v>87</v>
      </c>
      <c r="B323" s="4"/>
      <c r="C323" s="4"/>
      <c r="D323" s="4"/>
      <c r="E323" s="56">
        <v>275600</v>
      </c>
      <c r="F323" s="32" t="s">
        <v>10</v>
      </c>
      <c r="G323" s="4"/>
    </row>
    <row r="324" spans="1:7" ht="23.25" x14ac:dyDescent="0.5">
      <c r="A324" s="4" t="s">
        <v>18</v>
      </c>
      <c r="B324" s="4"/>
      <c r="C324" s="4"/>
      <c r="D324" s="4"/>
      <c r="E324" s="4"/>
      <c r="F324" s="4"/>
      <c r="G324" s="4"/>
    </row>
    <row r="325" spans="1:7" ht="23.25" x14ac:dyDescent="0.5">
      <c r="A325" s="4"/>
      <c r="B325" s="4"/>
      <c r="C325" s="4"/>
      <c r="D325" s="4"/>
      <c r="E325" s="3" t="s">
        <v>19</v>
      </c>
      <c r="F325" s="3"/>
      <c r="G325" s="4"/>
    </row>
    <row r="326" spans="1:7" ht="23.25" x14ac:dyDescent="0.5">
      <c r="A326" s="4"/>
      <c r="B326" s="4"/>
      <c r="C326" s="4"/>
      <c r="D326" s="4"/>
      <c r="E326" s="33"/>
      <c r="F326" s="33"/>
      <c r="G326" s="33"/>
    </row>
    <row r="327" spans="1:7" ht="23.25" x14ac:dyDescent="0.5">
      <c r="A327" s="4"/>
      <c r="B327" s="4"/>
      <c r="C327" s="4"/>
      <c r="D327" s="4"/>
      <c r="E327" s="33"/>
      <c r="F327" s="33"/>
      <c r="G327" s="33"/>
    </row>
    <row r="328" spans="1:7" ht="23.25" x14ac:dyDescent="0.5">
      <c r="A328" s="33" t="s">
        <v>20</v>
      </c>
      <c r="B328" s="33"/>
      <c r="C328" s="33"/>
      <c r="D328" s="32" t="s">
        <v>21</v>
      </c>
      <c r="E328" s="33" t="s">
        <v>22</v>
      </c>
      <c r="F328" s="33"/>
      <c r="G328" s="33"/>
    </row>
    <row r="329" spans="1:7" ht="23.25" x14ac:dyDescent="0.5">
      <c r="A329" s="34" t="s">
        <v>81</v>
      </c>
      <c r="B329" s="34"/>
      <c r="C329" s="34"/>
      <c r="D329" s="46"/>
      <c r="E329" s="34"/>
      <c r="F329" s="34"/>
      <c r="G329" s="34"/>
    </row>
    <row r="330" spans="1:7" ht="23.25" x14ac:dyDescent="0.5">
      <c r="A330" s="2" t="s">
        <v>82</v>
      </c>
      <c r="B330" s="2"/>
      <c r="C330" s="2"/>
      <c r="D330" s="46"/>
      <c r="E330" s="34"/>
      <c r="F330" s="34"/>
      <c r="G330" s="34"/>
    </row>
    <row r="331" spans="1:7" ht="23.25" x14ac:dyDescent="0.5">
      <c r="A331" s="54"/>
      <c r="B331" s="54"/>
      <c r="C331" s="54"/>
      <c r="D331" s="54"/>
      <c r="E331" s="55" t="s">
        <v>67</v>
      </c>
      <c r="F331" s="55"/>
      <c r="G331" s="55"/>
    </row>
    <row r="332" spans="1:7" ht="23.25" x14ac:dyDescent="0.5">
      <c r="A332" s="38" t="s">
        <v>75</v>
      </c>
      <c r="B332" s="38"/>
      <c r="C332" s="38"/>
      <c r="D332" s="38"/>
      <c r="E332" s="38"/>
      <c r="F332" s="38"/>
      <c r="G332" s="38"/>
    </row>
    <row r="333" spans="1:7" ht="23.25" x14ac:dyDescent="0.5">
      <c r="A333" s="3" t="s">
        <v>55</v>
      </c>
      <c r="B333" s="4"/>
      <c r="C333" s="4"/>
      <c r="D333" s="4"/>
      <c r="E333" s="4"/>
      <c r="F333" s="4"/>
      <c r="G333" s="4"/>
    </row>
    <row r="334" spans="1:7" ht="23.25" x14ac:dyDescent="0.5">
      <c r="A334" s="3" t="s">
        <v>56</v>
      </c>
      <c r="B334" s="4"/>
      <c r="C334" s="4"/>
      <c r="D334" s="4"/>
      <c r="E334" s="4" t="s">
        <v>91</v>
      </c>
      <c r="F334" s="4"/>
      <c r="G334" s="4"/>
    </row>
    <row r="335" spans="1:7" ht="23.25" x14ac:dyDescent="0.5">
      <c r="A335" s="4"/>
      <c r="B335" s="4"/>
      <c r="C335" s="4"/>
      <c r="D335" s="4"/>
      <c r="E335" s="4" t="s">
        <v>92</v>
      </c>
      <c r="F335" s="4"/>
      <c r="G335" s="4"/>
    </row>
    <row r="336" spans="1:7" ht="23.25" x14ac:dyDescent="0.5">
      <c r="A336" s="4" t="s">
        <v>59</v>
      </c>
      <c r="B336" s="4"/>
      <c r="C336" s="4"/>
      <c r="D336" s="4"/>
      <c r="E336" s="4"/>
      <c r="F336" s="4"/>
      <c r="G336" s="4"/>
    </row>
    <row r="337" spans="1:7" ht="23.25" x14ac:dyDescent="0.5">
      <c r="A337" s="3" t="s">
        <v>93</v>
      </c>
      <c r="B337" s="4"/>
      <c r="C337" s="4"/>
      <c r="D337" s="4"/>
      <c r="E337" s="4"/>
      <c r="F337" s="4"/>
      <c r="G337" s="4"/>
    </row>
    <row r="338" spans="1:7" ht="23.25" x14ac:dyDescent="0.5">
      <c r="A338" s="5" t="s">
        <v>6</v>
      </c>
      <c r="B338" s="6" t="s">
        <v>7</v>
      </c>
      <c r="C338" s="47"/>
      <c r="D338" s="48"/>
      <c r="E338" s="5" t="s">
        <v>8</v>
      </c>
      <c r="F338" s="9" t="s">
        <v>9</v>
      </c>
      <c r="G338" s="10"/>
    </row>
    <row r="339" spans="1:7" ht="23.25" x14ac:dyDescent="0.5">
      <c r="A339" s="49"/>
      <c r="B339" s="50"/>
      <c r="C339" s="51"/>
      <c r="D339" s="52"/>
      <c r="E339" s="49"/>
      <c r="F339" s="39" t="s">
        <v>10</v>
      </c>
      <c r="G339" s="15" t="s">
        <v>61</v>
      </c>
    </row>
    <row r="340" spans="1:7" ht="23.25" x14ac:dyDescent="0.5">
      <c r="A340" s="15">
        <v>1</v>
      </c>
      <c r="B340" s="16" t="s">
        <v>94</v>
      </c>
      <c r="C340" s="17"/>
      <c r="D340" s="18"/>
      <c r="E340" s="19"/>
      <c r="F340" s="20">
        <v>510000</v>
      </c>
      <c r="G340" s="21"/>
    </row>
    <row r="341" spans="1:7" ht="23.25" x14ac:dyDescent="0.5">
      <c r="A341" s="15"/>
      <c r="B341" s="16" t="s">
        <v>95</v>
      </c>
      <c r="C341" s="17"/>
      <c r="D341" s="18"/>
      <c r="E341" s="19"/>
      <c r="F341" s="24"/>
      <c r="G341" s="25"/>
    </row>
    <row r="342" spans="1:7" ht="23.25" x14ac:dyDescent="0.5">
      <c r="A342" s="15"/>
      <c r="B342" s="16"/>
      <c r="C342" s="17"/>
      <c r="D342" s="18"/>
      <c r="E342" s="19"/>
      <c r="F342" s="24"/>
      <c r="G342" s="25"/>
    </row>
    <row r="343" spans="1:7" ht="23.25" x14ac:dyDescent="0.5">
      <c r="A343" s="15"/>
      <c r="B343" s="16"/>
      <c r="C343" s="17"/>
      <c r="D343" s="18"/>
      <c r="E343" s="19"/>
      <c r="F343" s="24"/>
      <c r="G343" s="25"/>
    </row>
    <row r="344" spans="1:7" ht="23.25" x14ac:dyDescent="0.5">
      <c r="A344" s="15"/>
      <c r="B344" s="16"/>
      <c r="C344" s="17"/>
      <c r="D344" s="18"/>
      <c r="E344" s="23"/>
      <c r="F344" s="24"/>
      <c r="G344" s="25"/>
    </row>
    <row r="345" spans="1:7" ht="23.25" x14ac:dyDescent="0.5">
      <c r="A345" s="15"/>
      <c r="B345" s="16"/>
      <c r="C345" s="17"/>
      <c r="D345" s="18"/>
      <c r="E345" s="23"/>
      <c r="F345" s="24"/>
      <c r="G345" s="25"/>
    </row>
    <row r="346" spans="1:7" ht="23.25" x14ac:dyDescent="0.5">
      <c r="A346" s="15"/>
      <c r="B346" s="42"/>
      <c r="C346" s="43"/>
      <c r="D346" s="41"/>
      <c r="E346" s="23"/>
      <c r="F346" s="24"/>
      <c r="G346" s="25"/>
    </row>
    <row r="347" spans="1:7" ht="23.25" x14ac:dyDescent="0.5">
      <c r="A347" s="15"/>
      <c r="B347" s="16"/>
      <c r="C347" s="17"/>
      <c r="D347" s="18"/>
      <c r="E347" s="23"/>
      <c r="F347" s="24"/>
      <c r="G347" s="25"/>
    </row>
    <row r="348" spans="1:7" ht="23.25" x14ac:dyDescent="0.5">
      <c r="A348" s="15"/>
      <c r="B348" s="16"/>
      <c r="C348" s="17"/>
      <c r="D348" s="18"/>
      <c r="E348" s="23"/>
      <c r="F348" s="24"/>
      <c r="G348" s="25"/>
    </row>
    <row r="349" spans="1:7" ht="23.25" x14ac:dyDescent="0.5">
      <c r="A349" s="15"/>
      <c r="B349" s="16"/>
      <c r="C349" s="17"/>
      <c r="D349" s="18"/>
      <c r="E349" s="23"/>
      <c r="F349" s="24"/>
      <c r="G349" s="25"/>
    </row>
    <row r="350" spans="1:7" ht="23.25" x14ac:dyDescent="0.5">
      <c r="A350" s="15"/>
      <c r="B350" s="16"/>
      <c r="C350" s="17"/>
      <c r="D350" s="18"/>
      <c r="E350" s="23"/>
      <c r="F350" s="24"/>
      <c r="G350" s="25"/>
    </row>
    <row r="351" spans="1:7" ht="23.25" x14ac:dyDescent="0.5">
      <c r="A351" s="15"/>
      <c r="B351" s="16"/>
      <c r="C351" s="17"/>
      <c r="D351" s="18"/>
      <c r="E351" s="23"/>
      <c r="F351" s="24"/>
      <c r="G351" s="25"/>
    </row>
    <row r="352" spans="1:7" ht="23.25" x14ac:dyDescent="0.5">
      <c r="A352" s="15"/>
      <c r="B352" s="16"/>
      <c r="C352" s="17"/>
      <c r="D352" s="18"/>
      <c r="E352" s="23"/>
      <c r="F352" s="24"/>
      <c r="G352" s="25"/>
    </row>
    <row r="353" spans="1:7" ht="23.25" x14ac:dyDescent="0.5">
      <c r="A353" s="15"/>
      <c r="B353" s="16"/>
      <c r="C353" s="17"/>
      <c r="D353" s="18"/>
      <c r="E353" s="23"/>
      <c r="F353" s="24"/>
      <c r="G353" s="25"/>
    </row>
    <row r="354" spans="1:7" ht="23.25" x14ac:dyDescent="0.5">
      <c r="A354" s="15"/>
      <c r="B354" s="9"/>
      <c r="C354" s="26"/>
      <c r="D354" s="10"/>
      <c r="E354" s="23"/>
      <c r="F354" s="24"/>
      <c r="G354" s="25"/>
    </row>
    <row r="355" spans="1:7" ht="23.25" x14ac:dyDescent="0.5">
      <c r="A355" s="15"/>
      <c r="B355" s="16" t="s">
        <v>94</v>
      </c>
      <c r="C355" s="17"/>
      <c r="D355" s="18"/>
      <c r="E355" s="23"/>
      <c r="F355" s="24"/>
      <c r="G355" s="25"/>
    </row>
    <row r="356" spans="1:7" ht="23.25" x14ac:dyDescent="0.5">
      <c r="A356" s="27" t="s">
        <v>14</v>
      </c>
      <c r="B356" s="28"/>
      <c r="C356" s="28"/>
      <c r="D356" s="28"/>
      <c r="E356" s="29"/>
      <c r="F356" s="20">
        <f>SUM(F340:F355)</f>
        <v>510000</v>
      </c>
      <c r="G356" s="21"/>
    </row>
    <row r="357" spans="1:7" ht="23.25" x14ac:dyDescent="0.5">
      <c r="A357" s="47" t="str">
        <f>BAHTTEXT(F356)</f>
        <v>ห้าแสนหนึ่งหมื่นบาทถ้วน</v>
      </c>
      <c r="B357" s="47"/>
      <c r="C357" s="47"/>
      <c r="D357" s="47"/>
      <c r="E357" s="47"/>
      <c r="F357" s="47"/>
      <c r="G357" s="4"/>
    </row>
    <row r="358" spans="1:7" ht="23.25" x14ac:dyDescent="0.5">
      <c r="A358" s="4" t="s">
        <v>64</v>
      </c>
      <c r="B358" s="4"/>
      <c r="C358" s="4"/>
      <c r="D358" s="4"/>
      <c r="E358" s="4" t="s">
        <v>91</v>
      </c>
      <c r="F358" s="4"/>
      <c r="G358" s="4"/>
    </row>
    <row r="359" spans="1:7" ht="23.25" x14ac:dyDescent="0.5">
      <c r="A359" s="4"/>
      <c r="B359" s="4"/>
      <c r="C359" s="4"/>
      <c r="D359" s="4"/>
      <c r="E359" s="4" t="s">
        <v>92</v>
      </c>
      <c r="F359" s="4"/>
      <c r="G359" s="4"/>
    </row>
    <row r="360" spans="1:7" ht="23.25" x14ac:dyDescent="0.5">
      <c r="A360" s="4" t="s">
        <v>87</v>
      </c>
      <c r="B360" s="4"/>
      <c r="C360" s="4"/>
      <c r="D360" s="4"/>
      <c r="E360" s="53">
        <v>510000</v>
      </c>
      <c r="F360" s="57" t="s">
        <v>10</v>
      </c>
      <c r="G360" s="4"/>
    </row>
    <row r="361" spans="1:7" ht="23.25" x14ac:dyDescent="0.5">
      <c r="A361" s="4" t="s">
        <v>18</v>
      </c>
      <c r="B361" s="4"/>
      <c r="C361" s="4"/>
      <c r="D361" s="4"/>
      <c r="E361" s="4"/>
      <c r="F361" s="4"/>
      <c r="G361" s="4"/>
    </row>
    <row r="362" spans="1:7" ht="23.25" x14ac:dyDescent="0.5">
      <c r="A362" s="46" t="s">
        <v>96</v>
      </c>
      <c r="B362" s="46"/>
      <c r="C362" s="46"/>
      <c r="D362" s="4"/>
      <c r="E362" s="3" t="s">
        <v>19</v>
      </c>
      <c r="F362" s="3"/>
      <c r="G362" s="4"/>
    </row>
    <row r="363" spans="1:7" ht="23.25" x14ac:dyDescent="0.5">
      <c r="A363" s="4"/>
      <c r="B363" s="4"/>
      <c r="C363" s="4"/>
      <c r="D363" s="4"/>
      <c r="E363" s="33"/>
      <c r="F363" s="33"/>
      <c r="G363" s="33"/>
    </row>
    <row r="364" spans="1:7" ht="23.25" x14ac:dyDescent="0.5">
      <c r="A364" s="4"/>
      <c r="B364" s="4"/>
      <c r="C364" s="4"/>
      <c r="D364" s="4"/>
      <c r="E364" s="33"/>
      <c r="F364" s="33"/>
      <c r="G364" s="33"/>
    </row>
    <row r="365" spans="1:7" ht="23.25" x14ac:dyDescent="0.5">
      <c r="A365" s="33" t="s">
        <v>20</v>
      </c>
      <c r="B365" s="33"/>
      <c r="C365" s="33"/>
      <c r="D365" s="32"/>
      <c r="E365" s="33" t="s">
        <v>22</v>
      </c>
      <c r="F365" s="33"/>
      <c r="G365" s="33"/>
    </row>
    <row r="366" spans="1:7" ht="23.25" x14ac:dyDescent="0.5">
      <c r="A366" s="34"/>
      <c r="B366" s="34"/>
      <c r="C366" s="34"/>
      <c r="D366" s="46"/>
      <c r="E366" s="34"/>
      <c r="F366" s="34"/>
      <c r="G366" s="34"/>
    </row>
    <row r="367" spans="1:7" ht="23.25" x14ac:dyDescent="0.5">
      <c r="A367" s="2"/>
      <c r="B367" s="2"/>
      <c r="C367" s="2"/>
      <c r="D367" s="46"/>
      <c r="E367" s="33" t="s">
        <v>67</v>
      </c>
      <c r="F367" s="33"/>
      <c r="G367" s="33"/>
    </row>
    <row r="368" spans="1:7" ht="20.25" x14ac:dyDescent="0.3">
      <c r="A368" s="35"/>
      <c r="B368" s="35"/>
      <c r="C368" s="35"/>
      <c r="D368" s="35"/>
      <c r="E368" s="35"/>
      <c r="F368" s="35"/>
      <c r="G368" s="35"/>
    </row>
    <row r="369" spans="1:7" ht="23.25" x14ac:dyDescent="0.5">
      <c r="A369" s="38" t="s">
        <v>75</v>
      </c>
      <c r="B369" s="38"/>
      <c r="C369" s="38"/>
      <c r="D369" s="38"/>
      <c r="E369" s="38"/>
      <c r="F369" s="38"/>
      <c r="G369" s="38"/>
    </row>
    <row r="370" spans="1:7" ht="23.25" x14ac:dyDescent="0.5">
      <c r="A370" s="3" t="s">
        <v>55</v>
      </c>
      <c r="B370" s="4"/>
      <c r="C370" s="4"/>
      <c r="D370" s="4"/>
      <c r="E370" s="4"/>
      <c r="F370" s="4"/>
      <c r="G370" s="4"/>
    </row>
    <row r="371" spans="1:7" ht="23.25" x14ac:dyDescent="0.5">
      <c r="A371" s="3" t="s">
        <v>56</v>
      </c>
      <c r="B371" s="4"/>
      <c r="C371" s="4"/>
      <c r="D371" s="4"/>
      <c r="E371" s="4" t="s">
        <v>97</v>
      </c>
      <c r="F371" s="4"/>
      <c r="G371" s="4"/>
    </row>
    <row r="372" spans="1:7" ht="23.25" x14ac:dyDescent="0.5">
      <c r="A372" s="4"/>
      <c r="B372" s="4"/>
      <c r="C372" s="4"/>
      <c r="D372" s="4"/>
      <c r="E372" s="4" t="s">
        <v>98</v>
      </c>
      <c r="F372" s="4"/>
      <c r="G372" s="4"/>
    </row>
    <row r="373" spans="1:7" ht="23.25" x14ac:dyDescent="0.5">
      <c r="A373" s="4" t="s">
        <v>59</v>
      </c>
      <c r="B373" s="4"/>
      <c r="C373" s="4"/>
      <c r="D373" s="4"/>
      <c r="E373" s="4"/>
      <c r="F373" s="4"/>
      <c r="G373" s="4"/>
    </row>
    <row r="374" spans="1:7" ht="23.25" x14ac:dyDescent="0.5">
      <c r="A374" s="3" t="s">
        <v>99</v>
      </c>
      <c r="B374" s="4"/>
      <c r="C374" s="4"/>
      <c r="D374" s="4"/>
      <c r="E374" s="4"/>
      <c r="F374" s="4"/>
      <c r="G374" s="4"/>
    </row>
    <row r="375" spans="1:7" ht="23.25" x14ac:dyDescent="0.5">
      <c r="A375" s="5" t="s">
        <v>6</v>
      </c>
      <c r="B375" s="6" t="s">
        <v>7</v>
      </c>
      <c r="C375" s="47"/>
      <c r="D375" s="48"/>
      <c r="E375" s="5" t="s">
        <v>8</v>
      </c>
      <c r="F375" s="9" t="s">
        <v>9</v>
      </c>
      <c r="G375" s="10"/>
    </row>
    <row r="376" spans="1:7" ht="23.25" x14ac:dyDescent="0.5">
      <c r="A376" s="49"/>
      <c r="B376" s="50"/>
      <c r="C376" s="51"/>
      <c r="D376" s="52"/>
      <c r="E376" s="49"/>
      <c r="F376" s="39" t="s">
        <v>10</v>
      </c>
      <c r="G376" s="15" t="s">
        <v>61</v>
      </c>
    </row>
    <row r="377" spans="1:7" ht="23.25" x14ac:dyDescent="0.5">
      <c r="A377" s="15">
        <v>1</v>
      </c>
      <c r="B377" s="16" t="s">
        <v>100</v>
      </c>
      <c r="C377" s="17"/>
      <c r="D377" s="18"/>
      <c r="E377" s="19"/>
      <c r="F377" s="20">
        <v>49500</v>
      </c>
      <c r="G377" s="21"/>
    </row>
    <row r="378" spans="1:7" ht="23.25" x14ac:dyDescent="0.5">
      <c r="A378" s="15"/>
      <c r="B378" s="16"/>
      <c r="C378" s="17"/>
      <c r="D378" s="18"/>
      <c r="E378" s="19"/>
      <c r="F378" s="20"/>
      <c r="G378" s="21"/>
    </row>
    <row r="379" spans="1:7" ht="23.25" x14ac:dyDescent="0.5">
      <c r="A379" s="15"/>
      <c r="B379" s="16"/>
      <c r="C379" s="17"/>
      <c r="D379" s="18"/>
      <c r="E379" s="19"/>
      <c r="F379" s="20"/>
      <c r="G379" s="21"/>
    </row>
    <row r="380" spans="1:7" ht="23.25" x14ac:dyDescent="0.5">
      <c r="A380" s="15"/>
      <c r="B380" s="16"/>
      <c r="C380" s="17"/>
      <c r="D380" s="18"/>
      <c r="E380" s="19"/>
      <c r="F380" s="24"/>
      <c r="G380" s="25"/>
    </row>
    <row r="381" spans="1:7" ht="23.25" x14ac:dyDescent="0.5">
      <c r="A381" s="15"/>
      <c r="B381" s="16" t="s">
        <v>101</v>
      </c>
      <c r="C381" s="17"/>
      <c r="D381" s="18"/>
      <c r="E381" s="23"/>
      <c r="F381" s="58">
        <v>462.62</v>
      </c>
      <c r="G381" s="59"/>
    </row>
    <row r="382" spans="1:7" ht="23.25" x14ac:dyDescent="0.5">
      <c r="A382" s="15"/>
      <c r="B382" s="16"/>
      <c r="C382" s="17"/>
      <c r="D382" s="18"/>
      <c r="E382" s="23"/>
      <c r="F382" s="20"/>
      <c r="G382" s="21"/>
    </row>
    <row r="383" spans="1:7" ht="23.25" x14ac:dyDescent="0.5">
      <c r="A383" s="15"/>
      <c r="B383" s="42"/>
      <c r="C383" s="43"/>
      <c r="D383" s="41"/>
      <c r="E383" s="23"/>
      <c r="F383" s="24"/>
      <c r="G383" s="25"/>
    </row>
    <row r="384" spans="1:7" ht="23.25" x14ac:dyDescent="0.5">
      <c r="A384" s="15"/>
      <c r="B384" s="16"/>
      <c r="C384" s="17"/>
      <c r="D384" s="18"/>
      <c r="E384" s="23"/>
      <c r="F384" s="24"/>
      <c r="G384" s="25"/>
    </row>
    <row r="385" spans="1:7" ht="23.25" x14ac:dyDescent="0.5">
      <c r="A385" s="15"/>
      <c r="B385" s="16"/>
      <c r="C385" s="17"/>
      <c r="D385" s="18"/>
      <c r="E385" s="23"/>
      <c r="F385" s="24"/>
      <c r="G385" s="25"/>
    </row>
    <row r="386" spans="1:7" ht="23.25" x14ac:dyDescent="0.5">
      <c r="A386" s="15"/>
      <c r="B386" s="16"/>
      <c r="C386" s="17"/>
      <c r="D386" s="18"/>
      <c r="E386" s="23"/>
      <c r="F386" s="24"/>
      <c r="G386" s="25"/>
    </row>
    <row r="387" spans="1:7" ht="23.25" x14ac:dyDescent="0.5">
      <c r="A387" s="15"/>
      <c r="B387" s="16"/>
      <c r="C387" s="17"/>
      <c r="D387" s="18"/>
      <c r="E387" s="23"/>
      <c r="F387" s="24"/>
      <c r="G387" s="25"/>
    </row>
    <row r="388" spans="1:7" ht="23.25" x14ac:dyDescent="0.5">
      <c r="A388" s="15"/>
      <c r="B388" s="16"/>
      <c r="C388" s="17"/>
      <c r="D388" s="18"/>
      <c r="E388" s="23"/>
      <c r="F388" s="24"/>
      <c r="G388" s="25"/>
    </row>
    <row r="389" spans="1:7" ht="23.25" x14ac:dyDescent="0.5">
      <c r="A389" s="15"/>
      <c r="B389" s="16"/>
      <c r="C389" s="17"/>
      <c r="D389" s="18"/>
      <c r="E389" s="23"/>
      <c r="F389" s="24"/>
      <c r="G389" s="25"/>
    </row>
    <row r="390" spans="1:7" ht="23.25" x14ac:dyDescent="0.5">
      <c r="A390" s="15"/>
      <c r="B390" s="16"/>
      <c r="C390" s="17"/>
      <c r="D390" s="18"/>
      <c r="E390" s="23"/>
      <c r="F390" s="24"/>
      <c r="G390" s="25"/>
    </row>
    <row r="391" spans="1:7" ht="23.25" x14ac:dyDescent="0.5">
      <c r="A391" s="15"/>
      <c r="B391" s="9"/>
      <c r="C391" s="26"/>
      <c r="D391" s="10"/>
      <c r="E391" s="23"/>
      <c r="F391" s="24"/>
      <c r="G391" s="25"/>
    </row>
    <row r="392" spans="1:7" ht="23.25" x14ac:dyDescent="0.5">
      <c r="A392" s="27" t="s">
        <v>14</v>
      </c>
      <c r="B392" s="28"/>
      <c r="C392" s="28"/>
      <c r="D392" s="28"/>
      <c r="E392" s="29"/>
      <c r="F392" s="20">
        <v>49037.38</v>
      </c>
      <c r="G392" s="21"/>
    </row>
    <row r="393" spans="1:7" ht="23.25" x14ac:dyDescent="0.5">
      <c r="A393" s="47" t="str">
        <f>BAHTTEXT(F392)</f>
        <v>สี่หมื่นเก้าพันสามสิบเจ็ดบาทสามสิบแปดสตางค์</v>
      </c>
      <c r="B393" s="47"/>
      <c r="C393" s="47"/>
      <c r="D393" s="47"/>
      <c r="E393" s="47"/>
      <c r="F393" s="47"/>
      <c r="G393" s="4"/>
    </row>
    <row r="394" spans="1:7" ht="23.25" x14ac:dyDescent="0.5">
      <c r="A394" s="4" t="s">
        <v>64</v>
      </c>
      <c r="B394" s="4"/>
      <c r="C394" s="4"/>
      <c r="D394" s="4"/>
      <c r="E394" s="4" t="s">
        <v>97</v>
      </c>
      <c r="F394" s="4"/>
      <c r="G394" s="4"/>
    </row>
    <row r="395" spans="1:7" ht="23.25" x14ac:dyDescent="0.5">
      <c r="A395" s="4"/>
      <c r="B395" s="4"/>
      <c r="C395" s="4"/>
      <c r="D395" s="4"/>
      <c r="E395" s="4" t="s">
        <v>98</v>
      </c>
      <c r="F395" s="4"/>
      <c r="G395" s="4"/>
    </row>
    <row r="396" spans="1:7" ht="23.25" x14ac:dyDescent="0.5">
      <c r="A396" s="4" t="s">
        <v>87</v>
      </c>
      <c r="B396" s="4"/>
      <c r="C396" s="4"/>
      <c r="D396" s="4"/>
      <c r="E396" s="53">
        <v>49037.38</v>
      </c>
      <c r="F396" s="57" t="s">
        <v>10</v>
      </c>
      <c r="G396" s="4"/>
    </row>
    <row r="397" spans="1:7" ht="23.25" x14ac:dyDescent="0.5">
      <c r="A397" s="4" t="s">
        <v>18</v>
      </c>
      <c r="B397" s="4"/>
      <c r="C397" s="4"/>
      <c r="D397" s="4"/>
      <c r="E397" s="4"/>
      <c r="F397" s="4"/>
      <c r="G397" s="4"/>
    </row>
    <row r="398" spans="1:7" ht="23.25" x14ac:dyDescent="0.5">
      <c r="A398" s="4"/>
      <c r="B398" s="4"/>
      <c r="C398" s="4"/>
      <c r="D398" s="4"/>
      <c r="E398" s="3" t="s">
        <v>19</v>
      </c>
      <c r="F398" s="3"/>
      <c r="G398" s="4"/>
    </row>
    <row r="399" spans="1:7" ht="23.25" x14ac:dyDescent="0.5">
      <c r="A399" s="4"/>
      <c r="B399" s="4"/>
      <c r="C399" s="4"/>
      <c r="D399" s="4"/>
      <c r="E399" s="33"/>
      <c r="F399" s="33"/>
      <c r="G399" s="33"/>
    </row>
    <row r="400" spans="1:7" ht="23.25" x14ac:dyDescent="0.5">
      <c r="A400" s="4"/>
      <c r="B400" s="4"/>
      <c r="C400" s="4"/>
      <c r="D400" s="4"/>
      <c r="E400" s="33"/>
      <c r="F400" s="33"/>
      <c r="G400" s="33"/>
    </row>
    <row r="401" spans="1:7" ht="23.25" x14ac:dyDescent="0.5">
      <c r="A401" s="33" t="s">
        <v>20</v>
      </c>
      <c r="B401" s="33"/>
      <c r="C401" s="33"/>
      <c r="D401" s="32" t="s">
        <v>21</v>
      </c>
      <c r="E401" s="33" t="s">
        <v>22</v>
      </c>
      <c r="F401" s="33"/>
      <c r="G401" s="33"/>
    </row>
    <row r="402" spans="1:7" ht="23.25" x14ac:dyDescent="0.5">
      <c r="A402" s="34" t="s">
        <v>23</v>
      </c>
      <c r="B402" s="34"/>
      <c r="C402" s="34"/>
      <c r="D402" s="32"/>
      <c r="E402" s="34"/>
      <c r="F402" s="34"/>
      <c r="G402" s="34"/>
    </row>
    <row r="403" spans="1:7" ht="23.25" x14ac:dyDescent="0.5">
      <c r="A403" s="34" t="s">
        <v>24</v>
      </c>
      <c r="B403" s="34"/>
      <c r="C403" s="34"/>
      <c r="D403" s="32"/>
      <c r="E403" s="34"/>
      <c r="F403" s="34"/>
      <c r="G403" s="34"/>
    </row>
    <row r="404" spans="1:7" ht="23.25" x14ac:dyDescent="0.5">
      <c r="A404" s="4"/>
      <c r="B404" s="4"/>
      <c r="C404" s="4"/>
      <c r="D404" s="4"/>
      <c r="E404" s="33" t="s">
        <v>67</v>
      </c>
      <c r="F404" s="33"/>
      <c r="G404" s="33"/>
    </row>
    <row r="405" spans="1:7" ht="23.25" x14ac:dyDescent="0.5">
      <c r="A405" s="38" t="s">
        <v>75</v>
      </c>
      <c r="B405" s="38"/>
      <c r="C405" s="38"/>
      <c r="D405" s="38"/>
      <c r="E405" s="38"/>
      <c r="F405" s="38"/>
      <c r="G405" s="38"/>
    </row>
    <row r="406" spans="1:7" ht="23.25" x14ac:dyDescent="0.5">
      <c r="A406" s="3" t="s">
        <v>55</v>
      </c>
      <c r="B406" s="4"/>
      <c r="C406" s="4"/>
      <c r="D406" s="4"/>
      <c r="E406" s="4"/>
      <c r="F406" s="4"/>
      <c r="G406" s="4"/>
    </row>
    <row r="407" spans="1:7" ht="23.25" x14ac:dyDescent="0.5">
      <c r="A407" s="3" t="s">
        <v>56</v>
      </c>
      <c r="B407" s="4"/>
      <c r="C407" s="4"/>
      <c r="D407" s="4"/>
      <c r="E407" s="4" t="s">
        <v>102</v>
      </c>
      <c r="F407" s="4"/>
      <c r="G407" s="4"/>
    </row>
    <row r="408" spans="1:7" ht="23.25" x14ac:dyDescent="0.5">
      <c r="A408" s="4"/>
      <c r="B408" s="4"/>
      <c r="C408" s="4"/>
      <c r="D408" s="4"/>
      <c r="E408" s="4" t="s">
        <v>103</v>
      </c>
      <c r="F408" s="4"/>
      <c r="G408" s="4"/>
    </row>
    <row r="409" spans="1:7" ht="23.25" x14ac:dyDescent="0.5">
      <c r="A409" s="4" t="s">
        <v>59</v>
      </c>
      <c r="B409" s="4"/>
      <c r="C409" s="4"/>
      <c r="D409" s="4"/>
      <c r="E409" s="4"/>
      <c r="F409" s="4"/>
      <c r="G409" s="4"/>
    </row>
    <row r="410" spans="1:7" ht="23.25" x14ac:dyDescent="0.5">
      <c r="A410" s="4"/>
      <c r="B410" s="4"/>
      <c r="C410" s="4"/>
      <c r="D410" s="4"/>
      <c r="E410" s="4"/>
      <c r="F410" s="4"/>
      <c r="G410" s="4"/>
    </row>
    <row r="411" spans="1:7" ht="23.25" x14ac:dyDescent="0.5">
      <c r="A411" s="4"/>
      <c r="B411" s="4"/>
      <c r="C411" s="4"/>
      <c r="D411" s="4"/>
      <c r="E411" s="4"/>
      <c r="F411" s="4"/>
      <c r="G411" s="4"/>
    </row>
    <row r="412" spans="1:7" ht="23.25" x14ac:dyDescent="0.5">
      <c r="A412" s="3" t="s">
        <v>99</v>
      </c>
      <c r="B412" s="4"/>
      <c r="C412" s="4"/>
      <c r="D412" s="4"/>
      <c r="E412" s="4"/>
      <c r="F412" s="4"/>
      <c r="G412" s="4"/>
    </row>
    <row r="413" spans="1:7" ht="23.25" x14ac:dyDescent="0.5">
      <c r="A413" s="5" t="s">
        <v>6</v>
      </c>
      <c r="B413" s="6" t="s">
        <v>7</v>
      </c>
      <c r="C413" s="47"/>
      <c r="D413" s="48"/>
      <c r="E413" s="5" t="s">
        <v>8</v>
      </c>
      <c r="F413" s="9" t="s">
        <v>9</v>
      </c>
      <c r="G413" s="10"/>
    </row>
    <row r="414" spans="1:7" ht="23.25" x14ac:dyDescent="0.5">
      <c r="A414" s="49"/>
      <c r="B414" s="50"/>
      <c r="C414" s="51"/>
      <c r="D414" s="52"/>
      <c r="E414" s="49"/>
      <c r="F414" s="15" t="s">
        <v>10</v>
      </c>
      <c r="G414" s="15" t="s">
        <v>61</v>
      </c>
    </row>
    <row r="415" spans="1:7" ht="23.25" x14ac:dyDescent="0.5">
      <c r="A415" s="15">
        <v>1</v>
      </c>
      <c r="B415" s="16" t="s">
        <v>104</v>
      </c>
      <c r="C415" s="17"/>
      <c r="D415" s="18"/>
      <c r="E415" s="19" t="s">
        <v>105</v>
      </c>
      <c r="F415" s="20">
        <v>45939</v>
      </c>
      <c r="G415" s="21"/>
    </row>
    <row r="416" spans="1:7" ht="23.25" x14ac:dyDescent="0.5">
      <c r="A416" s="15">
        <v>2</v>
      </c>
      <c r="B416" s="60" t="s">
        <v>106</v>
      </c>
      <c r="C416" s="61"/>
      <c r="D416" s="62"/>
      <c r="E416" s="19" t="s">
        <v>107</v>
      </c>
      <c r="F416" s="20">
        <v>10200</v>
      </c>
      <c r="G416" s="21"/>
    </row>
    <row r="417" spans="1:7" ht="23.25" x14ac:dyDescent="0.5">
      <c r="A417" s="15">
        <v>3</v>
      </c>
      <c r="B417" s="16"/>
      <c r="C417" s="17"/>
      <c r="D417" s="18"/>
      <c r="E417" s="19" t="s">
        <v>108</v>
      </c>
      <c r="F417" s="20">
        <v>152076</v>
      </c>
      <c r="G417" s="21"/>
    </row>
    <row r="418" spans="1:7" ht="23.25" x14ac:dyDescent="0.5">
      <c r="A418" s="15"/>
      <c r="B418" s="16"/>
      <c r="C418" s="17"/>
      <c r="D418" s="18"/>
      <c r="E418" s="19"/>
      <c r="F418" s="24"/>
      <c r="G418" s="25"/>
    </row>
    <row r="419" spans="1:7" ht="23.25" x14ac:dyDescent="0.5">
      <c r="A419" s="15"/>
      <c r="B419" s="16"/>
      <c r="C419" s="17"/>
      <c r="D419" s="18"/>
      <c r="E419" s="19"/>
      <c r="F419" s="58"/>
      <c r="G419" s="59"/>
    </row>
    <row r="420" spans="1:7" ht="23.25" x14ac:dyDescent="0.5">
      <c r="A420" s="15"/>
      <c r="B420" s="16"/>
      <c r="C420" s="17"/>
      <c r="D420" s="18"/>
      <c r="E420" s="23"/>
      <c r="F420" s="20"/>
      <c r="G420" s="21"/>
    </row>
    <row r="421" spans="1:7" ht="23.25" x14ac:dyDescent="0.5">
      <c r="A421" s="15"/>
      <c r="B421" s="42"/>
      <c r="C421" s="43"/>
      <c r="D421" s="41"/>
      <c r="E421" s="23"/>
      <c r="F421" s="24"/>
      <c r="G421" s="25"/>
    </row>
    <row r="422" spans="1:7" ht="23.25" x14ac:dyDescent="0.5">
      <c r="A422" s="15"/>
      <c r="B422" s="16"/>
      <c r="C422" s="17"/>
      <c r="D422" s="18"/>
      <c r="E422" s="23"/>
      <c r="F422" s="24"/>
      <c r="G422" s="25"/>
    </row>
    <row r="423" spans="1:7" ht="23.25" x14ac:dyDescent="0.5">
      <c r="A423" s="15"/>
      <c r="B423" s="16"/>
      <c r="C423" s="17"/>
      <c r="D423" s="18"/>
      <c r="E423" s="23"/>
      <c r="F423" s="24"/>
      <c r="G423" s="25"/>
    </row>
    <row r="424" spans="1:7" ht="23.25" x14ac:dyDescent="0.5">
      <c r="A424" s="15"/>
      <c r="B424" s="16"/>
      <c r="C424" s="17"/>
      <c r="D424" s="18"/>
      <c r="E424" s="23"/>
      <c r="F424" s="24"/>
      <c r="G424" s="25"/>
    </row>
    <row r="425" spans="1:7" ht="23.25" x14ac:dyDescent="0.5">
      <c r="A425" s="15"/>
      <c r="B425" s="16"/>
      <c r="C425" s="17"/>
      <c r="D425" s="18"/>
      <c r="E425" s="23"/>
      <c r="F425" s="24"/>
      <c r="G425" s="25"/>
    </row>
    <row r="426" spans="1:7" ht="23.25" x14ac:dyDescent="0.5">
      <c r="A426" s="15"/>
      <c r="B426" s="16"/>
      <c r="C426" s="17"/>
      <c r="D426" s="18"/>
      <c r="E426" s="23"/>
      <c r="F426" s="24"/>
      <c r="G426" s="25"/>
    </row>
    <row r="427" spans="1:7" ht="23.25" x14ac:dyDescent="0.5">
      <c r="A427" s="15"/>
      <c r="B427" s="16"/>
      <c r="C427" s="17"/>
      <c r="D427" s="18"/>
      <c r="E427" s="23"/>
      <c r="F427" s="24"/>
      <c r="G427" s="25"/>
    </row>
    <row r="428" spans="1:7" ht="23.25" x14ac:dyDescent="0.5">
      <c r="A428" s="15"/>
      <c r="B428" s="16"/>
      <c r="C428" s="17"/>
      <c r="D428" s="18"/>
      <c r="E428" s="23"/>
      <c r="F428" s="24"/>
      <c r="G428" s="25"/>
    </row>
    <row r="429" spans="1:7" ht="23.25" x14ac:dyDescent="0.5">
      <c r="A429" s="15"/>
      <c r="B429" s="9"/>
      <c r="C429" s="26"/>
      <c r="D429" s="10"/>
      <c r="E429" s="23"/>
      <c r="F429" s="24"/>
      <c r="G429" s="25"/>
    </row>
    <row r="430" spans="1:7" ht="23.25" x14ac:dyDescent="0.5">
      <c r="A430" s="27" t="s">
        <v>14</v>
      </c>
      <c r="B430" s="28"/>
      <c r="C430" s="28"/>
      <c r="D430" s="28"/>
      <c r="E430" s="29"/>
      <c r="F430" s="20">
        <f>SUM(F415:F429)</f>
        <v>208215</v>
      </c>
      <c r="G430" s="21"/>
    </row>
    <row r="431" spans="1:7" ht="23.25" x14ac:dyDescent="0.5">
      <c r="A431" s="47" t="str">
        <f>BAHTTEXT(F430)</f>
        <v>สองแสนแปดพันสองร้อยสิบห้าบาทถ้วน</v>
      </c>
      <c r="B431" s="47"/>
      <c r="C431" s="47"/>
      <c r="D431" s="47"/>
      <c r="E431" s="47"/>
      <c r="F431" s="47"/>
      <c r="G431" s="4"/>
    </row>
    <row r="432" spans="1:7" ht="23.25" x14ac:dyDescent="0.5">
      <c r="A432" s="4" t="s">
        <v>109</v>
      </c>
      <c r="B432" s="4"/>
      <c r="C432" s="4"/>
      <c r="D432" s="4"/>
      <c r="E432" s="4"/>
      <c r="F432" s="4"/>
      <c r="G432" s="4"/>
    </row>
    <row r="433" spans="1:7" ht="23.25" x14ac:dyDescent="0.5">
      <c r="A433" s="4" t="s">
        <v>110</v>
      </c>
      <c r="B433" s="4"/>
      <c r="C433" s="4"/>
      <c r="D433" s="4"/>
      <c r="E433" s="4"/>
      <c r="F433" s="4"/>
      <c r="G433" s="4"/>
    </row>
    <row r="434" spans="1:7" ht="23.25" x14ac:dyDescent="0.5">
      <c r="A434" s="4" t="s">
        <v>111</v>
      </c>
      <c r="B434" s="4"/>
      <c r="C434" s="4"/>
      <c r="D434" s="4"/>
      <c r="E434" s="53"/>
      <c r="F434" s="57"/>
      <c r="G434" s="4"/>
    </row>
    <row r="435" spans="1:7" ht="23.25" x14ac:dyDescent="0.5">
      <c r="A435" s="4" t="s">
        <v>18</v>
      </c>
      <c r="B435" s="4"/>
      <c r="C435" s="4"/>
      <c r="D435" s="4"/>
      <c r="E435" s="4"/>
      <c r="F435" s="4"/>
      <c r="G435" s="4"/>
    </row>
    <row r="436" spans="1:7" ht="23.25" x14ac:dyDescent="0.5">
      <c r="A436" s="4"/>
      <c r="B436" s="4"/>
      <c r="C436" s="4"/>
      <c r="D436" s="4"/>
      <c r="E436" s="3" t="s">
        <v>19</v>
      </c>
      <c r="F436" s="3"/>
      <c r="G436" s="4"/>
    </row>
    <row r="437" spans="1:7" ht="23.25" x14ac:dyDescent="0.5">
      <c r="A437" s="4"/>
      <c r="B437" s="4"/>
      <c r="C437" s="4"/>
      <c r="D437" s="4"/>
      <c r="E437" s="33"/>
      <c r="F437" s="33"/>
      <c r="G437" s="33"/>
    </row>
    <row r="438" spans="1:7" ht="23.25" x14ac:dyDescent="0.5">
      <c r="A438" s="4"/>
      <c r="B438" s="4"/>
      <c r="C438" s="4"/>
      <c r="D438" s="4"/>
      <c r="E438" s="33"/>
      <c r="F438" s="33"/>
      <c r="G438" s="33"/>
    </row>
    <row r="439" spans="1:7" ht="23.25" x14ac:dyDescent="0.5">
      <c r="A439" s="33" t="s">
        <v>20</v>
      </c>
      <c r="B439" s="33"/>
      <c r="C439" s="33"/>
      <c r="D439" s="32" t="s">
        <v>21</v>
      </c>
      <c r="E439" s="33" t="s">
        <v>22</v>
      </c>
      <c r="F439" s="33"/>
      <c r="G439" s="33"/>
    </row>
    <row r="440" spans="1:7" ht="23.25" x14ac:dyDescent="0.5">
      <c r="A440" s="34" t="s">
        <v>23</v>
      </c>
      <c r="B440" s="34"/>
      <c r="C440" s="34"/>
      <c r="D440" s="32"/>
      <c r="E440" s="34"/>
      <c r="F440" s="34"/>
      <c r="G440" s="34"/>
    </row>
    <row r="441" spans="1:7" ht="23.25" x14ac:dyDescent="0.5">
      <c r="A441" s="34" t="s">
        <v>24</v>
      </c>
      <c r="B441" s="34"/>
      <c r="C441" s="34"/>
      <c r="D441" s="32"/>
      <c r="E441" s="34"/>
      <c r="F441" s="34"/>
      <c r="G441" s="34"/>
    </row>
    <row r="442" spans="1:7" ht="23.25" x14ac:dyDescent="0.5">
      <c r="A442" s="4"/>
      <c r="B442" s="4"/>
      <c r="C442" s="4"/>
      <c r="D442" s="4"/>
      <c r="E442" s="33" t="s">
        <v>67</v>
      </c>
      <c r="F442" s="33"/>
      <c r="G442" s="33"/>
    </row>
    <row r="443" spans="1:7" ht="20.25" x14ac:dyDescent="0.3">
      <c r="A443" s="35"/>
      <c r="B443" s="35"/>
      <c r="C443" s="35"/>
      <c r="D443" s="35"/>
      <c r="E443" s="35"/>
      <c r="F443" s="35"/>
      <c r="G443" s="35"/>
    </row>
    <row r="444" spans="1:7" ht="29.25" x14ac:dyDescent="0.2">
      <c r="A444" s="1" t="s">
        <v>0</v>
      </c>
      <c r="B444" s="1"/>
      <c r="C444" s="1"/>
      <c r="D444" s="1"/>
      <c r="E444" s="1"/>
      <c r="F444" s="1"/>
      <c r="G444" s="1"/>
    </row>
    <row r="445" spans="1:7" ht="23.25" x14ac:dyDescent="0.5">
      <c r="A445" s="2" t="s">
        <v>1</v>
      </c>
      <c r="B445" s="2"/>
      <c r="C445" s="2"/>
      <c r="D445" s="2"/>
      <c r="E445" s="2"/>
      <c r="F445" s="2"/>
      <c r="G445" s="2"/>
    </row>
    <row r="446" spans="1:7" ht="23.25" x14ac:dyDescent="0.5">
      <c r="A446" s="3" t="s">
        <v>2</v>
      </c>
      <c r="B446" s="4"/>
      <c r="C446" s="4"/>
      <c r="D446" s="4"/>
      <c r="E446" s="4"/>
      <c r="F446" s="4"/>
      <c r="G446" s="4"/>
    </row>
    <row r="447" spans="1:7" ht="23.25" x14ac:dyDescent="0.5">
      <c r="A447" s="3" t="s">
        <v>34</v>
      </c>
      <c r="B447" s="4"/>
      <c r="C447" s="4"/>
      <c r="D447" s="4"/>
      <c r="E447" s="4"/>
      <c r="F447" s="4"/>
      <c r="G447" s="4"/>
    </row>
    <row r="448" spans="1:7" ht="23.25" x14ac:dyDescent="0.5">
      <c r="A448" s="4" t="s">
        <v>4</v>
      </c>
      <c r="B448" s="4"/>
      <c r="C448" s="4"/>
      <c r="D448" s="4"/>
      <c r="E448" s="4"/>
      <c r="F448" s="4"/>
      <c r="G448" s="4"/>
    </row>
    <row r="449" spans="1:7" ht="23.25" x14ac:dyDescent="0.5">
      <c r="A449" s="4" t="s">
        <v>35</v>
      </c>
      <c r="B449" s="4"/>
      <c r="C449" s="4"/>
      <c r="D449" s="4"/>
      <c r="E449" s="4"/>
      <c r="F449" s="4"/>
      <c r="G449" s="4"/>
    </row>
    <row r="450" spans="1:7" ht="23.25" x14ac:dyDescent="0.5">
      <c r="A450" s="3"/>
      <c r="B450" s="4"/>
      <c r="C450" s="4"/>
      <c r="D450" s="4"/>
      <c r="E450" s="4"/>
      <c r="F450" s="4"/>
      <c r="G450" s="4"/>
    </row>
    <row r="451" spans="1:7" ht="23.25" x14ac:dyDescent="0.5">
      <c r="A451" s="5" t="s">
        <v>6</v>
      </c>
      <c r="B451" s="6" t="s">
        <v>7</v>
      </c>
      <c r="C451" s="7"/>
      <c r="D451" s="8"/>
      <c r="E451" s="5" t="s">
        <v>8</v>
      </c>
      <c r="F451" s="9" t="s">
        <v>9</v>
      </c>
      <c r="G451" s="10"/>
    </row>
    <row r="452" spans="1:7" ht="23.25" x14ac:dyDescent="0.5">
      <c r="A452" s="11"/>
      <c r="B452" s="12"/>
      <c r="C452" s="13"/>
      <c r="D452" s="14"/>
      <c r="E452" s="11"/>
      <c r="F452" s="9" t="s">
        <v>10</v>
      </c>
      <c r="G452" s="10"/>
    </row>
    <row r="453" spans="1:7" ht="23.25" x14ac:dyDescent="0.5">
      <c r="A453" s="15">
        <v>1</v>
      </c>
      <c r="B453" s="16" t="s">
        <v>112</v>
      </c>
      <c r="C453" s="17"/>
      <c r="D453" s="18"/>
      <c r="E453" s="19"/>
      <c r="F453" s="20">
        <v>247507</v>
      </c>
      <c r="G453" s="21"/>
    </row>
    <row r="454" spans="1:7" ht="23.25" x14ac:dyDescent="0.5">
      <c r="A454" s="22"/>
      <c r="B454" s="16"/>
      <c r="C454" s="17"/>
      <c r="D454" s="18"/>
      <c r="E454" s="19"/>
      <c r="F454" s="20"/>
      <c r="G454" s="21"/>
    </row>
    <row r="455" spans="1:7" ht="23.25" x14ac:dyDescent="0.5">
      <c r="A455" s="15"/>
      <c r="B455" s="16"/>
      <c r="C455" s="17"/>
      <c r="D455" s="18"/>
      <c r="E455" s="19"/>
      <c r="F455" s="20"/>
      <c r="G455" s="21"/>
    </row>
    <row r="456" spans="1:7" ht="23.25" x14ac:dyDescent="0.5">
      <c r="A456" s="22"/>
      <c r="B456" s="16"/>
      <c r="C456" s="17"/>
      <c r="D456" s="18"/>
      <c r="E456" s="19"/>
      <c r="F456" s="20"/>
      <c r="G456" s="21"/>
    </row>
    <row r="457" spans="1:7" ht="23.25" x14ac:dyDescent="0.5">
      <c r="A457" s="15"/>
      <c r="B457" s="16"/>
      <c r="C457" s="17"/>
      <c r="D457" s="18"/>
      <c r="E457" s="19"/>
      <c r="F457" s="20"/>
      <c r="G457" s="21"/>
    </row>
    <row r="458" spans="1:7" ht="23.25" x14ac:dyDescent="0.5">
      <c r="A458" s="15"/>
      <c r="B458" s="16"/>
      <c r="C458" s="17"/>
      <c r="D458" s="18"/>
      <c r="E458" s="23"/>
      <c r="F458" s="24"/>
      <c r="G458" s="25"/>
    </row>
    <row r="459" spans="1:7" ht="23.25" x14ac:dyDescent="0.5">
      <c r="A459" s="15"/>
      <c r="B459" s="9"/>
      <c r="C459" s="26"/>
      <c r="D459" s="10"/>
      <c r="E459" s="23"/>
      <c r="F459" s="24"/>
      <c r="G459" s="25"/>
    </row>
    <row r="460" spans="1:7" ht="23.25" x14ac:dyDescent="0.5">
      <c r="A460" s="15"/>
      <c r="B460" s="9"/>
      <c r="C460" s="26"/>
      <c r="D460" s="10"/>
      <c r="E460" s="23"/>
      <c r="F460" s="24"/>
      <c r="G460" s="25"/>
    </row>
    <row r="461" spans="1:7" ht="23.25" x14ac:dyDescent="0.5">
      <c r="A461" s="27" t="s">
        <v>14</v>
      </c>
      <c r="B461" s="28"/>
      <c r="C461" s="28"/>
      <c r="D461" s="28"/>
      <c r="E461" s="29"/>
      <c r="F461" s="20">
        <f>SUM(F453:F460)</f>
        <v>247507</v>
      </c>
      <c r="G461" s="21"/>
    </row>
    <row r="462" spans="1:7" ht="23.25" x14ac:dyDescent="0.5">
      <c r="A462" s="4"/>
      <c r="B462" s="30" t="str">
        <f>(BAHTTEXT(F461))</f>
        <v>สองแสนสี่หมื่นเจ็ดพันห้าร้อยเจ็ดบาทถ้วน</v>
      </c>
      <c r="C462" s="30"/>
      <c r="D462" s="30"/>
      <c r="E462" s="30"/>
      <c r="F462" s="4"/>
      <c r="G462" s="4"/>
    </row>
    <row r="463" spans="1:7" ht="23.25" x14ac:dyDescent="0.5">
      <c r="A463" s="4" t="s">
        <v>37</v>
      </c>
      <c r="B463" s="4"/>
      <c r="C463" s="4"/>
      <c r="D463" s="4"/>
      <c r="E463" s="4"/>
      <c r="F463" s="4"/>
      <c r="G463" s="4"/>
    </row>
    <row r="464" spans="1:7" ht="23.25" x14ac:dyDescent="0.5">
      <c r="A464" s="37" t="s">
        <v>38</v>
      </c>
      <c r="B464" s="37"/>
      <c r="C464" s="37"/>
      <c r="D464" s="37"/>
      <c r="E464" s="37"/>
      <c r="F464" s="37"/>
      <c r="G464" s="37"/>
    </row>
    <row r="465" spans="1:7" ht="23.25" x14ac:dyDescent="0.5">
      <c r="A465" s="4" t="s">
        <v>113</v>
      </c>
      <c r="B465" s="4"/>
      <c r="C465" s="4"/>
      <c r="D465" s="4"/>
      <c r="E465" s="31"/>
      <c r="F465" s="32"/>
      <c r="G465" s="4"/>
    </row>
    <row r="466" spans="1:7" ht="23.25" x14ac:dyDescent="0.5">
      <c r="A466" s="4" t="s">
        <v>18</v>
      </c>
      <c r="B466" s="4"/>
      <c r="C466" s="4"/>
      <c r="D466" s="4"/>
      <c r="E466" s="4"/>
      <c r="F466" s="4"/>
      <c r="G466" s="4"/>
    </row>
    <row r="467" spans="1:7" ht="23.25" x14ac:dyDescent="0.5">
      <c r="A467" s="4"/>
      <c r="B467" s="4"/>
      <c r="C467" s="4"/>
      <c r="D467" s="4"/>
      <c r="E467" s="3" t="s">
        <v>19</v>
      </c>
      <c r="F467" s="3"/>
      <c r="G467" s="4"/>
    </row>
    <row r="468" spans="1:7" ht="23.25" x14ac:dyDescent="0.5">
      <c r="A468" s="4"/>
      <c r="B468" s="4"/>
      <c r="C468" s="4"/>
      <c r="D468" s="4"/>
      <c r="E468" s="33"/>
      <c r="F468" s="33"/>
      <c r="G468" s="33"/>
    </row>
    <row r="469" spans="1:7" ht="23.25" x14ac:dyDescent="0.5">
      <c r="A469" s="4"/>
      <c r="B469" s="4"/>
      <c r="C469" s="4"/>
      <c r="D469" s="4"/>
      <c r="E469" s="33"/>
      <c r="F469" s="33"/>
      <c r="G469" s="33"/>
    </row>
    <row r="470" spans="1:7" ht="23.25" x14ac:dyDescent="0.5">
      <c r="A470" s="33" t="s">
        <v>20</v>
      </c>
      <c r="B470" s="33"/>
      <c r="C470" s="33"/>
      <c r="D470" s="32" t="s">
        <v>21</v>
      </c>
      <c r="E470" s="33" t="s">
        <v>22</v>
      </c>
      <c r="F470" s="33"/>
      <c r="G470" s="33"/>
    </row>
    <row r="471" spans="1:7" ht="23.25" x14ac:dyDescent="0.5">
      <c r="A471" s="34" t="s">
        <v>23</v>
      </c>
      <c r="B471" s="34"/>
      <c r="C471" s="34"/>
      <c r="D471" s="32"/>
      <c r="E471" s="34"/>
      <c r="F471" s="34"/>
      <c r="G471" s="34"/>
    </row>
    <row r="472" spans="1:7" ht="23.25" x14ac:dyDescent="0.5">
      <c r="A472" s="34" t="s">
        <v>24</v>
      </c>
      <c r="B472" s="34"/>
      <c r="C472" s="34"/>
      <c r="D472" s="32"/>
      <c r="E472" s="34"/>
      <c r="F472" s="34"/>
      <c r="G472" s="34"/>
    </row>
    <row r="473" spans="1:7" ht="23.25" x14ac:dyDescent="0.5">
      <c r="A473" s="4"/>
      <c r="B473" s="4"/>
      <c r="C473" s="4"/>
      <c r="D473" s="4"/>
      <c r="E473" s="33" t="s">
        <v>25</v>
      </c>
      <c r="F473" s="33"/>
      <c r="G473" s="33"/>
    </row>
    <row r="474" spans="1:7" ht="20.25" x14ac:dyDescent="0.3">
      <c r="A474" s="35"/>
      <c r="B474" s="35"/>
      <c r="C474" s="35"/>
      <c r="D474" s="35"/>
      <c r="E474" s="35"/>
      <c r="F474" s="35"/>
      <c r="G474" s="35"/>
    </row>
    <row r="475" spans="1:7" ht="29.25" x14ac:dyDescent="0.2">
      <c r="A475" s="1" t="s">
        <v>0</v>
      </c>
      <c r="B475" s="1"/>
      <c r="C475" s="1"/>
      <c r="D475" s="1"/>
      <c r="E475" s="1"/>
      <c r="F475" s="1"/>
      <c r="G475" s="1"/>
    </row>
    <row r="476" spans="1:7" ht="23.25" x14ac:dyDescent="0.5">
      <c r="A476" s="2" t="s">
        <v>1</v>
      </c>
      <c r="B476" s="2"/>
      <c r="C476" s="2"/>
      <c r="D476" s="2"/>
      <c r="E476" s="2"/>
      <c r="F476" s="2"/>
      <c r="G476" s="2"/>
    </row>
    <row r="477" spans="1:7" ht="23.25" x14ac:dyDescent="0.5">
      <c r="A477" s="3" t="s">
        <v>2</v>
      </c>
      <c r="B477" s="4"/>
      <c r="C477" s="4"/>
      <c r="D477" s="4"/>
      <c r="E477" s="4"/>
      <c r="F477" s="4"/>
      <c r="G477" s="4"/>
    </row>
    <row r="478" spans="1:7" ht="23.25" x14ac:dyDescent="0.5">
      <c r="A478" s="3" t="s">
        <v>34</v>
      </c>
      <c r="B478" s="4"/>
      <c r="C478" s="4"/>
      <c r="D478" s="4"/>
      <c r="E478" s="4"/>
      <c r="F478" s="4"/>
      <c r="G478" s="4"/>
    </row>
    <row r="479" spans="1:7" ht="23.25" x14ac:dyDescent="0.5">
      <c r="A479" s="4" t="s">
        <v>4</v>
      </c>
      <c r="B479" s="4"/>
      <c r="C479" s="4"/>
      <c r="D479" s="4"/>
      <c r="E479" s="4"/>
      <c r="F479" s="4"/>
      <c r="G479" s="4"/>
    </row>
    <row r="480" spans="1:7" ht="23.25" x14ac:dyDescent="0.5">
      <c r="A480" s="4" t="s">
        <v>114</v>
      </c>
      <c r="B480" s="4"/>
      <c r="C480" s="4"/>
      <c r="D480" s="4"/>
      <c r="E480" s="4"/>
      <c r="F480" s="4"/>
      <c r="G480" s="4"/>
    </row>
    <row r="481" spans="1:7" ht="23.25" x14ac:dyDescent="0.5">
      <c r="A481" s="3"/>
      <c r="B481" s="4"/>
      <c r="C481" s="4"/>
      <c r="D481" s="4"/>
      <c r="E481" s="4"/>
      <c r="F481" s="4"/>
      <c r="G481" s="4"/>
    </row>
    <row r="482" spans="1:7" ht="23.25" x14ac:dyDescent="0.5">
      <c r="A482" s="5" t="s">
        <v>6</v>
      </c>
      <c r="B482" s="6" t="s">
        <v>7</v>
      </c>
      <c r="C482" s="7"/>
      <c r="D482" s="8"/>
      <c r="E482" s="5" t="s">
        <v>8</v>
      </c>
      <c r="F482" s="9" t="s">
        <v>9</v>
      </c>
      <c r="G482" s="10"/>
    </row>
    <row r="483" spans="1:7" ht="23.25" x14ac:dyDescent="0.5">
      <c r="A483" s="11"/>
      <c r="B483" s="12"/>
      <c r="C483" s="13"/>
      <c r="D483" s="14"/>
      <c r="E483" s="11"/>
      <c r="F483" s="9" t="s">
        <v>10</v>
      </c>
      <c r="G483" s="10"/>
    </row>
    <row r="484" spans="1:7" ht="23.25" x14ac:dyDescent="0.5">
      <c r="A484" s="15">
        <v>1</v>
      </c>
      <c r="B484" s="16" t="s">
        <v>115</v>
      </c>
      <c r="C484" s="17"/>
      <c r="D484" s="18"/>
      <c r="E484" s="63" t="s">
        <v>116</v>
      </c>
      <c r="F484" s="20">
        <v>4589</v>
      </c>
      <c r="G484" s="21"/>
    </row>
    <row r="485" spans="1:7" ht="23.25" x14ac:dyDescent="0.5">
      <c r="A485" s="22"/>
      <c r="B485" s="16"/>
      <c r="C485" s="17"/>
      <c r="D485" s="18"/>
      <c r="E485" s="19"/>
      <c r="F485" s="20"/>
      <c r="G485" s="21"/>
    </row>
    <row r="486" spans="1:7" ht="23.25" x14ac:dyDescent="0.5">
      <c r="A486" s="15"/>
      <c r="B486" s="16"/>
      <c r="C486" s="17"/>
      <c r="D486" s="18"/>
      <c r="E486" s="19"/>
      <c r="F486" s="20"/>
      <c r="G486" s="21"/>
    </row>
    <row r="487" spans="1:7" ht="23.25" x14ac:dyDescent="0.5">
      <c r="A487" s="22"/>
      <c r="B487" s="16"/>
      <c r="C487" s="17"/>
      <c r="D487" s="18"/>
      <c r="E487" s="19"/>
      <c r="F487" s="20"/>
      <c r="G487" s="21"/>
    </row>
    <row r="488" spans="1:7" ht="23.25" x14ac:dyDescent="0.5">
      <c r="A488" s="15"/>
      <c r="B488" s="16"/>
      <c r="C488" s="17"/>
      <c r="D488" s="18"/>
      <c r="E488" s="19"/>
      <c r="F488" s="20"/>
      <c r="G488" s="21"/>
    </row>
    <row r="489" spans="1:7" ht="23.25" x14ac:dyDescent="0.5">
      <c r="A489" s="15"/>
      <c r="B489" s="16"/>
      <c r="C489" s="17"/>
      <c r="D489" s="18"/>
      <c r="E489" s="23"/>
      <c r="F489" s="24"/>
      <c r="G489" s="25"/>
    </row>
    <row r="490" spans="1:7" ht="23.25" x14ac:dyDescent="0.5">
      <c r="A490" s="15"/>
      <c r="B490" s="9"/>
      <c r="C490" s="26"/>
      <c r="D490" s="10"/>
      <c r="E490" s="23"/>
      <c r="F490" s="24"/>
      <c r="G490" s="25"/>
    </row>
    <row r="491" spans="1:7" ht="23.25" x14ac:dyDescent="0.5">
      <c r="A491" s="15"/>
      <c r="B491" s="9"/>
      <c r="C491" s="26"/>
      <c r="D491" s="10"/>
      <c r="E491" s="23"/>
      <c r="F491" s="24"/>
      <c r="G491" s="25"/>
    </row>
    <row r="492" spans="1:7" ht="23.25" x14ac:dyDescent="0.5">
      <c r="A492" s="27" t="s">
        <v>14</v>
      </c>
      <c r="B492" s="28"/>
      <c r="C492" s="28"/>
      <c r="D492" s="28"/>
      <c r="E492" s="29"/>
      <c r="F492" s="20">
        <f>SUM(F484:F491)</f>
        <v>4589</v>
      </c>
      <c r="G492" s="21"/>
    </row>
    <row r="493" spans="1:7" ht="23.25" x14ac:dyDescent="0.5">
      <c r="A493" s="4"/>
      <c r="B493" s="30" t="str">
        <f>(BAHTTEXT(F492))</f>
        <v>สี่พันห้าร้อยแปดสิบเก้าบาทถ้วน</v>
      </c>
      <c r="C493" s="30"/>
      <c r="D493" s="30"/>
      <c r="E493" s="30"/>
      <c r="F493" s="4"/>
      <c r="G493" s="4"/>
    </row>
    <row r="494" spans="1:7" ht="23.25" x14ac:dyDescent="0.5">
      <c r="A494" s="4" t="s">
        <v>37</v>
      </c>
      <c r="B494" s="4"/>
      <c r="C494" s="4"/>
      <c r="D494" s="4"/>
      <c r="E494" s="4"/>
      <c r="F494" s="4"/>
      <c r="G494" s="4"/>
    </row>
    <row r="495" spans="1:7" ht="23.25" x14ac:dyDescent="0.5">
      <c r="A495" s="37" t="s">
        <v>38</v>
      </c>
      <c r="B495" s="37"/>
      <c r="C495" s="37"/>
      <c r="D495" s="37"/>
      <c r="E495" s="37"/>
      <c r="F495" s="37"/>
      <c r="G495" s="37"/>
    </row>
    <row r="496" spans="1:7" ht="23.25" x14ac:dyDescent="0.5">
      <c r="A496" s="4" t="s">
        <v>117</v>
      </c>
      <c r="B496" s="4"/>
      <c r="C496" s="4"/>
      <c r="D496" s="4"/>
      <c r="E496" s="31"/>
      <c r="F496" s="32"/>
      <c r="G496" s="4"/>
    </row>
    <row r="497" spans="1:7" ht="23.25" x14ac:dyDescent="0.5">
      <c r="A497" s="4" t="s">
        <v>18</v>
      </c>
      <c r="B497" s="4"/>
      <c r="C497" s="4"/>
      <c r="D497" s="4"/>
      <c r="E497" s="4"/>
      <c r="F497" s="4"/>
      <c r="G497" s="4"/>
    </row>
    <row r="498" spans="1:7" ht="23.25" x14ac:dyDescent="0.5">
      <c r="A498" s="4"/>
      <c r="B498" s="4"/>
      <c r="C498" s="4"/>
      <c r="D498" s="4"/>
      <c r="E498" s="3" t="s">
        <v>19</v>
      </c>
      <c r="F498" s="3"/>
      <c r="G498" s="4"/>
    </row>
    <row r="499" spans="1:7" ht="23.25" x14ac:dyDescent="0.5">
      <c r="A499" s="4"/>
      <c r="B499" s="4"/>
      <c r="C499" s="4"/>
      <c r="D499" s="4"/>
      <c r="E499" s="33"/>
      <c r="F499" s="33"/>
      <c r="G499" s="33"/>
    </row>
    <row r="500" spans="1:7" ht="23.25" x14ac:dyDescent="0.5">
      <c r="A500" s="4"/>
      <c r="B500" s="4"/>
      <c r="C500" s="4"/>
      <c r="D500" s="4"/>
      <c r="E500" s="33"/>
      <c r="F500" s="33"/>
      <c r="G500" s="33"/>
    </row>
    <row r="501" spans="1:7" ht="23.25" x14ac:dyDescent="0.5">
      <c r="A501" s="33" t="s">
        <v>20</v>
      </c>
      <c r="B501" s="33"/>
      <c r="C501" s="33"/>
      <c r="D501" s="32" t="s">
        <v>21</v>
      </c>
      <c r="E501" s="33" t="s">
        <v>22</v>
      </c>
      <c r="F501" s="33"/>
      <c r="G501" s="33"/>
    </row>
    <row r="502" spans="1:7" ht="23.25" x14ac:dyDescent="0.5">
      <c r="A502" s="34" t="s">
        <v>23</v>
      </c>
      <c r="B502" s="34"/>
      <c r="C502" s="34"/>
      <c r="D502" s="32"/>
      <c r="E502" s="34"/>
      <c r="F502" s="34"/>
      <c r="G502" s="34"/>
    </row>
    <row r="503" spans="1:7" ht="23.25" x14ac:dyDescent="0.5">
      <c r="A503" s="34" t="s">
        <v>24</v>
      </c>
      <c r="B503" s="34"/>
      <c r="C503" s="34"/>
      <c r="D503" s="32"/>
      <c r="E503" s="34"/>
      <c r="F503" s="34"/>
      <c r="G503" s="34"/>
    </row>
    <row r="504" spans="1:7" ht="23.25" x14ac:dyDescent="0.5">
      <c r="A504" s="4"/>
      <c r="B504" s="4"/>
      <c r="C504" s="4"/>
      <c r="D504" s="4"/>
      <c r="E504" s="33" t="s">
        <v>25</v>
      </c>
      <c r="F504" s="33"/>
      <c r="G504" s="33"/>
    </row>
    <row r="505" spans="1:7" ht="29.25" x14ac:dyDescent="0.2">
      <c r="A505" s="1" t="s">
        <v>0</v>
      </c>
      <c r="B505" s="1"/>
      <c r="C505" s="1"/>
      <c r="D505" s="1"/>
      <c r="E505" s="1"/>
      <c r="F505" s="1"/>
      <c r="G505" s="1"/>
    </row>
    <row r="506" spans="1:7" ht="23.25" x14ac:dyDescent="0.5">
      <c r="A506" s="2" t="s">
        <v>1</v>
      </c>
      <c r="B506" s="2"/>
      <c r="C506" s="2"/>
      <c r="D506" s="2"/>
      <c r="E506" s="2"/>
      <c r="F506" s="2"/>
      <c r="G506" s="2"/>
    </row>
    <row r="507" spans="1:7" ht="23.25" x14ac:dyDescent="0.5">
      <c r="A507" s="3" t="s">
        <v>2</v>
      </c>
      <c r="B507" s="4"/>
      <c r="C507" s="4"/>
      <c r="D507" s="4"/>
      <c r="E507" s="4"/>
      <c r="F507" s="4"/>
      <c r="G507" s="4"/>
    </row>
    <row r="508" spans="1:7" ht="23.25" x14ac:dyDescent="0.5">
      <c r="A508" s="3" t="s">
        <v>34</v>
      </c>
      <c r="B508" s="4"/>
      <c r="C508" s="4"/>
      <c r="D508" s="4"/>
      <c r="E508" s="4"/>
      <c r="F508" s="4"/>
      <c r="G508" s="4"/>
    </row>
    <row r="509" spans="1:7" ht="23.25" x14ac:dyDescent="0.5">
      <c r="A509" s="4" t="s">
        <v>4</v>
      </c>
      <c r="B509" s="4"/>
      <c r="C509" s="4"/>
      <c r="D509" s="4"/>
      <c r="E509" s="4"/>
      <c r="F509" s="4"/>
      <c r="G509" s="4"/>
    </row>
    <row r="510" spans="1:7" ht="23.25" x14ac:dyDescent="0.5">
      <c r="A510" s="4" t="s">
        <v>118</v>
      </c>
      <c r="B510" s="4"/>
      <c r="C510" s="4"/>
      <c r="D510" s="4"/>
      <c r="E510" s="4"/>
      <c r="F510" s="4"/>
      <c r="G510" s="4"/>
    </row>
    <row r="511" spans="1:7" ht="23.25" x14ac:dyDescent="0.5">
      <c r="A511" s="3"/>
      <c r="B511" s="4"/>
      <c r="C511" s="4"/>
      <c r="D511" s="4"/>
      <c r="E511" s="4"/>
      <c r="F511" s="4"/>
      <c r="G511" s="4"/>
    </row>
    <row r="512" spans="1:7" ht="23.25" x14ac:dyDescent="0.5">
      <c r="A512" s="5" t="s">
        <v>6</v>
      </c>
      <c r="B512" s="6" t="s">
        <v>7</v>
      </c>
      <c r="C512" s="7"/>
      <c r="D512" s="8"/>
      <c r="E512" s="5" t="s">
        <v>8</v>
      </c>
      <c r="F512" s="9" t="s">
        <v>9</v>
      </c>
      <c r="G512" s="10"/>
    </row>
    <row r="513" spans="1:7" ht="23.25" x14ac:dyDescent="0.5">
      <c r="A513" s="11"/>
      <c r="B513" s="12"/>
      <c r="C513" s="13"/>
      <c r="D513" s="14"/>
      <c r="E513" s="11"/>
      <c r="F513" s="9" t="s">
        <v>10</v>
      </c>
      <c r="G513" s="10"/>
    </row>
    <row r="514" spans="1:7" ht="23.25" x14ac:dyDescent="0.5">
      <c r="A514" s="15">
        <v>1</v>
      </c>
      <c r="B514" s="16" t="s">
        <v>119</v>
      </c>
      <c r="C514" s="17"/>
      <c r="D514" s="18"/>
      <c r="E514" s="19" t="s">
        <v>120</v>
      </c>
      <c r="F514" s="20">
        <v>6436.24</v>
      </c>
      <c r="G514" s="21"/>
    </row>
    <row r="515" spans="1:7" ht="23.25" x14ac:dyDescent="0.5">
      <c r="A515" s="22">
        <v>2</v>
      </c>
      <c r="B515" s="16" t="s">
        <v>119</v>
      </c>
      <c r="C515" s="17"/>
      <c r="D515" s="18"/>
      <c r="E515" s="19" t="s">
        <v>121</v>
      </c>
      <c r="F515" s="20">
        <v>2371.88</v>
      </c>
      <c r="G515" s="21"/>
    </row>
    <row r="516" spans="1:7" ht="23.25" x14ac:dyDescent="0.5">
      <c r="A516" s="15">
        <v>3</v>
      </c>
      <c r="B516" s="16" t="s">
        <v>119</v>
      </c>
      <c r="C516" s="17"/>
      <c r="D516" s="18"/>
      <c r="E516" s="19" t="s">
        <v>122</v>
      </c>
      <c r="F516" s="20">
        <v>2806.18</v>
      </c>
      <c r="G516" s="21"/>
    </row>
    <row r="517" spans="1:7" ht="23.25" x14ac:dyDescent="0.5">
      <c r="A517" s="22"/>
      <c r="B517" s="16"/>
      <c r="C517" s="17"/>
      <c r="D517" s="18"/>
      <c r="E517" s="19"/>
      <c r="F517" s="20"/>
      <c r="G517" s="21"/>
    </row>
    <row r="518" spans="1:7" ht="23.25" x14ac:dyDescent="0.5">
      <c r="A518" s="15"/>
      <c r="B518" s="16"/>
      <c r="C518" s="17"/>
      <c r="D518" s="18"/>
      <c r="E518" s="19"/>
      <c r="F518" s="20"/>
      <c r="G518" s="21"/>
    </row>
    <row r="519" spans="1:7" ht="23.25" x14ac:dyDescent="0.5">
      <c r="A519" s="22"/>
      <c r="B519" s="16"/>
      <c r="C519" s="17"/>
      <c r="D519" s="18"/>
      <c r="E519" s="19"/>
      <c r="F519" s="20"/>
      <c r="G519" s="21"/>
    </row>
    <row r="520" spans="1:7" ht="23.25" x14ac:dyDescent="0.5">
      <c r="A520" s="15"/>
      <c r="B520" s="9"/>
      <c r="C520" s="26"/>
      <c r="D520" s="10"/>
      <c r="E520" s="23"/>
      <c r="F520" s="24"/>
      <c r="G520" s="25"/>
    </row>
    <row r="521" spans="1:7" ht="23.25" x14ac:dyDescent="0.5">
      <c r="A521" s="15"/>
      <c r="B521" s="9"/>
      <c r="C521" s="26"/>
      <c r="D521" s="10"/>
      <c r="E521" s="23"/>
      <c r="F521" s="24"/>
      <c r="G521" s="25"/>
    </row>
    <row r="522" spans="1:7" ht="23.25" x14ac:dyDescent="0.5">
      <c r="A522" s="27" t="s">
        <v>14</v>
      </c>
      <c r="B522" s="28"/>
      <c r="C522" s="28"/>
      <c r="D522" s="28"/>
      <c r="E522" s="29"/>
      <c r="F522" s="20">
        <f>SUM(F514:F521)</f>
        <v>11614.3</v>
      </c>
      <c r="G522" s="21"/>
    </row>
    <row r="523" spans="1:7" ht="23.25" x14ac:dyDescent="0.5">
      <c r="A523" s="4"/>
      <c r="B523" s="30" t="str">
        <f>(BAHTTEXT(F522))</f>
        <v>หนึ่งหมื่นหนึ่งพันหกร้อยสิบสี่บาทสามสิบสตางค์</v>
      </c>
      <c r="C523" s="30"/>
      <c r="D523" s="30"/>
      <c r="E523" s="30"/>
      <c r="F523" s="4"/>
      <c r="G523" s="4"/>
    </row>
    <row r="524" spans="1:7" ht="23.25" x14ac:dyDescent="0.5">
      <c r="A524" s="4" t="s">
        <v>37</v>
      </c>
      <c r="B524" s="4"/>
      <c r="C524" s="4"/>
      <c r="D524" s="4"/>
      <c r="E524" s="4"/>
      <c r="F524" s="4"/>
      <c r="G524" s="4"/>
    </row>
    <row r="525" spans="1:7" ht="23.25" x14ac:dyDescent="0.5">
      <c r="A525" s="37" t="s">
        <v>38</v>
      </c>
      <c r="B525" s="37"/>
      <c r="C525" s="37"/>
      <c r="D525" s="37"/>
      <c r="E525" s="37"/>
      <c r="F525" s="37"/>
      <c r="G525" s="37"/>
    </row>
    <row r="526" spans="1:7" ht="23.25" x14ac:dyDescent="0.5">
      <c r="A526" s="4" t="s">
        <v>123</v>
      </c>
      <c r="B526" s="4"/>
      <c r="C526" s="4"/>
      <c r="D526" s="4"/>
      <c r="E526" s="31"/>
      <c r="F526" s="32"/>
      <c r="G526" s="4"/>
    </row>
    <row r="527" spans="1:7" ht="23.25" x14ac:dyDescent="0.5">
      <c r="A527" s="4" t="s">
        <v>18</v>
      </c>
      <c r="B527" s="4"/>
      <c r="C527" s="4"/>
      <c r="D527" s="4"/>
      <c r="E527" s="4"/>
      <c r="F527" s="4"/>
      <c r="G527" s="4"/>
    </row>
    <row r="528" spans="1:7" ht="23.25" x14ac:dyDescent="0.5">
      <c r="A528" s="4"/>
      <c r="B528" s="4"/>
      <c r="C528" s="4"/>
      <c r="D528" s="4"/>
      <c r="E528" s="3" t="s">
        <v>19</v>
      </c>
      <c r="F528" s="3"/>
      <c r="G528" s="4"/>
    </row>
    <row r="529" spans="1:7" ht="23.25" x14ac:dyDescent="0.5">
      <c r="A529" s="4"/>
      <c r="B529" s="4"/>
      <c r="C529" s="4"/>
      <c r="D529" s="4"/>
      <c r="E529" s="33"/>
      <c r="F529" s="33"/>
      <c r="G529" s="33"/>
    </row>
    <row r="530" spans="1:7" ht="23.25" x14ac:dyDescent="0.5">
      <c r="A530" s="4"/>
      <c r="B530" s="4"/>
      <c r="C530" s="4"/>
      <c r="D530" s="4"/>
      <c r="E530" s="33"/>
      <c r="F530" s="33"/>
      <c r="G530" s="33"/>
    </row>
    <row r="531" spans="1:7" ht="23.25" x14ac:dyDescent="0.5">
      <c r="A531" s="33" t="s">
        <v>20</v>
      </c>
      <c r="B531" s="33"/>
      <c r="C531" s="33"/>
      <c r="D531" s="32" t="s">
        <v>21</v>
      </c>
      <c r="E531" s="33" t="s">
        <v>22</v>
      </c>
      <c r="F531" s="33"/>
      <c r="G531" s="33"/>
    </row>
    <row r="532" spans="1:7" ht="23.25" x14ac:dyDescent="0.5">
      <c r="A532" s="34" t="s">
        <v>23</v>
      </c>
      <c r="B532" s="34"/>
      <c r="C532" s="34"/>
      <c r="D532" s="32"/>
      <c r="E532" s="34"/>
      <c r="F532" s="34"/>
      <c r="G532" s="34"/>
    </row>
    <row r="533" spans="1:7" ht="23.25" x14ac:dyDescent="0.5">
      <c r="A533" s="34" t="s">
        <v>24</v>
      </c>
      <c r="B533" s="34"/>
      <c r="C533" s="34"/>
      <c r="D533" s="32"/>
      <c r="E533" s="34"/>
      <c r="F533" s="34"/>
      <c r="G533" s="34"/>
    </row>
    <row r="534" spans="1:7" ht="23.25" x14ac:dyDescent="0.5">
      <c r="A534" s="4"/>
      <c r="B534" s="4"/>
      <c r="C534" s="4"/>
      <c r="D534" s="4"/>
      <c r="E534" s="33" t="s">
        <v>25</v>
      </c>
      <c r="F534" s="33"/>
      <c r="G534" s="33"/>
    </row>
    <row r="535" spans="1:7" ht="20.25" x14ac:dyDescent="0.3">
      <c r="A535" s="35"/>
      <c r="B535" s="35"/>
      <c r="C535" s="35"/>
      <c r="D535" s="35"/>
      <c r="E535" s="35"/>
      <c r="F535" s="35"/>
      <c r="G535" s="35"/>
    </row>
    <row r="536" spans="1:7" ht="29.25" x14ac:dyDescent="0.2">
      <c r="A536" s="1" t="s">
        <v>0</v>
      </c>
      <c r="B536" s="1"/>
      <c r="C536" s="1"/>
      <c r="D536" s="1"/>
      <c r="E536" s="1"/>
      <c r="F536" s="1"/>
      <c r="G536" s="1"/>
    </row>
    <row r="537" spans="1:7" ht="23.25" x14ac:dyDescent="0.5">
      <c r="A537" s="2" t="s">
        <v>1</v>
      </c>
      <c r="B537" s="2"/>
      <c r="C537" s="2"/>
      <c r="D537" s="2"/>
      <c r="E537" s="2"/>
      <c r="F537" s="2"/>
      <c r="G537" s="2"/>
    </row>
    <row r="538" spans="1:7" ht="23.25" x14ac:dyDescent="0.5">
      <c r="A538" s="3" t="s">
        <v>2</v>
      </c>
      <c r="B538" s="4"/>
      <c r="C538" s="4"/>
      <c r="D538" s="4"/>
      <c r="E538" s="4"/>
      <c r="F538" s="4"/>
      <c r="G538" s="4"/>
    </row>
    <row r="539" spans="1:7" ht="23.25" x14ac:dyDescent="0.5">
      <c r="A539" s="3" t="s">
        <v>34</v>
      </c>
      <c r="B539" s="4"/>
      <c r="C539" s="4"/>
      <c r="D539" s="4"/>
      <c r="E539" s="4"/>
      <c r="F539" s="4"/>
      <c r="G539" s="4"/>
    </row>
    <row r="540" spans="1:7" ht="23.25" x14ac:dyDescent="0.5">
      <c r="A540" s="4" t="s">
        <v>4</v>
      </c>
      <c r="B540" s="4"/>
      <c r="C540" s="4"/>
      <c r="D540" s="4"/>
      <c r="E540" s="4"/>
      <c r="F540" s="4"/>
      <c r="G540" s="4"/>
    </row>
    <row r="541" spans="1:7" ht="23.25" x14ac:dyDescent="0.5">
      <c r="A541" s="4" t="s">
        <v>124</v>
      </c>
      <c r="B541" s="4"/>
      <c r="C541" s="4"/>
      <c r="D541" s="4"/>
      <c r="E541" s="4"/>
      <c r="F541" s="4"/>
      <c r="G541" s="4"/>
    </row>
    <row r="542" spans="1:7" ht="23.25" x14ac:dyDescent="0.5">
      <c r="A542" s="3"/>
      <c r="B542" s="4"/>
      <c r="C542" s="4"/>
      <c r="D542" s="4"/>
      <c r="E542" s="4"/>
      <c r="F542" s="4"/>
      <c r="G542" s="4"/>
    </row>
    <row r="543" spans="1:7" ht="23.25" x14ac:dyDescent="0.5">
      <c r="A543" s="5" t="s">
        <v>6</v>
      </c>
      <c r="B543" s="6" t="s">
        <v>7</v>
      </c>
      <c r="C543" s="7"/>
      <c r="D543" s="8"/>
      <c r="E543" s="5" t="s">
        <v>8</v>
      </c>
      <c r="F543" s="9" t="s">
        <v>9</v>
      </c>
      <c r="G543" s="10"/>
    </row>
    <row r="544" spans="1:7" ht="23.25" x14ac:dyDescent="0.5">
      <c r="A544" s="11"/>
      <c r="B544" s="12"/>
      <c r="C544" s="13"/>
      <c r="D544" s="14"/>
      <c r="E544" s="11"/>
      <c r="F544" s="9" t="s">
        <v>10</v>
      </c>
      <c r="G544" s="10"/>
    </row>
    <row r="545" spans="1:7" ht="23.25" x14ac:dyDescent="0.5">
      <c r="A545" s="15">
        <v>1</v>
      </c>
      <c r="B545" s="16" t="s">
        <v>125</v>
      </c>
      <c r="C545" s="17"/>
      <c r="D545" s="18"/>
      <c r="E545" s="19" t="s">
        <v>126</v>
      </c>
      <c r="F545" s="20">
        <v>13576</v>
      </c>
      <c r="G545" s="21"/>
    </row>
    <row r="546" spans="1:7" ht="23.25" x14ac:dyDescent="0.5">
      <c r="A546" s="22"/>
      <c r="B546" s="16"/>
      <c r="C546" s="17"/>
      <c r="D546" s="18"/>
      <c r="E546" s="19"/>
      <c r="F546" s="20"/>
      <c r="G546" s="21"/>
    </row>
    <row r="547" spans="1:7" ht="23.25" x14ac:dyDescent="0.5">
      <c r="A547" s="15"/>
      <c r="B547" s="16"/>
      <c r="C547" s="17"/>
      <c r="D547" s="18"/>
      <c r="E547" s="19"/>
      <c r="F547" s="20"/>
      <c r="G547" s="21"/>
    </row>
    <row r="548" spans="1:7" ht="23.25" x14ac:dyDescent="0.5">
      <c r="A548" s="22"/>
      <c r="B548" s="16"/>
      <c r="C548" s="17"/>
      <c r="D548" s="18"/>
      <c r="E548" s="19"/>
      <c r="F548" s="20"/>
      <c r="G548" s="21"/>
    </row>
    <row r="549" spans="1:7" ht="23.25" x14ac:dyDescent="0.5">
      <c r="A549" s="15"/>
      <c r="B549" s="16"/>
      <c r="C549" s="17"/>
      <c r="D549" s="18"/>
      <c r="E549" s="19"/>
      <c r="F549" s="20"/>
      <c r="G549" s="21"/>
    </row>
    <row r="550" spans="1:7" ht="23.25" x14ac:dyDescent="0.5">
      <c r="A550" s="15"/>
      <c r="B550" s="16"/>
      <c r="C550" s="17"/>
      <c r="D550" s="18"/>
      <c r="E550" s="23"/>
      <c r="F550" s="24"/>
      <c r="G550" s="25"/>
    </row>
    <row r="551" spans="1:7" ht="23.25" x14ac:dyDescent="0.5">
      <c r="A551" s="15"/>
      <c r="B551" s="9"/>
      <c r="C551" s="26"/>
      <c r="D551" s="10"/>
      <c r="E551" s="23"/>
      <c r="F551" s="24"/>
      <c r="G551" s="25"/>
    </row>
    <row r="552" spans="1:7" ht="23.25" x14ac:dyDescent="0.5">
      <c r="A552" s="15"/>
      <c r="B552" s="9"/>
      <c r="C552" s="26"/>
      <c r="D552" s="10"/>
      <c r="E552" s="23"/>
      <c r="F552" s="24"/>
      <c r="G552" s="25"/>
    </row>
    <row r="553" spans="1:7" ht="23.25" x14ac:dyDescent="0.5">
      <c r="A553" s="27" t="s">
        <v>14</v>
      </c>
      <c r="B553" s="28"/>
      <c r="C553" s="28"/>
      <c r="D553" s="28"/>
      <c r="E553" s="29"/>
      <c r="F553" s="20">
        <f>SUM(F545:F552)</f>
        <v>13576</v>
      </c>
      <c r="G553" s="21"/>
    </row>
    <row r="554" spans="1:7" ht="23.25" x14ac:dyDescent="0.5">
      <c r="A554" s="4"/>
      <c r="B554" s="30" t="str">
        <f>(BAHTTEXT(F553))</f>
        <v>หนึ่งหมื่นสามพันห้าร้อยเจ็ดสิบหกบาทถ้วน</v>
      </c>
      <c r="C554" s="30"/>
      <c r="D554" s="30"/>
      <c r="E554" s="30"/>
      <c r="F554" s="4"/>
      <c r="G554" s="4"/>
    </row>
    <row r="555" spans="1:7" ht="23.25" x14ac:dyDescent="0.5">
      <c r="A555" s="4" t="s">
        <v>37</v>
      </c>
      <c r="B555" s="4"/>
      <c r="C555" s="4"/>
      <c r="D555" s="4"/>
      <c r="E555" s="4"/>
      <c r="F555" s="4"/>
      <c r="G555" s="4"/>
    </row>
    <row r="556" spans="1:7" ht="23.25" x14ac:dyDescent="0.5">
      <c r="A556" s="37" t="s">
        <v>38</v>
      </c>
      <c r="B556" s="37"/>
      <c r="C556" s="37"/>
      <c r="D556" s="37"/>
      <c r="E556" s="37"/>
      <c r="F556" s="37"/>
      <c r="G556" s="37"/>
    </row>
    <row r="557" spans="1:7" ht="23.25" x14ac:dyDescent="0.5">
      <c r="A557" s="4" t="s">
        <v>127</v>
      </c>
      <c r="B557" s="4"/>
      <c r="C557" s="4"/>
      <c r="D557" s="4"/>
      <c r="E557" s="31"/>
      <c r="F557" s="32"/>
      <c r="G557" s="4"/>
    </row>
    <row r="558" spans="1:7" ht="23.25" x14ac:dyDescent="0.5">
      <c r="A558" s="4" t="s">
        <v>18</v>
      </c>
      <c r="B558" s="4"/>
      <c r="C558" s="4"/>
      <c r="D558" s="4"/>
      <c r="E558" s="4"/>
      <c r="F558" s="4"/>
      <c r="G558" s="4"/>
    </row>
    <row r="559" spans="1:7" ht="23.25" x14ac:dyDescent="0.5">
      <c r="A559" s="4"/>
      <c r="B559" s="4"/>
      <c r="C559" s="4"/>
      <c r="D559" s="4"/>
      <c r="E559" s="3" t="s">
        <v>19</v>
      </c>
      <c r="F559" s="3"/>
      <c r="G559" s="4"/>
    </row>
    <row r="560" spans="1:7" ht="23.25" x14ac:dyDescent="0.5">
      <c r="A560" s="4"/>
      <c r="B560" s="4"/>
      <c r="C560" s="4"/>
      <c r="D560" s="4"/>
      <c r="E560" s="33"/>
      <c r="F560" s="33"/>
      <c r="G560" s="33"/>
    </row>
    <row r="561" spans="1:7" ht="23.25" x14ac:dyDescent="0.5">
      <c r="A561" s="4"/>
      <c r="B561" s="4"/>
      <c r="C561" s="4"/>
      <c r="D561" s="4"/>
      <c r="E561" s="33"/>
      <c r="F561" s="33"/>
      <c r="G561" s="33"/>
    </row>
    <row r="562" spans="1:7" ht="23.25" x14ac:dyDescent="0.5">
      <c r="A562" s="33" t="s">
        <v>20</v>
      </c>
      <c r="B562" s="33"/>
      <c r="C562" s="33"/>
      <c r="D562" s="32" t="s">
        <v>21</v>
      </c>
      <c r="E562" s="33" t="s">
        <v>22</v>
      </c>
      <c r="F562" s="33"/>
      <c r="G562" s="33"/>
    </row>
    <row r="563" spans="1:7" ht="23.25" x14ac:dyDescent="0.5">
      <c r="A563" s="34" t="s">
        <v>23</v>
      </c>
      <c r="B563" s="34"/>
      <c r="C563" s="34"/>
      <c r="D563" s="32"/>
      <c r="E563" s="34"/>
      <c r="F563" s="34"/>
      <c r="G563" s="34"/>
    </row>
    <row r="564" spans="1:7" ht="23.25" x14ac:dyDescent="0.5">
      <c r="A564" s="34" t="s">
        <v>24</v>
      </c>
      <c r="B564" s="34"/>
      <c r="C564" s="34"/>
      <c r="D564" s="32"/>
      <c r="E564" s="34"/>
      <c r="F564" s="34"/>
      <c r="G564" s="34"/>
    </row>
    <row r="565" spans="1:7" ht="23.25" x14ac:dyDescent="0.5">
      <c r="A565" s="4"/>
      <c r="B565" s="4"/>
      <c r="C565" s="4"/>
      <c r="D565" s="4"/>
      <c r="E565" s="33" t="s">
        <v>25</v>
      </c>
      <c r="F565" s="33"/>
      <c r="G565" s="33"/>
    </row>
    <row r="566" spans="1:7" ht="29.25" x14ac:dyDescent="0.2">
      <c r="A566" s="1" t="s">
        <v>0</v>
      </c>
      <c r="B566" s="1"/>
      <c r="C566" s="1"/>
      <c r="D566" s="1"/>
      <c r="E566" s="1"/>
      <c r="F566" s="1"/>
      <c r="G566" s="1"/>
    </row>
    <row r="567" spans="1:7" ht="23.25" x14ac:dyDescent="0.5">
      <c r="A567" s="2" t="s">
        <v>1</v>
      </c>
      <c r="B567" s="2"/>
      <c r="C567" s="2"/>
      <c r="D567" s="2"/>
      <c r="E567" s="2"/>
      <c r="F567" s="2"/>
      <c r="G567" s="2"/>
    </row>
    <row r="568" spans="1:7" ht="23.25" x14ac:dyDescent="0.5">
      <c r="A568" s="3" t="s">
        <v>2</v>
      </c>
      <c r="B568" s="4"/>
      <c r="C568" s="4"/>
      <c r="D568" s="4"/>
      <c r="E568" s="4"/>
      <c r="F568" s="4"/>
      <c r="G568" s="4"/>
    </row>
    <row r="569" spans="1:7" ht="23.25" x14ac:dyDescent="0.5">
      <c r="A569" s="3" t="s">
        <v>128</v>
      </c>
      <c r="B569" s="4"/>
      <c r="C569" s="4"/>
      <c r="D569" s="4"/>
      <c r="E569" s="4"/>
      <c r="F569" s="4"/>
      <c r="G569" s="4"/>
    </row>
    <row r="570" spans="1:7" ht="23.25" x14ac:dyDescent="0.5">
      <c r="A570" s="4" t="s">
        <v>4</v>
      </c>
      <c r="B570" s="4"/>
      <c r="C570" s="4"/>
      <c r="D570" s="4"/>
      <c r="E570" s="4"/>
      <c r="F570" s="4"/>
      <c r="G570" s="4"/>
    </row>
    <row r="571" spans="1:7" ht="23.25" x14ac:dyDescent="0.5">
      <c r="A571" s="4" t="s">
        <v>129</v>
      </c>
      <c r="B571" s="4"/>
      <c r="C571" s="4"/>
      <c r="D571" s="4"/>
      <c r="E571" s="4"/>
      <c r="F571" s="4"/>
      <c r="G571" s="4"/>
    </row>
    <row r="572" spans="1:7" ht="23.25" x14ac:dyDescent="0.5">
      <c r="A572" s="3"/>
      <c r="B572" s="4"/>
      <c r="C572" s="4"/>
      <c r="D572" s="4"/>
      <c r="E572" s="4"/>
      <c r="F572" s="4"/>
      <c r="G572" s="4"/>
    </row>
    <row r="573" spans="1:7" ht="23.25" x14ac:dyDescent="0.5">
      <c r="A573" s="5" t="s">
        <v>6</v>
      </c>
      <c r="B573" s="6" t="s">
        <v>7</v>
      </c>
      <c r="C573" s="7"/>
      <c r="D573" s="8"/>
      <c r="E573" s="5" t="s">
        <v>8</v>
      </c>
      <c r="F573" s="9" t="s">
        <v>9</v>
      </c>
      <c r="G573" s="10"/>
    </row>
    <row r="574" spans="1:7" ht="23.25" x14ac:dyDescent="0.5">
      <c r="A574" s="11"/>
      <c r="B574" s="12"/>
      <c r="C574" s="13"/>
      <c r="D574" s="14"/>
      <c r="E574" s="11"/>
      <c r="F574" s="9" t="s">
        <v>10</v>
      </c>
      <c r="G574" s="10"/>
    </row>
    <row r="575" spans="1:7" ht="23.25" x14ac:dyDescent="0.5">
      <c r="A575" s="15">
        <v>1</v>
      </c>
      <c r="B575" s="16" t="s">
        <v>130</v>
      </c>
      <c r="C575" s="17"/>
      <c r="D575" s="18"/>
      <c r="E575" s="19"/>
      <c r="F575" s="20">
        <v>100000</v>
      </c>
      <c r="G575" s="21"/>
    </row>
    <row r="576" spans="1:7" ht="23.25" x14ac:dyDescent="0.5">
      <c r="A576" s="22"/>
      <c r="B576" s="16"/>
      <c r="C576" s="17"/>
      <c r="D576" s="18"/>
      <c r="E576" s="15"/>
      <c r="F576" s="20"/>
      <c r="G576" s="21"/>
    </row>
    <row r="577" spans="1:7" ht="23.25" x14ac:dyDescent="0.5">
      <c r="A577" s="15"/>
      <c r="B577" s="16"/>
      <c r="C577" s="17"/>
      <c r="D577" s="18"/>
      <c r="E577" s="23"/>
      <c r="F577" s="24"/>
      <c r="G577" s="25"/>
    </row>
    <row r="578" spans="1:7" ht="23.25" x14ac:dyDescent="0.5">
      <c r="A578" s="15"/>
      <c r="B578" s="16"/>
      <c r="C578" s="17"/>
      <c r="D578" s="18"/>
      <c r="E578" s="23"/>
      <c r="F578" s="20"/>
      <c r="G578" s="21"/>
    </row>
    <row r="579" spans="1:7" ht="23.25" x14ac:dyDescent="0.5">
      <c r="A579" s="15"/>
      <c r="B579" s="16"/>
      <c r="C579" s="17"/>
      <c r="D579" s="18"/>
      <c r="E579" s="23"/>
      <c r="F579" s="24"/>
      <c r="G579" s="25"/>
    </row>
    <row r="580" spans="1:7" ht="23.25" x14ac:dyDescent="0.5">
      <c r="A580" s="15"/>
      <c r="B580" s="16"/>
      <c r="C580" s="17"/>
      <c r="D580" s="18"/>
      <c r="E580" s="23"/>
      <c r="F580" s="24"/>
      <c r="G580" s="25"/>
    </row>
    <row r="581" spans="1:7" ht="23.25" x14ac:dyDescent="0.5">
      <c r="A581" s="15"/>
      <c r="B581" s="9"/>
      <c r="C581" s="26"/>
      <c r="D581" s="10"/>
      <c r="E581" s="23"/>
      <c r="F581" s="24"/>
      <c r="G581" s="25"/>
    </row>
    <row r="582" spans="1:7" ht="23.25" x14ac:dyDescent="0.5">
      <c r="A582" s="15"/>
      <c r="B582" s="9"/>
      <c r="C582" s="26"/>
      <c r="D582" s="10"/>
      <c r="E582" s="23"/>
      <c r="F582" s="24"/>
      <c r="G582" s="25"/>
    </row>
    <row r="583" spans="1:7" ht="23.25" x14ac:dyDescent="0.5">
      <c r="A583" s="27" t="s">
        <v>14</v>
      </c>
      <c r="B583" s="28"/>
      <c r="C583" s="28"/>
      <c r="D583" s="28"/>
      <c r="E583" s="29"/>
      <c r="F583" s="20">
        <f>F575-F578</f>
        <v>100000</v>
      </c>
      <c r="G583" s="21"/>
    </row>
    <row r="584" spans="1:7" ht="23.25" x14ac:dyDescent="0.5">
      <c r="A584" s="4"/>
      <c r="B584" s="30" t="str">
        <f>(BAHTTEXT(F583))</f>
        <v>หนึ่งแสนบาทถ้วน</v>
      </c>
      <c r="C584" s="30"/>
      <c r="D584" s="30"/>
      <c r="E584" s="30"/>
      <c r="F584" s="4"/>
      <c r="G584" s="4"/>
    </row>
    <row r="585" spans="1:7" ht="23.25" x14ac:dyDescent="0.5">
      <c r="A585" s="4" t="s">
        <v>131</v>
      </c>
      <c r="B585" s="4"/>
      <c r="C585" s="4"/>
      <c r="D585" s="4"/>
      <c r="E585" s="4"/>
      <c r="F585" s="4"/>
      <c r="G585" s="4"/>
    </row>
    <row r="586" spans="1:7" ht="23.25" x14ac:dyDescent="0.5">
      <c r="A586" s="4" t="s">
        <v>132</v>
      </c>
      <c r="B586" s="4"/>
      <c r="C586" s="4"/>
      <c r="D586" s="4"/>
      <c r="E586" s="4"/>
      <c r="F586" s="4"/>
      <c r="G586" s="4"/>
    </row>
    <row r="587" spans="1:7" ht="23.25" x14ac:dyDescent="0.5">
      <c r="A587" s="4" t="s">
        <v>133</v>
      </c>
      <c r="B587" s="4"/>
      <c r="C587" s="4"/>
      <c r="D587" s="4"/>
      <c r="E587" s="31"/>
      <c r="F587" s="32"/>
      <c r="G587" s="4"/>
    </row>
    <row r="588" spans="1:7" ht="23.25" x14ac:dyDescent="0.5">
      <c r="A588" s="4" t="s">
        <v>18</v>
      </c>
      <c r="B588" s="4"/>
      <c r="C588" s="4"/>
      <c r="D588" s="4"/>
      <c r="E588" s="4"/>
      <c r="F588" s="4"/>
      <c r="G588" s="4"/>
    </row>
    <row r="589" spans="1:7" ht="23.25" x14ac:dyDescent="0.5">
      <c r="A589" s="4"/>
      <c r="B589" s="4"/>
      <c r="C589" s="4"/>
      <c r="D589" s="4"/>
      <c r="E589" s="3" t="s">
        <v>19</v>
      </c>
      <c r="F589" s="3"/>
      <c r="G589" s="4"/>
    </row>
    <row r="590" spans="1:7" ht="23.25" x14ac:dyDescent="0.5">
      <c r="A590" s="4"/>
      <c r="B590" s="4"/>
      <c r="C590" s="4"/>
      <c r="D590" s="4"/>
      <c r="E590" s="33"/>
      <c r="F590" s="33"/>
      <c r="G590" s="33"/>
    </row>
    <row r="591" spans="1:7" ht="23.25" x14ac:dyDescent="0.5">
      <c r="A591" s="4"/>
      <c r="B591" s="4"/>
      <c r="C591" s="4"/>
      <c r="D591" s="4"/>
      <c r="E591" s="33"/>
      <c r="F591" s="33"/>
      <c r="G591" s="33"/>
    </row>
    <row r="592" spans="1:7" ht="23.25" x14ac:dyDescent="0.5">
      <c r="A592" s="33" t="s">
        <v>20</v>
      </c>
      <c r="B592" s="33"/>
      <c r="C592" s="33"/>
      <c r="D592" s="32" t="s">
        <v>21</v>
      </c>
      <c r="E592" s="33" t="s">
        <v>22</v>
      </c>
      <c r="F592" s="33"/>
      <c r="G592" s="33"/>
    </row>
    <row r="593" spans="1:7" ht="23.25" x14ac:dyDescent="0.5">
      <c r="A593" s="34" t="s">
        <v>23</v>
      </c>
      <c r="B593" s="34"/>
      <c r="C593" s="34"/>
      <c r="D593" s="32"/>
      <c r="E593" s="34"/>
      <c r="F593" s="34"/>
      <c r="G593" s="34"/>
    </row>
    <row r="594" spans="1:7" ht="23.25" x14ac:dyDescent="0.5">
      <c r="A594" s="34" t="s">
        <v>24</v>
      </c>
      <c r="B594" s="34"/>
      <c r="C594" s="34"/>
      <c r="D594" s="32"/>
      <c r="E594" s="34"/>
      <c r="F594" s="34"/>
      <c r="G594" s="34"/>
    </row>
    <row r="595" spans="1:7" ht="23.25" x14ac:dyDescent="0.5">
      <c r="A595" s="4"/>
      <c r="B595" s="4"/>
      <c r="C595" s="4"/>
      <c r="D595" s="4"/>
      <c r="E595" s="33" t="s">
        <v>25</v>
      </c>
      <c r="F595" s="33"/>
      <c r="G595" s="33"/>
    </row>
    <row r="596" spans="1:7" ht="29.25" x14ac:dyDescent="0.2">
      <c r="A596" s="1" t="s">
        <v>0</v>
      </c>
      <c r="B596" s="1"/>
      <c r="C596" s="1"/>
      <c r="D596" s="1"/>
      <c r="E596" s="1"/>
      <c r="F596" s="1"/>
      <c r="G596" s="1"/>
    </row>
    <row r="597" spans="1:7" ht="23.25" x14ac:dyDescent="0.5">
      <c r="A597" s="2" t="s">
        <v>1</v>
      </c>
      <c r="B597" s="2"/>
      <c r="C597" s="2"/>
      <c r="D597" s="2"/>
      <c r="E597" s="2"/>
      <c r="F597" s="2"/>
      <c r="G597" s="2"/>
    </row>
    <row r="598" spans="1:7" ht="23.25" x14ac:dyDescent="0.5">
      <c r="A598" s="3" t="s">
        <v>2</v>
      </c>
      <c r="B598" s="4"/>
      <c r="C598" s="4"/>
      <c r="D598" s="4"/>
      <c r="E598" s="4"/>
      <c r="F598" s="4"/>
      <c r="G598" s="4"/>
    </row>
    <row r="599" spans="1:7" ht="23.25" x14ac:dyDescent="0.5">
      <c r="A599" s="3" t="s">
        <v>34</v>
      </c>
      <c r="B599" s="4"/>
      <c r="C599" s="4"/>
      <c r="D599" s="4"/>
      <c r="E599" s="4"/>
      <c r="F599" s="4"/>
      <c r="G599" s="4"/>
    </row>
    <row r="600" spans="1:7" ht="23.25" x14ac:dyDescent="0.5">
      <c r="A600" s="4" t="s">
        <v>4</v>
      </c>
      <c r="B600" s="4"/>
      <c r="C600" s="4"/>
      <c r="D600" s="4"/>
      <c r="E600" s="4"/>
      <c r="F600" s="4"/>
      <c r="G600" s="4"/>
    </row>
    <row r="601" spans="1:7" ht="23.25" x14ac:dyDescent="0.5">
      <c r="A601" s="4" t="s">
        <v>124</v>
      </c>
      <c r="B601" s="4"/>
      <c r="C601" s="4"/>
      <c r="D601" s="4"/>
      <c r="E601" s="4"/>
      <c r="F601" s="4"/>
      <c r="G601" s="4"/>
    </row>
    <row r="602" spans="1:7" ht="23.25" x14ac:dyDescent="0.5">
      <c r="A602" s="3"/>
      <c r="B602" s="4"/>
      <c r="C602" s="4"/>
      <c r="D602" s="4"/>
      <c r="E602" s="4"/>
      <c r="F602" s="4"/>
      <c r="G602" s="4"/>
    </row>
    <row r="603" spans="1:7" ht="23.25" x14ac:dyDescent="0.5">
      <c r="A603" s="5" t="s">
        <v>6</v>
      </c>
      <c r="B603" s="6" t="s">
        <v>7</v>
      </c>
      <c r="C603" s="7"/>
      <c r="D603" s="8"/>
      <c r="E603" s="5" t="s">
        <v>8</v>
      </c>
      <c r="F603" s="9" t="s">
        <v>9</v>
      </c>
      <c r="G603" s="10"/>
    </row>
    <row r="604" spans="1:7" ht="23.25" x14ac:dyDescent="0.5">
      <c r="A604" s="11"/>
      <c r="B604" s="12"/>
      <c r="C604" s="13"/>
      <c r="D604" s="14"/>
      <c r="E604" s="11"/>
      <c r="F604" s="9" t="s">
        <v>10</v>
      </c>
      <c r="G604" s="10"/>
    </row>
    <row r="605" spans="1:7" ht="23.25" x14ac:dyDescent="0.5">
      <c r="A605" s="15">
        <v>1</v>
      </c>
      <c r="B605" s="16" t="s">
        <v>134</v>
      </c>
      <c r="C605" s="17"/>
      <c r="D605" s="18"/>
      <c r="E605" s="19" t="s">
        <v>126</v>
      </c>
      <c r="F605" s="20">
        <v>1400</v>
      </c>
      <c r="G605" s="21"/>
    </row>
    <row r="606" spans="1:7" ht="23.25" x14ac:dyDescent="0.5">
      <c r="A606" s="22">
        <v>2</v>
      </c>
      <c r="B606" s="16" t="s">
        <v>134</v>
      </c>
      <c r="C606" s="17"/>
      <c r="D606" s="18"/>
      <c r="E606" s="19" t="s">
        <v>135</v>
      </c>
      <c r="F606" s="20">
        <v>2611.8200000000002</v>
      </c>
      <c r="G606" s="21"/>
    </row>
    <row r="607" spans="1:7" ht="23.25" x14ac:dyDescent="0.5">
      <c r="A607" s="15">
        <v>3</v>
      </c>
      <c r="B607" s="16" t="s">
        <v>134</v>
      </c>
      <c r="C607" s="17"/>
      <c r="D607" s="18"/>
      <c r="E607" s="19" t="s">
        <v>120</v>
      </c>
      <c r="F607" s="20">
        <v>7781.28</v>
      </c>
      <c r="G607" s="21"/>
    </row>
    <row r="608" spans="1:7" ht="23.25" x14ac:dyDescent="0.5">
      <c r="A608" s="22"/>
      <c r="B608" s="16"/>
      <c r="C608" s="17"/>
      <c r="D608" s="18"/>
      <c r="E608" s="19"/>
      <c r="F608" s="20"/>
      <c r="G608" s="21"/>
    </row>
    <row r="609" spans="1:7" ht="23.25" x14ac:dyDescent="0.5">
      <c r="A609" s="15"/>
      <c r="B609" s="16"/>
      <c r="C609" s="17"/>
      <c r="D609" s="18"/>
      <c r="E609" s="19"/>
      <c r="F609" s="20"/>
      <c r="G609" s="21"/>
    </row>
    <row r="610" spans="1:7" ht="23.25" x14ac:dyDescent="0.5">
      <c r="A610" s="22"/>
      <c r="B610" s="16"/>
      <c r="C610" s="17"/>
      <c r="D610" s="18"/>
      <c r="E610" s="19"/>
      <c r="F610" s="20"/>
      <c r="G610" s="21"/>
    </row>
    <row r="611" spans="1:7" ht="23.25" x14ac:dyDescent="0.5">
      <c r="A611" s="15"/>
      <c r="B611" s="16"/>
      <c r="C611" s="17"/>
      <c r="D611" s="18"/>
      <c r="E611" s="19"/>
      <c r="F611" s="20"/>
      <c r="G611" s="21"/>
    </row>
    <row r="612" spans="1:7" ht="23.25" x14ac:dyDescent="0.5">
      <c r="A612" s="15"/>
      <c r="B612" s="9"/>
      <c r="C612" s="26"/>
      <c r="D612" s="10"/>
      <c r="E612" s="23"/>
      <c r="F612" s="24"/>
      <c r="G612" s="25"/>
    </row>
    <row r="613" spans="1:7" ht="23.25" x14ac:dyDescent="0.5">
      <c r="A613" s="27" t="s">
        <v>14</v>
      </c>
      <c r="B613" s="28"/>
      <c r="C613" s="28"/>
      <c r="D613" s="28"/>
      <c r="E613" s="29"/>
      <c r="F613" s="20">
        <f>SUM(F605:F612)</f>
        <v>11793.1</v>
      </c>
      <c r="G613" s="21"/>
    </row>
    <row r="614" spans="1:7" ht="23.25" x14ac:dyDescent="0.5">
      <c r="A614" s="4"/>
      <c r="B614" s="30" t="str">
        <f>(BAHTTEXT(F613))</f>
        <v>หนึ่งหมื่นหนึ่งพันเจ็ดร้อยเก้าสิบสามบาทสิบสตางค์</v>
      </c>
      <c r="C614" s="30"/>
      <c r="D614" s="30"/>
      <c r="E614" s="30"/>
      <c r="F614" s="4"/>
      <c r="G614" s="4"/>
    </row>
    <row r="615" spans="1:7" ht="23.25" x14ac:dyDescent="0.5">
      <c r="A615" s="4" t="s">
        <v>37</v>
      </c>
      <c r="B615" s="4"/>
      <c r="C615" s="4"/>
      <c r="D615" s="4"/>
      <c r="E615" s="4"/>
      <c r="F615" s="4"/>
      <c r="G615" s="4"/>
    </row>
    <row r="616" spans="1:7" ht="23.25" x14ac:dyDescent="0.5">
      <c r="A616" s="37" t="s">
        <v>38</v>
      </c>
      <c r="B616" s="37"/>
      <c r="C616" s="37"/>
      <c r="D616" s="37"/>
      <c r="E616" s="37"/>
      <c r="F616" s="37"/>
      <c r="G616" s="37"/>
    </row>
    <row r="617" spans="1:7" ht="23.25" x14ac:dyDescent="0.5">
      <c r="A617" s="4" t="s">
        <v>136</v>
      </c>
      <c r="B617" s="4"/>
      <c r="C617" s="4"/>
      <c r="D617" s="4"/>
      <c r="E617" s="31"/>
      <c r="F617" s="32"/>
      <c r="G617" s="4"/>
    </row>
    <row r="618" spans="1:7" ht="23.25" x14ac:dyDescent="0.5">
      <c r="A618" s="4" t="s">
        <v>18</v>
      </c>
      <c r="B618" s="4"/>
      <c r="C618" s="4"/>
      <c r="D618" s="4"/>
      <c r="E618" s="4"/>
      <c r="F618" s="4"/>
      <c r="G618" s="4"/>
    </row>
    <row r="619" spans="1:7" ht="23.25" x14ac:dyDescent="0.5">
      <c r="A619" s="4"/>
      <c r="B619" s="4"/>
      <c r="C619" s="4"/>
      <c r="D619" s="4"/>
      <c r="E619" s="3" t="s">
        <v>19</v>
      </c>
      <c r="F619" s="3"/>
      <c r="G619" s="4"/>
    </row>
    <row r="620" spans="1:7" ht="23.25" x14ac:dyDescent="0.5">
      <c r="A620" s="4"/>
      <c r="B620" s="4"/>
      <c r="C620" s="4"/>
      <c r="D620" s="4"/>
      <c r="E620" s="33"/>
      <c r="F620" s="33"/>
      <c r="G620" s="33"/>
    </row>
    <row r="621" spans="1:7" ht="23.25" x14ac:dyDescent="0.5">
      <c r="A621" s="4"/>
      <c r="B621" s="4"/>
      <c r="C621" s="4"/>
      <c r="D621" s="4"/>
      <c r="E621" s="33"/>
      <c r="F621" s="33"/>
      <c r="G621" s="33"/>
    </row>
    <row r="622" spans="1:7" ht="23.25" x14ac:dyDescent="0.5">
      <c r="A622" s="33" t="s">
        <v>20</v>
      </c>
      <c r="B622" s="33"/>
      <c r="C622" s="33"/>
      <c r="D622" s="32" t="s">
        <v>21</v>
      </c>
      <c r="E622" s="33" t="s">
        <v>22</v>
      </c>
      <c r="F622" s="33"/>
      <c r="G622" s="33"/>
    </row>
    <row r="623" spans="1:7" ht="23.25" x14ac:dyDescent="0.5">
      <c r="A623" s="34" t="s">
        <v>23</v>
      </c>
      <c r="B623" s="34"/>
      <c r="C623" s="34"/>
      <c r="D623" s="32"/>
      <c r="E623" s="34"/>
      <c r="F623" s="34"/>
      <c r="G623" s="34"/>
    </row>
    <row r="624" spans="1:7" ht="23.25" x14ac:dyDescent="0.5">
      <c r="A624" s="34" t="s">
        <v>24</v>
      </c>
      <c r="B624" s="34"/>
      <c r="C624" s="34"/>
      <c r="D624" s="32"/>
      <c r="E624" s="34"/>
      <c r="F624" s="34"/>
      <c r="G624" s="34"/>
    </row>
    <row r="625" spans="1:7" ht="23.25" x14ac:dyDescent="0.5">
      <c r="A625" s="4"/>
      <c r="B625" s="4"/>
      <c r="C625" s="4"/>
      <c r="D625" s="4"/>
      <c r="E625" s="33" t="s">
        <v>25</v>
      </c>
      <c r="F625" s="33"/>
      <c r="G625" s="33"/>
    </row>
    <row r="626" spans="1:7" ht="29.25" x14ac:dyDescent="0.2">
      <c r="A626" s="1" t="s">
        <v>0</v>
      </c>
      <c r="B626" s="1"/>
      <c r="C626" s="1"/>
      <c r="D626" s="1"/>
      <c r="E626" s="1"/>
      <c r="F626" s="1"/>
      <c r="G626" s="1"/>
    </row>
    <row r="627" spans="1:7" ht="23.25" x14ac:dyDescent="0.5">
      <c r="A627" s="2" t="s">
        <v>1</v>
      </c>
      <c r="B627" s="2"/>
      <c r="C627" s="2"/>
      <c r="D627" s="2"/>
      <c r="E627" s="2"/>
      <c r="F627" s="2"/>
      <c r="G627" s="2"/>
    </row>
    <row r="628" spans="1:7" ht="23.25" x14ac:dyDescent="0.5">
      <c r="A628" s="3" t="s">
        <v>2</v>
      </c>
      <c r="B628" s="4"/>
      <c r="C628" s="4"/>
      <c r="D628" s="4"/>
      <c r="E628" s="4"/>
      <c r="F628" s="4"/>
      <c r="G628" s="4"/>
    </row>
    <row r="629" spans="1:7" ht="23.25" x14ac:dyDescent="0.5">
      <c r="A629" s="3" t="s">
        <v>137</v>
      </c>
      <c r="B629" s="4"/>
      <c r="C629" s="4"/>
      <c r="D629" s="4"/>
      <c r="E629" s="4"/>
      <c r="F629" s="4"/>
      <c r="G629" s="4"/>
    </row>
    <row r="630" spans="1:7" ht="23.25" x14ac:dyDescent="0.5">
      <c r="A630" s="4" t="s">
        <v>4</v>
      </c>
      <c r="B630" s="4"/>
      <c r="C630" s="4"/>
      <c r="D630" s="4"/>
      <c r="E630" s="4"/>
      <c r="F630" s="4"/>
      <c r="G630" s="4"/>
    </row>
    <row r="631" spans="1:7" ht="23.25" x14ac:dyDescent="0.5">
      <c r="A631" s="4" t="s">
        <v>138</v>
      </c>
      <c r="B631" s="4"/>
      <c r="C631" s="4"/>
      <c r="D631" s="4"/>
      <c r="E631" s="4"/>
      <c r="F631" s="4"/>
      <c r="G631" s="4"/>
    </row>
    <row r="632" spans="1:7" ht="23.25" x14ac:dyDescent="0.5">
      <c r="A632" s="3"/>
      <c r="B632" s="4"/>
      <c r="C632" s="4"/>
      <c r="D632" s="4"/>
      <c r="E632" s="4"/>
      <c r="F632" s="4"/>
      <c r="G632" s="4"/>
    </row>
    <row r="633" spans="1:7" ht="23.25" x14ac:dyDescent="0.5">
      <c r="A633" s="5" t="s">
        <v>6</v>
      </c>
      <c r="B633" s="6" t="s">
        <v>7</v>
      </c>
      <c r="C633" s="7"/>
      <c r="D633" s="8"/>
      <c r="E633" s="5" t="s">
        <v>8</v>
      </c>
      <c r="F633" s="9" t="s">
        <v>9</v>
      </c>
      <c r="G633" s="10"/>
    </row>
    <row r="634" spans="1:7" ht="23.25" x14ac:dyDescent="0.5">
      <c r="A634" s="11"/>
      <c r="B634" s="12"/>
      <c r="C634" s="13"/>
      <c r="D634" s="14"/>
      <c r="E634" s="11"/>
      <c r="F634" s="9" t="s">
        <v>10</v>
      </c>
      <c r="G634" s="10"/>
    </row>
    <row r="635" spans="1:7" ht="23.25" x14ac:dyDescent="0.5">
      <c r="A635" s="15">
        <v>1</v>
      </c>
      <c r="B635" s="16" t="s">
        <v>139</v>
      </c>
      <c r="C635" s="17"/>
      <c r="D635" s="18"/>
      <c r="E635" s="19"/>
      <c r="F635" s="20">
        <v>50000</v>
      </c>
      <c r="G635" s="21"/>
    </row>
    <row r="636" spans="1:7" ht="23.25" x14ac:dyDescent="0.5">
      <c r="A636" s="22"/>
      <c r="B636" s="16"/>
      <c r="C636" s="17"/>
      <c r="D636" s="18"/>
      <c r="E636" s="15"/>
      <c r="F636" s="20"/>
      <c r="G636" s="21"/>
    </row>
    <row r="637" spans="1:7" ht="23.25" x14ac:dyDescent="0.5">
      <c r="A637" s="15"/>
      <c r="B637" s="16"/>
      <c r="C637" s="17"/>
      <c r="D637" s="18"/>
      <c r="E637" s="23"/>
      <c r="F637" s="24"/>
      <c r="G637" s="25"/>
    </row>
    <row r="638" spans="1:7" ht="23.25" x14ac:dyDescent="0.5">
      <c r="A638" s="15"/>
      <c r="B638" s="16" t="s">
        <v>30</v>
      </c>
      <c r="C638" s="17"/>
      <c r="D638" s="18"/>
      <c r="E638" s="23"/>
      <c r="F638" s="20">
        <v>467.29</v>
      </c>
      <c r="G638" s="21"/>
    </row>
    <row r="639" spans="1:7" ht="23.25" x14ac:dyDescent="0.5">
      <c r="A639" s="15"/>
      <c r="B639" s="16"/>
      <c r="C639" s="17"/>
      <c r="D639" s="18"/>
      <c r="E639" s="23"/>
      <c r="F639" s="24"/>
      <c r="G639" s="25"/>
    </row>
    <row r="640" spans="1:7" ht="23.25" x14ac:dyDescent="0.5">
      <c r="A640" s="15"/>
      <c r="B640" s="16"/>
      <c r="C640" s="17"/>
      <c r="D640" s="18"/>
      <c r="E640" s="23"/>
      <c r="F640" s="24"/>
      <c r="G640" s="25"/>
    </row>
    <row r="641" spans="1:7" ht="23.25" x14ac:dyDescent="0.5">
      <c r="A641" s="15"/>
      <c r="B641" s="9"/>
      <c r="C641" s="26"/>
      <c r="D641" s="10"/>
      <c r="E641" s="23"/>
      <c r="F641" s="24"/>
      <c r="G641" s="25"/>
    </row>
    <row r="642" spans="1:7" ht="23.25" x14ac:dyDescent="0.5">
      <c r="A642" s="15"/>
      <c r="B642" s="9"/>
      <c r="C642" s="26"/>
      <c r="D642" s="10"/>
      <c r="E642" s="23"/>
      <c r="F642" s="24"/>
      <c r="G642" s="25"/>
    </row>
    <row r="643" spans="1:7" ht="23.25" x14ac:dyDescent="0.5">
      <c r="A643" s="27" t="s">
        <v>14</v>
      </c>
      <c r="B643" s="28"/>
      <c r="C643" s="28"/>
      <c r="D643" s="28"/>
      <c r="E643" s="29"/>
      <c r="F643" s="20">
        <v>49532.71</v>
      </c>
      <c r="G643" s="21"/>
    </row>
    <row r="644" spans="1:7" ht="23.25" x14ac:dyDescent="0.5">
      <c r="A644" s="4"/>
      <c r="B644" s="30" t="str">
        <f>(BAHTTEXT(F643))</f>
        <v>สี่หมื่นเก้าพันห้าร้อยสามสิบสองบาทเจ็ดสิบเอ็ดสตางค์</v>
      </c>
      <c r="C644" s="30"/>
      <c r="D644" s="30"/>
      <c r="E644" s="30"/>
      <c r="F644" s="4"/>
      <c r="G644" s="4"/>
    </row>
    <row r="645" spans="1:7" ht="23.25" x14ac:dyDescent="0.5">
      <c r="A645" s="4" t="s">
        <v>140</v>
      </c>
      <c r="B645" s="4"/>
      <c r="C645" s="4"/>
      <c r="D645" s="4"/>
      <c r="E645" s="4"/>
      <c r="F645" s="4"/>
      <c r="G645" s="4"/>
    </row>
    <row r="646" spans="1:7" ht="23.25" x14ac:dyDescent="0.5">
      <c r="A646" s="4" t="s">
        <v>141</v>
      </c>
      <c r="B646" s="4"/>
      <c r="C646" s="4"/>
      <c r="D646" s="4"/>
      <c r="E646" s="4"/>
      <c r="F646" s="4"/>
      <c r="G646" s="4"/>
    </row>
    <row r="647" spans="1:7" ht="23.25" x14ac:dyDescent="0.5">
      <c r="A647" s="4" t="s">
        <v>142</v>
      </c>
      <c r="B647" s="4"/>
      <c r="C647" s="4"/>
      <c r="D647" s="4"/>
      <c r="E647" s="31"/>
      <c r="F647" s="32"/>
      <c r="G647" s="4"/>
    </row>
    <row r="648" spans="1:7" ht="23.25" x14ac:dyDescent="0.5">
      <c r="A648" s="4" t="s">
        <v>18</v>
      </c>
      <c r="B648" s="4"/>
      <c r="C648" s="4"/>
      <c r="D648" s="4"/>
      <c r="E648" s="4"/>
      <c r="F648" s="4"/>
      <c r="G648" s="4"/>
    </row>
    <row r="649" spans="1:7" ht="23.25" x14ac:dyDescent="0.5">
      <c r="A649" s="4"/>
      <c r="B649" s="4"/>
      <c r="C649" s="4"/>
      <c r="D649" s="4"/>
      <c r="E649" s="3" t="s">
        <v>19</v>
      </c>
      <c r="F649" s="3"/>
      <c r="G649" s="4"/>
    </row>
    <row r="650" spans="1:7" ht="23.25" x14ac:dyDescent="0.5">
      <c r="A650" s="4"/>
      <c r="B650" s="4"/>
      <c r="C650" s="4"/>
      <c r="D650" s="4"/>
      <c r="E650" s="33"/>
      <c r="F650" s="33"/>
      <c r="G650" s="33"/>
    </row>
    <row r="651" spans="1:7" ht="23.25" x14ac:dyDescent="0.5">
      <c r="A651" s="4"/>
      <c r="B651" s="4"/>
      <c r="C651" s="4"/>
      <c r="D651" s="4"/>
      <c r="E651" s="33"/>
      <c r="F651" s="33"/>
      <c r="G651" s="33"/>
    </row>
    <row r="652" spans="1:7" ht="23.25" x14ac:dyDescent="0.5">
      <c r="A652" s="33" t="s">
        <v>20</v>
      </c>
      <c r="B652" s="33"/>
      <c r="C652" s="33"/>
      <c r="D652" s="32" t="s">
        <v>21</v>
      </c>
      <c r="E652" s="33" t="s">
        <v>22</v>
      </c>
      <c r="F652" s="33"/>
      <c r="G652" s="33"/>
    </row>
    <row r="653" spans="1:7" ht="23.25" x14ac:dyDescent="0.5">
      <c r="A653" s="34" t="s">
        <v>23</v>
      </c>
      <c r="B653" s="34"/>
      <c r="C653" s="34"/>
      <c r="D653" s="32"/>
      <c r="E653" s="34"/>
      <c r="F653" s="34"/>
      <c r="G653" s="34"/>
    </row>
    <row r="654" spans="1:7" ht="23.25" x14ac:dyDescent="0.5">
      <c r="A654" s="34" t="s">
        <v>24</v>
      </c>
      <c r="B654" s="34"/>
      <c r="C654" s="34"/>
      <c r="D654" s="32"/>
      <c r="E654" s="34"/>
      <c r="F654" s="34"/>
      <c r="G654" s="34"/>
    </row>
    <row r="655" spans="1:7" ht="23.25" x14ac:dyDescent="0.5">
      <c r="A655" s="4"/>
      <c r="B655" s="4"/>
      <c r="C655" s="4"/>
      <c r="D655" s="4"/>
      <c r="E655" s="33" t="s">
        <v>25</v>
      </c>
      <c r="F655" s="33"/>
      <c r="G655" s="33"/>
    </row>
    <row r="656" spans="1:7" ht="29.25" x14ac:dyDescent="0.2">
      <c r="A656" s="1" t="s">
        <v>0</v>
      </c>
      <c r="B656" s="1"/>
      <c r="C656" s="1"/>
      <c r="D656" s="1"/>
      <c r="E656" s="1"/>
      <c r="F656" s="1"/>
      <c r="G656" s="1"/>
    </row>
    <row r="657" spans="1:7" ht="23.25" x14ac:dyDescent="0.5">
      <c r="A657" s="2" t="s">
        <v>1</v>
      </c>
      <c r="B657" s="2"/>
      <c r="C657" s="2"/>
      <c r="D657" s="2"/>
      <c r="E657" s="2"/>
      <c r="F657" s="2"/>
      <c r="G657" s="2"/>
    </row>
    <row r="658" spans="1:7" ht="23.25" x14ac:dyDescent="0.5">
      <c r="A658" s="3" t="s">
        <v>2</v>
      </c>
      <c r="B658" s="4"/>
      <c r="C658" s="4"/>
      <c r="D658" s="4"/>
      <c r="E658" s="4"/>
      <c r="F658" s="4"/>
      <c r="G658" s="4"/>
    </row>
    <row r="659" spans="1:7" ht="23.25" x14ac:dyDescent="0.5">
      <c r="A659" s="3" t="s">
        <v>34</v>
      </c>
      <c r="B659" s="4"/>
      <c r="C659" s="4"/>
      <c r="D659" s="4"/>
      <c r="E659" s="4"/>
      <c r="F659" s="4"/>
      <c r="G659" s="4"/>
    </row>
    <row r="660" spans="1:7" ht="23.25" x14ac:dyDescent="0.5">
      <c r="A660" s="4" t="s">
        <v>4</v>
      </c>
      <c r="B660" s="4"/>
      <c r="C660" s="4"/>
      <c r="D660" s="4"/>
      <c r="E660" s="4"/>
      <c r="F660" s="4"/>
      <c r="G660" s="4"/>
    </row>
    <row r="661" spans="1:7" ht="23.25" x14ac:dyDescent="0.5">
      <c r="A661" s="4" t="s">
        <v>143</v>
      </c>
      <c r="B661" s="4"/>
      <c r="C661" s="4"/>
      <c r="D661" s="4"/>
      <c r="E661" s="4"/>
      <c r="F661" s="4"/>
      <c r="G661" s="4"/>
    </row>
    <row r="662" spans="1:7" ht="23.25" x14ac:dyDescent="0.5">
      <c r="A662" s="3"/>
      <c r="B662" s="4"/>
      <c r="C662" s="4"/>
      <c r="D662" s="4"/>
      <c r="E662" s="4"/>
      <c r="F662" s="4"/>
      <c r="G662" s="4"/>
    </row>
    <row r="663" spans="1:7" ht="23.25" x14ac:dyDescent="0.5">
      <c r="A663" s="5" t="s">
        <v>6</v>
      </c>
      <c r="B663" s="6" t="s">
        <v>7</v>
      </c>
      <c r="C663" s="7"/>
      <c r="D663" s="8"/>
      <c r="E663" s="5" t="s">
        <v>8</v>
      </c>
      <c r="F663" s="9" t="s">
        <v>9</v>
      </c>
      <c r="G663" s="10"/>
    </row>
    <row r="664" spans="1:7" ht="23.25" x14ac:dyDescent="0.5">
      <c r="A664" s="11"/>
      <c r="B664" s="12"/>
      <c r="C664" s="13"/>
      <c r="D664" s="14"/>
      <c r="E664" s="11"/>
      <c r="F664" s="9" t="s">
        <v>10</v>
      </c>
      <c r="G664" s="10"/>
    </row>
    <row r="665" spans="1:7" ht="23.25" x14ac:dyDescent="0.5">
      <c r="A665" s="15">
        <v>1</v>
      </c>
      <c r="B665" s="16" t="s">
        <v>144</v>
      </c>
      <c r="C665" s="17"/>
      <c r="D665" s="18"/>
      <c r="E665" s="19" t="s">
        <v>145</v>
      </c>
      <c r="F665" s="20">
        <v>2272.12</v>
      </c>
      <c r="G665" s="21"/>
    </row>
    <row r="666" spans="1:7" ht="23.25" x14ac:dyDescent="0.5">
      <c r="A666" s="22">
        <v>2</v>
      </c>
      <c r="B666" s="16" t="s">
        <v>144</v>
      </c>
      <c r="C666" s="17"/>
      <c r="D666" s="18"/>
      <c r="E666" s="19" t="s">
        <v>146</v>
      </c>
      <c r="F666" s="20">
        <v>12932.68</v>
      </c>
      <c r="G666" s="21"/>
    </row>
    <row r="667" spans="1:7" ht="23.25" x14ac:dyDescent="0.5">
      <c r="A667" s="15"/>
      <c r="B667" s="16"/>
      <c r="C667" s="17"/>
      <c r="D667" s="18"/>
      <c r="E667" s="19"/>
      <c r="F667" s="20"/>
      <c r="G667" s="21"/>
    </row>
    <row r="668" spans="1:7" ht="23.25" x14ac:dyDescent="0.5">
      <c r="A668" s="22"/>
      <c r="B668" s="16"/>
      <c r="C668" s="17"/>
      <c r="D668" s="18"/>
      <c r="E668" s="19"/>
      <c r="F668" s="20"/>
      <c r="G668" s="21"/>
    </row>
    <row r="669" spans="1:7" ht="23.25" x14ac:dyDescent="0.5">
      <c r="A669" s="15"/>
      <c r="B669" s="16"/>
      <c r="C669" s="17"/>
      <c r="D669" s="18"/>
      <c r="E669" s="19"/>
      <c r="F669" s="20"/>
      <c r="G669" s="21"/>
    </row>
    <row r="670" spans="1:7" ht="23.25" x14ac:dyDescent="0.5">
      <c r="A670" s="22"/>
      <c r="B670" s="16"/>
      <c r="C670" s="17"/>
      <c r="D670" s="18"/>
      <c r="E670" s="19"/>
      <c r="F670" s="20"/>
      <c r="G670" s="21"/>
    </row>
    <row r="671" spans="1:7" ht="23.25" x14ac:dyDescent="0.5">
      <c r="A671" s="15"/>
      <c r="B671" s="9"/>
      <c r="C671" s="26"/>
      <c r="D671" s="10"/>
      <c r="E671" s="23"/>
      <c r="F671" s="24"/>
      <c r="G671" s="25"/>
    </row>
    <row r="672" spans="1:7" ht="23.25" x14ac:dyDescent="0.5">
      <c r="A672" s="15"/>
      <c r="B672" s="9"/>
      <c r="C672" s="26"/>
      <c r="D672" s="10"/>
      <c r="E672" s="23"/>
      <c r="F672" s="24"/>
      <c r="G672" s="25"/>
    </row>
    <row r="673" spans="1:7" ht="23.25" x14ac:dyDescent="0.5">
      <c r="A673" s="27" t="s">
        <v>14</v>
      </c>
      <c r="B673" s="28"/>
      <c r="C673" s="28"/>
      <c r="D673" s="28"/>
      <c r="E673" s="29"/>
      <c r="F673" s="20">
        <f>SUM(F665:F672)</f>
        <v>15204.8</v>
      </c>
      <c r="G673" s="21"/>
    </row>
    <row r="674" spans="1:7" ht="23.25" x14ac:dyDescent="0.5">
      <c r="A674" s="4"/>
      <c r="B674" s="30" t="str">
        <f>(BAHTTEXT(F673))</f>
        <v>หนึ่งหมื่นห้าพันสองร้อยสี่บาทแปดสิบสตางค์</v>
      </c>
      <c r="C674" s="30"/>
      <c r="D674" s="30"/>
      <c r="E674" s="30"/>
      <c r="F674" s="4"/>
      <c r="G674" s="4"/>
    </row>
    <row r="675" spans="1:7" ht="23.25" x14ac:dyDescent="0.5">
      <c r="A675" s="4" t="s">
        <v>37</v>
      </c>
      <c r="B675" s="4"/>
      <c r="C675" s="4"/>
      <c r="D675" s="4"/>
      <c r="E675" s="4"/>
      <c r="F675" s="4"/>
      <c r="G675" s="4"/>
    </row>
    <row r="676" spans="1:7" ht="23.25" x14ac:dyDescent="0.5">
      <c r="A676" s="37" t="s">
        <v>38</v>
      </c>
      <c r="B676" s="37"/>
      <c r="C676" s="37"/>
      <c r="D676" s="37"/>
      <c r="E676" s="37"/>
      <c r="F676" s="37"/>
      <c r="G676" s="37"/>
    </row>
    <row r="677" spans="1:7" ht="23.25" x14ac:dyDescent="0.5">
      <c r="A677" s="4" t="s">
        <v>147</v>
      </c>
      <c r="B677" s="4"/>
      <c r="C677" s="4"/>
      <c r="D677" s="4"/>
      <c r="E677" s="31"/>
      <c r="F677" s="32"/>
      <c r="G677" s="4"/>
    </row>
    <row r="678" spans="1:7" ht="23.25" x14ac:dyDescent="0.5">
      <c r="A678" s="4" t="s">
        <v>18</v>
      </c>
      <c r="B678" s="4"/>
      <c r="C678" s="4"/>
      <c r="D678" s="4"/>
      <c r="E678" s="4"/>
      <c r="F678" s="4"/>
      <c r="G678" s="4"/>
    </row>
    <row r="679" spans="1:7" ht="23.25" x14ac:dyDescent="0.5">
      <c r="A679" s="4"/>
      <c r="B679" s="4"/>
      <c r="C679" s="4"/>
      <c r="D679" s="4"/>
      <c r="E679" s="3" t="s">
        <v>19</v>
      </c>
      <c r="F679" s="3"/>
      <c r="G679" s="4"/>
    </row>
    <row r="680" spans="1:7" ht="23.25" x14ac:dyDescent="0.5">
      <c r="A680" s="4"/>
      <c r="B680" s="4"/>
      <c r="C680" s="4"/>
      <c r="D680" s="4"/>
      <c r="E680" s="33"/>
      <c r="F680" s="33"/>
      <c r="G680" s="33"/>
    </row>
    <row r="681" spans="1:7" ht="23.25" x14ac:dyDescent="0.5">
      <c r="A681" s="4"/>
      <c r="B681" s="4"/>
      <c r="C681" s="4"/>
      <c r="D681" s="4"/>
      <c r="E681" s="33"/>
      <c r="F681" s="33"/>
      <c r="G681" s="33"/>
    </row>
    <row r="682" spans="1:7" ht="23.25" x14ac:dyDescent="0.5">
      <c r="A682" s="33" t="s">
        <v>20</v>
      </c>
      <c r="B682" s="33"/>
      <c r="C682" s="33"/>
      <c r="D682" s="32" t="s">
        <v>21</v>
      </c>
      <c r="E682" s="33" t="s">
        <v>22</v>
      </c>
      <c r="F682" s="33"/>
      <c r="G682" s="33"/>
    </row>
    <row r="683" spans="1:7" ht="23.25" x14ac:dyDescent="0.5">
      <c r="A683" s="34" t="s">
        <v>23</v>
      </c>
      <c r="B683" s="34"/>
      <c r="C683" s="34"/>
      <c r="D683" s="32"/>
      <c r="E683" s="34"/>
      <c r="F683" s="34"/>
      <c r="G683" s="34"/>
    </row>
    <row r="684" spans="1:7" ht="23.25" x14ac:dyDescent="0.5">
      <c r="A684" s="34" t="s">
        <v>24</v>
      </c>
      <c r="B684" s="34"/>
      <c r="C684" s="34"/>
      <c r="D684" s="32"/>
      <c r="E684" s="34"/>
      <c r="F684" s="34"/>
      <c r="G684" s="34"/>
    </row>
    <row r="685" spans="1:7" ht="23.25" x14ac:dyDescent="0.5">
      <c r="A685" s="4"/>
      <c r="B685" s="4"/>
      <c r="C685" s="4"/>
      <c r="D685" s="4"/>
      <c r="E685" s="33" t="s">
        <v>25</v>
      </c>
      <c r="F685" s="33"/>
      <c r="G685" s="33"/>
    </row>
    <row r="686" spans="1:7" ht="29.25" x14ac:dyDescent="0.2">
      <c r="A686" s="1" t="s">
        <v>0</v>
      </c>
      <c r="B686" s="1"/>
      <c r="C686" s="1"/>
      <c r="D686" s="1"/>
      <c r="E686" s="1"/>
      <c r="F686" s="1"/>
      <c r="G686" s="1"/>
    </row>
    <row r="687" spans="1:7" ht="23.25" x14ac:dyDescent="0.5">
      <c r="A687" s="2" t="s">
        <v>1</v>
      </c>
      <c r="B687" s="2"/>
      <c r="C687" s="2"/>
      <c r="D687" s="2"/>
      <c r="E687" s="2"/>
      <c r="F687" s="2"/>
      <c r="G687" s="2"/>
    </row>
    <row r="688" spans="1:7" ht="23.25" x14ac:dyDescent="0.5">
      <c r="A688" s="3" t="s">
        <v>2</v>
      </c>
      <c r="B688" s="4"/>
      <c r="C688" s="4"/>
      <c r="D688" s="4"/>
      <c r="E688" s="4"/>
      <c r="F688" s="4"/>
      <c r="G688" s="4"/>
    </row>
    <row r="689" spans="1:7" ht="23.25" x14ac:dyDescent="0.5">
      <c r="A689" s="3" t="s">
        <v>34</v>
      </c>
      <c r="B689" s="4"/>
      <c r="C689" s="4"/>
      <c r="D689" s="4"/>
      <c r="E689" s="4"/>
      <c r="F689" s="4"/>
      <c r="G689" s="4"/>
    </row>
    <row r="690" spans="1:7" ht="23.25" x14ac:dyDescent="0.5">
      <c r="A690" s="4" t="s">
        <v>4</v>
      </c>
      <c r="B690" s="4"/>
      <c r="C690" s="4"/>
      <c r="D690" s="4"/>
      <c r="E690" s="4"/>
      <c r="F690" s="4"/>
      <c r="G690" s="4"/>
    </row>
    <row r="691" spans="1:7" ht="23.25" x14ac:dyDescent="0.5">
      <c r="A691" s="4" t="s">
        <v>148</v>
      </c>
      <c r="B691" s="4"/>
      <c r="C691" s="4"/>
      <c r="D691" s="4"/>
      <c r="E691" s="4"/>
      <c r="F691" s="4"/>
      <c r="G691" s="4"/>
    </row>
    <row r="692" spans="1:7" ht="23.25" x14ac:dyDescent="0.5">
      <c r="A692" s="3"/>
      <c r="B692" s="4"/>
      <c r="C692" s="4"/>
      <c r="D692" s="4"/>
      <c r="E692" s="4"/>
      <c r="F692" s="4"/>
      <c r="G692" s="4"/>
    </row>
    <row r="693" spans="1:7" ht="23.25" x14ac:dyDescent="0.5">
      <c r="A693" s="5" t="s">
        <v>6</v>
      </c>
      <c r="B693" s="6" t="s">
        <v>7</v>
      </c>
      <c r="C693" s="7"/>
      <c r="D693" s="8"/>
      <c r="E693" s="5" t="s">
        <v>8</v>
      </c>
      <c r="F693" s="9" t="s">
        <v>9</v>
      </c>
      <c r="G693" s="10"/>
    </row>
    <row r="694" spans="1:7" ht="23.25" x14ac:dyDescent="0.5">
      <c r="A694" s="11"/>
      <c r="B694" s="12"/>
      <c r="C694" s="13"/>
      <c r="D694" s="14"/>
      <c r="E694" s="11"/>
      <c r="F694" s="9" t="s">
        <v>10</v>
      </c>
      <c r="G694" s="10"/>
    </row>
    <row r="695" spans="1:7" ht="23.25" x14ac:dyDescent="0.5">
      <c r="A695" s="15">
        <v>1</v>
      </c>
      <c r="B695" s="16" t="s">
        <v>149</v>
      </c>
      <c r="C695" s="17"/>
      <c r="D695" s="18"/>
      <c r="E695" s="19" t="s">
        <v>150</v>
      </c>
      <c r="F695" s="20">
        <v>13583.5</v>
      </c>
      <c r="G695" s="21"/>
    </row>
    <row r="696" spans="1:7" ht="23.25" x14ac:dyDescent="0.5">
      <c r="A696" s="22"/>
      <c r="B696" s="16"/>
      <c r="C696" s="17"/>
      <c r="D696" s="18"/>
      <c r="E696" s="19"/>
      <c r="F696" s="20"/>
      <c r="G696" s="21"/>
    </row>
    <row r="697" spans="1:7" ht="23.25" x14ac:dyDescent="0.5">
      <c r="A697" s="15"/>
      <c r="B697" s="16"/>
      <c r="C697" s="17"/>
      <c r="D697" s="18"/>
      <c r="E697" s="19"/>
      <c r="F697" s="20"/>
      <c r="G697" s="21"/>
    </row>
    <row r="698" spans="1:7" ht="23.25" x14ac:dyDescent="0.5">
      <c r="A698" s="22"/>
      <c r="B698" s="16"/>
      <c r="C698" s="17"/>
      <c r="D698" s="18"/>
      <c r="E698" s="19"/>
      <c r="F698" s="20"/>
      <c r="G698" s="21"/>
    </row>
    <row r="699" spans="1:7" ht="23.25" x14ac:dyDescent="0.5">
      <c r="A699" s="15"/>
      <c r="B699" s="16"/>
      <c r="C699" s="17"/>
      <c r="D699" s="18"/>
      <c r="E699" s="19"/>
      <c r="F699" s="20"/>
      <c r="G699" s="21"/>
    </row>
    <row r="700" spans="1:7" ht="23.25" x14ac:dyDescent="0.5">
      <c r="A700" s="15"/>
      <c r="B700" s="16"/>
      <c r="C700" s="17"/>
      <c r="D700" s="18"/>
      <c r="E700" s="23"/>
      <c r="F700" s="24"/>
      <c r="G700" s="25"/>
    </row>
    <row r="701" spans="1:7" ht="23.25" x14ac:dyDescent="0.5">
      <c r="A701" s="15"/>
      <c r="B701" s="9"/>
      <c r="C701" s="26"/>
      <c r="D701" s="10"/>
      <c r="E701" s="23"/>
      <c r="F701" s="24"/>
      <c r="G701" s="25"/>
    </row>
    <row r="702" spans="1:7" ht="23.25" x14ac:dyDescent="0.5">
      <c r="A702" s="15"/>
      <c r="B702" s="9"/>
      <c r="C702" s="26"/>
      <c r="D702" s="10"/>
      <c r="E702" s="23"/>
      <c r="F702" s="24"/>
      <c r="G702" s="25"/>
    </row>
    <row r="703" spans="1:7" ht="23.25" x14ac:dyDescent="0.5">
      <c r="A703" s="27" t="s">
        <v>14</v>
      </c>
      <c r="B703" s="28"/>
      <c r="C703" s="28"/>
      <c r="D703" s="28"/>
      <c r="E703" s="29"/>
      <c r="F703" s="20">
        <f>SUM(F695:F702)</f>
        <v>13583.5</v>
      </c>
      <c r="G703" s="21"/>
    </row>
    <row r="704" spans="1:7" ht="23.25" x14ac:dyDescent="0.5">
      <c r="A704" s="4"/>
      <c r="B704" s="30" t="str">
        <f>(BAHTTEXT(F703))</f>
        <v>หนึ่งหมื่นสามพันห้าร้อยแปดสิบสามบาทห้าสิบสตางค์</v>
      </c>
      <c r="C704" s="30"/>
      <c r="D704" s="30"/>
      <c r="E704" s="30"/>
      <c r="F704" s="4"/>
      <c r="G704" s="4"/>
    </row>
    <row r="705" spans="1:7" ht="23.25" x14ac:dyDescent="0.5">
      <c r="A705" s="4" t="s">
        <v>37</v>
      </c>
      <c r="B705" s="4"/>
      <c r="C705" s="4"/>
      <c r="D705" s="4"/>
      <c r="E705" s="4"/>
      <c r="F705" s="4"/>
      <c r="G705" s="4"/>
    </row>
    <row r="706" spans="1:7" ht="23.25" x14ac:dyDescent="0.5">
      <c r="A706" s="37" t="s">
        <v>38</v>
      </c>
      <c r="B706" s="37"/>
      <c r="C706" s="37"/>
      <c r="D706" s="37"/>
      <c r="E706" s="37"/>
      <c r="F706" s="37"/>
      <c r="G706" s="37"/>
    </row>
    <row r="707" spans="1:7" ht="23.25" x14ac:dyDescent="0.5">
      <c r="A707" s="4" t="s">
        <v>151</v>
      </c>
      <c r="B707" s="4"/>
      <c r="C707" s="4"/>
      <c r="D707" s="4"/>
      <c r="E707" s="31"/>
      <c r="F707" s="32"/>
      <c r="G707" s="4"/>
    </row>
    <row r="708" spans="1:7" ht="23.25" x14ac:dyDescent="0.5">
      <c r="A708" s="4" t="s">
        <v>18</v>
      </c>
      <c r="B708" s="4"/>
      <c r="C708" s="4"/>
      <c r="D708" s="4"/>
      <c r="E708" s="4"/>
      <c r="F708" s="4"/>
      <c r="G708" s="4"/>
    </row>
    <row r="709" spans="1:7" ht="23.25" x14ac:dyDescent="0.5">
      <c r="A709" s="4"/>
      <c r="B709" s="4"/>
      <c r="C709" s="4"/>
      <c r="D709" s="4"/>
      <c r="E709" s="3" t="s">
        <v>19</v>
      </c>
      <c r="F709" s="3"/>
      <c r="G709" s="4"/>
    </row>
    <row r="710" spans="1:7" ht="23.25" x14ac:dyDescent="0.5">
      <c r="A710" s="4"/>
      <c r="B710" s="4"/>
      <c r="C710" s="4"/>
      <c r="D710" s="4"/>
      <c r="E710" s="33"/>
      <c r="F710" s="33"/>
      <c r="G710" s="33"/>
    </row>
    <row r="711" spans="1:7" ht="23.25" x14ac:dyDescent="0.5">
      <c r="A711" s="4"/>
      <c r="B711" s="4"/>
      <c r="C711" s="4"/>
      <c r="D711" s="4"/>
      <c r="E711" s="33"/>
      <c r="F711" s="33"/>
      <c r="G711" s="33"/>
    </row>
    <row r="712" spans="1:7" ht="23.25" x14ac:dyDescent="0.5">
      <c r="A712" s="33" t="s">
        <v>20</v>
      </c>
      <c r="B712" s="33"/>
      <c r="C712" s="33"/>
      <c r="D712" s="32" t="s">
        <v>21</v>
      </c>
      <c r="E712" s="33" t="s">
        <v>22</v>
      </c>
      <c r="F712" s="33"/>
      <c r="G712" s="33"/>
    </row>
    <row r="713" spans="1:7" ht="23.25" x14ac:dyDescent="0.5">
      <c r="A713" s="34" t="s">
        <v>23</v>
      </c>
      <c r="B713" s="34"/>
      <c r="C713" s="34"/>
      <c r="D713" s="32"/>
      <c r="E713" s="34"/>
      <c r="F713" s="34"/>
      <c r="G713" s="34"/>
    </row>
    <row r="714" spans="1:7" ht="23.25" x14ac:dyDescent="0.5">
      <c r="A714" s="34" t="s">
        <v>24</v>
      </c>
      <c r="B714" s="34"/>
      <c r="C714" s="34"/>
      <c r="D714" s="32"/>
      <c r="E714" s="34"/>
      <c r="F714" s="34"/>
      <c r="G714" s="34"/>
    </row>
    <row r="715" spans="1:7" ht="23.25" x14ac:dyDescent="0.5">
      <c r="A715" s="4"/>
      <c r="B715" s="4"/>
      <c r="C715" s="4"/>
      <c r="D715" s="4"/>
      <c r="E715" s="33" t="s">
        <v>25</v>
      </c>
      <c r="F715" s="33"/>
      <c r="G715" s="33"/>
    </row>
    <row r="716" spans="1:7" ht="29.25" x14ac:dyDescent="0.2">
      <c r="A716" s="1" t="s">
        <v>0</v>
      </c>
      <c r="B716" s="1"/>
      <c r="C716" s="1"/>
      <c r="D716" s="1"/>
      <c r="E716" s="1"/>
      <c r="F716" s="1"/>
      <c r="G716" s="1"/>
    </row>
    <row r="717" spans="1:7" ht="23.25" x14ac:dyDescent="0.5">
      <c r="A717" s="2" t="s">
        <v>1</v>
      </c>
      <c r="B717" s="2"/>
      <c r="C717" s="2"/>
      <c r="D717" s="2"/>
      <c r="E717" s="2"/>
      <c r="F717" s="2"/>
      <c r="G717" s="2"/>
    </row>
    <row r="718" spans="1:7" ht="23.25" x14ac:dyDescent="0.5">
      <c r="A718" s="3" t="s">
        <v>2</v>
      </c>
      <c r="B718" s="4"/>
      <c r="C718" s="4"/>
      <c r="D718" s="4"/>
      <c r="E718" s="4"/>
      <c r="F718" s="4"/>
      <c r="G718" s="4"/>
    </row>
    <row r="719" spans="1:7" ht="23.25" x14ac:dyDescent="0.5">
      <c r="A719" s="3" t="s">
        <v>152</v>
      </c>
      <c r="B719" s="4"/>
      <c r="C719" s="4"/>
      <c r="D719" s="4"/>
      <c r="E719" s="4"/>
      <c r="F719" s="4"/>
      <c r="G719" s="4"/>
    </row>
    <row r="720" spans="1:7" ht="23.25" x14ac:dyDescent="0.5">
      <c r="A720" s="4" t="s">
        <v>4</v>
      </c>
      <c r="B720" s="4"/>
      <c r="C720" s="4"/>
      <c r="D720" s="4"/>
      <c r="E720" s="4"/>
      <c r="F720" s="4"/>
      <c r="G720" s="4"/>
    </row>
    <row r="721" spans="1:7" ht="23.25" x14ac:dyDescent="0.5">
      <c r="A721" s="4" t="s">
        <v>153</v>
      </c>
      <c r="B721" s="4"/>
      <c r="C721" s="4"/>
      <c r="D721" s="4"/>
      <c r="E721" s="4"/>
      <c r="F721" s="4"/>
      <c r="G721" s="4"/>
    </row>
    <row r="722" spans="1:7" ht="23.25" x14ac:dyDescent="0.5">
      <c r="A722" s="4" t="s">
        <v>154</v>
      </c>
      <c r="B722" s="4"/>
      <c r="C722" s="4"/>
      <c r="D722" s="4"/>
      <c r="E722" s="4"/>
      <c r="F722" s="4"/>
      <c r="G722" s="4"/>
    </row>
    <row r="723" spans="1:7" ht="23.25" x14ac:dyDescent="0.5">
      <c r="A723" s="3"/>
      <c r="B723" s="4"/>
      <c r="C723" s="4"/>
      <c r="D723" s="4"/>
      <c r="E723" s="4"/>
      <c r="F723" s="4"/>
      <c r="G723" s="4"/>
    </row>
    <row r="724" spans="1:7" ht="23.25" x14ac:dyDescent="0.5">
      <c r="A724" s="5" t="s">
        <v>6</v>
      </c>
      <c r="B724" s="6" t="s">
        <v>7</v>
      </c>
      <c r="C724" s="7"/>
      <c r="D724" s="8"/>
      <c r="E724" s="5" t="s">
        <v>8</v>
      </c>
      <c r="F724" s="9" t="s">
        <v>9</v>
      </c>
      <c r="G724" s="10"/>
    </row>
    <row r="725" spans="1:7" ht="23.25" x14ac:dyDescent="0.5">
      <c r="A725" s="11"/>
      <c r="B725" s="64"/>
      <c r="C725" s="65"/>
      <c r="D725" s="66"/>
      <c r="E725" s="11"/>
      <c r="F725" s="9" t="s">
        <v>10</v>
      </c>
      <c r="G725" s="10"/>
    </row>
    <row r="726" spans="1:7" ht="23.25" x14ac:dyDescent="0.5">
      <c r="A726" s="67">
        <v>1</v>
      </c>
      <c r="B726" s="68" t="s">
        <v>155</v>
      </c>
      <c r="C726" s="68"/>
      <c r="D726" s="69"/>
      <c r="E726" s="19" t="s">
        <v>156</v>
      </c>
      <c r="F726" s="70">
        <v>360</v>
      </c>
      <c r="G726" s="70"/>
    </row>
    <row r="727" spans="1:7" ht="23.25" x14ac:dyDescent="0.5">
      <c r="A727" s="71"/>
      <c r="B727" s="72" t="s">
        <v>157</v>
      </c>
      <c r="C727" s="72"/>
      <c r="D727" s="73"/>
      <c r="E727" s="19" t="s">
        <v>158</v>
      </c>
      <c r="F727" s="70">
        <v>360</v>
      </c>
      <c r="G727" s="70"/>
    </row>
    <row r="728" spans="1:7" ht="23.25" x14ac:dyDescent="0.5">
      <c r="A728" s="15"/>
      <c r="B728" s="74"/>
      <c r="C728" s="74"/>
      <c r="D728" s="75"/>
      <c r="E728" s="19"/>
      <c r="F728" s="70"/>
      <c r="G728" s="70"/>
    </row>
    <row r="729" spans="1:7" ht="23.25" x14ac:dyDescent="0.5">
      <c r="A729" s="15"/>
      <c r="B729" s="17"/>
      <c r="C729" s="17"/>
      <c r="D729" s="18"/>
      <c r="E729" s="19"/>
      <c r="F729" s="70"/>
      <c r="G729" s="70"/>
    </row>
    <row r="730" spans="1:7" ht="23.25" x14ac:dyDescent="0.5">
      <c r="A730" s="15"/>
      <c r="B730" s="17"/>
      <c r="C730" s="17"/>
      <c r="D730" s="18"/>
      <c r="E730" s="23"/>
      <c r="F730" s="70"/>
      <c r="G730" s="70"/>
    </row>
    <row r="731" spans="1:7" ht="23.25" x14ac:dyDescent="0.5">
      <c r="A731" s="15"/>
      <c r="B731" s="26"/>
      <c r="C731" s="26"/>
      <c r="D731" s="10"/>
      <c r="E731" s="23"/>
      <c r="F731" s="70"/>
      <c r="G731" s="70"/>
    </row>
    <row r="732" spans="1:7" ht="23.25" x14ac:dyDescent="0.5">
      <c r="A732" s="15"/>
      <c r="B732" s="26"/>
      <c r="C732" s="26"/>
      <c r="D732" s="10"/>
      <c r="E732" s="23"/>
      <c r="F732" s="76"/>
      <c r="G732" s="76"/>
    </row>
    <row r="733" spans="1:7" ht="23.25" x14ac:dyDescent="0.5">
      <c r="A733" s="77" t="s">
        <v>14</v>
      </c>
      <c r="B733" s="28"/>
      <c r="C733" s="28"/>
      <c r="D733" s="28"/>
      <c r="E733" s="29"/>
      <c r="F733" s="20">
        <f>SUM(F726:F732)</f>
        <v>720</v>
      </c>
      <c r="G733" s="21"/>
    </row>
    <row r="734" spans="1:7" ht="23.25" x14ac:dyDescent="0.5">
      <c r="A734" s="4"/>
      <c r="B734" s="30" t="str">
        <f>(BAHTTEXT(F733))</f>
        <v>เจ็ดร้อยยี่สิบบาทถ้วน</v>
      </c>
      <c r="C734" s="30"/>
      <c r="D734" s="30"/>
      <c r="E734" s="30"/>
      <c r="F734" s="4"/>
      <c r="G734" s="4"/>
    </row>
    <row r="735" spans="1:7" ht="23.25" x14ac:dyDescent="0.5">
      <c r="A735" s="4" t="s">
        <v>159</v>
      </c>
      <c r="B735" s="4"/>
      <c r="C735" s="4"/>
      <c r="D735" s="4"/>
      <c r="E735" s="4"/>
      <c r="F735" s="4"/>
      <c r="G735" s="4"/>
    </row>
    <row r="736" spans="1:7" ht="23.25" x14ac:dyDescent="0.5">
      <c r="A736" s="4" t="s">
        <v>160</v>
      </c>
      <c r="B736" s="4"/>
      <c r="C736" s="4"/>
      <c r="D736" s="4"/>
      <c r="E736" s="4"/>
      <c r="F736" s="4"/>
      <c r="G736" s="4"/>
    </row>
    <row r="737" spans="1:7" ht="23.25" x14ac:dyDescent="0.5">
      <c r="A737" s="4" t="s">
        <v>161</v>
      </c>
      <c r="B737" s="4"/>
      <c r="C737" s="4"/>
      <c r="D737" s="4"/>
      <c r="E737" s="31"/>
      <c r="F737" s="32"/>
      <c r="G737" s="4"/>
    </row>
    <row r="738" spans="1:7" ht="23.25" x14ac:dyDescent="0.5">
      <c r="A738" s="4" t="s">
        <v>18</v>
      </c>
      <c r="B738" s="4"/>
      <c r="C738" s="4"/>
      <c r="D738" s="4"/>
      <c r="E738" s="4"/>
      <c r="F738" s="4"/>
      <c r="G738" s="4"/>
    </row>
    <row r="739" spans="1:7" ht="23.25" x14ac:dyDescent="0.5">
      <c r="A739" s="4"/>
      <c r="B739" s="4"/>
      <c r="C739" s="4"/>
      <c r="D739" s="4"/>
      <c r="E739" s="3" t="s">
        <v>19</v>
      </c>
      <c r="F739" s="3"/>
      <c r="G739" s="4"/>
    </row>
    <row r="740" spans="1:7" ht="23.25" x14ac:dyDescent="0.5">
      <c r="A740" s="4"/>
      <c r="B740" s="4"/>
      <c r="C740" s="4"/>
      <c r="D740" s="4"/>
      <c r="E740" s="33"/>
      <c r="F740" s="33"/>
      <c r="G740" s="33"/>
    </row>
    <row r="741" spans="1:7" ht="23.25" x14ac:dyDescent="0.5">
      <c r="A741" s="4"/>
      <c r="B741" s="4"/>
      <c r="C741" s="4"/>
      <c r="D741" s="4"/>
      <c r="E741" s="33"/>
      <c r="F741" s="33"/>
      <c r="G741" s="33"/>
    </row>
    <row r="742" spans="1:7" ht="23.25" x14ac:dyDescent="0.5">
      <c r="A742" s="33" t="s">
        <v>20</v>
      </c>
      <c r="B742" s="33"/>
      <c r="C742" s="33"/>
      <c r="D742" s="32" t="s">
        <v>21</v>
      </c>
      <c r="E742" s="33" t="s">
        <v>22</v>
      </c>
      <c r="F742" s="33"/>
      <c r="G742" s="33"/>
    </row>
    <row r="743" spans="1:7" ht="23.25" x14ac:dyDescent="0.5">
      <c r="A743" s="34" t="s">
        <v>23</v>
      </c>
      <c r="B743" s="34"/>
      <c r="C743" s="34"/>
      <c r="D743" s="32"/>
      <c r="E743" s="34"/>
      <c r="F743" s="34"/>
      <c r="G743" s="34"/>
    </row>
    <row r="744" spans="1:7" ht="23.25" x14ac:dyDescent="0.5">
      <c r="A744" s="34" t="s">
        <v>24</v>
      </c>
      <c r="B744" s="34"/>
      <c r="C744" s="34"/>
      <c r="D744" s="32"/>
      <c r="E744" s="34"/>
      <c r="F744" s="34"/>
      <c r="G744" s="34"/>
    </row>
    <row r="745" spans="1:7" ht="23.25" x14ac:dyDescent="0.5">
      <c r="A745" s="4"/>
      <c r="B745" s="4"/>
      <c r="C745" s="4"/>
      <c r="D745" s="4"/>
      <c r="E745" s="33" t="s">
        <v>25</v>
      </c>
      <c r="F745" s="33"/>
      <c r="G745" s="33"/>
    </row>
    <row r="746" spans="1:7" ht="29.25" x14ac:dyDescent="0.2">
      <c r="A746" s="1" t="s">
        <v>0</v>
      </c>
      <c r="B746" s="1"/>
      <c r="C746" s="1"/>
      <c r="D746" s="1"/>
      <c r="E746" s="1"/>
      <c r="F746" s="1"/>
      <c r="G746" s="1"/>
    </row>
    <row r="747" spans="1:7" ht="23.25" x14ac:dyDescent="0.5">
      <c r="A747" s="2" t="s">
        <v>1</v>
      </c>
      <c r="B747" s="2"/>
      <c r="C747" s="2"/>
      <c r="D747" s="2"/>
      <c r="E747" s="2"/>
      <c r="F747" s="2"/>
      <c r="G747" s="2"/>
    </row>
    <row r="748" spans="1:7" ht="23.25" x14ac:dyDescent="0.5">
      <c r="A748" s="3" t="s">
        <v>2</v>
      </c>
      <c r="B748" s="4"/>
      <c r="C748" s="4"/>
      <c r="D748" s="4"/>
      <c r="E748" s="4"/>
      <c r="F748" s="4"/>
      <c r="G748" s="4"/>
    </row>
    <row r="749" spans="1:7" ht="23.25" x14ac:dyDescent="0.5">
      <c r="A749" s="3" t="s">
        <v>34</v>
      </c>
      <c r="B749" s="4"/>
      <c r="C749" s="4"/>
      <c r="D749" s="4"/>
      <c r="E749" s="4"/>
      <c r="F749" s="4"/>
      <c r="G749" s="4"/>
    </row>
    <row r="750" spans="1:7" ht="23.25" x14ac:dyDescent="0.5">
      <c r="A750" s="4" t="s">
        <v>4</v>
      </c>
      <c r="B750" s="4"/>
      <c r="C750" s="4"/>
      <c r="D750" s="4"/>
      <c r="E750" s="4"/>
      <c r="F750" s="4"/>
      <c r="G750" s="4"/>
    </row>
    <row r="751" spans="1:7" ht="23.25" x14ac:dyDescent="0.5">
      <c r="A751" s="4" t="s">
        <v>114</v>
      </c>
      <c r="B751" s="4"/>
      <c r="C751" s="4"/>
      <c r="D751" s="4"/>
      <c r="E751" s="4"/>
      <c r="F751" s="4"/>
      <c r="G751" s="4"/>
    </row>
    <row r="752" spans="1:7" ht="23.25" x14ac:dyDescent="0.5">
      <c r="A752" s="3"/>
      <c r="B752" s="4"/>
      <c r="C752" s="4"/>
      <c r="D752" s="4"/>
      <c r="E752" s="4"/>
      <c r="F752" s="4"/>
      <c r="G752" s="4"/>
    </row>
    <row r="753" spans="1:7" ht="23.25" x14ac:dyDescent="0.5">
      <c r="A753" s="5" t="s">
        <v>6</v>
      </c>
      <c r="B753" s="6" t="s">
        <v>7</v>
      </c>
      <c r="C753" s="7"/>
      <c r="D753" s="8"/>
      <c r="E753" s="5" t="s">
        <v>8</v>
      </c>
      <c r="F753" s="9" t="s">
        <v>9</v>
      </c>
      <c r="G753" s="10"/>
    </row>
    <row r="754" spans="1:7" ht="23.25" x14ac:dyDescent="0.5">
      <c r="A754" s="11"/>
      <c r="B754" s="12"/>
      <c r="C754" s="13"/>
      <c r="D754" s="14"/>
      <c r="E754" s="11"/>
      <c r="F754" s="9" t="s">
        <v>10</v>
      </c>
      <c r="G754" s="10"/>
    </row>
    <row r="755" spans="1:7" ht="23.25" x14ac:dyDescent="0.5">
      <c r="A755" s="15">
        <v>1</v>
      </c>
      <c r="B755" s="16" t="s">
        <v>162</v>
      </c>
      <c r="C755" s="17"/>
      <c r="D755" s="18"/>
      <c r="E755" s="19"/>
      <c r="F755" s="20">
        <v>476</v>
      </c>
      <c r="G755" s="21"/>
    </row>
    <row r="756" spans="1:7" ht="23.25" x14ac:dyDescent="0.5">
      <c r="A756" s="22">
        <v>2</v>
      </c>
      <c r="B756" s="78" t="s">
        <v>163</v>
      </c>
      <c r="C756" s="79"/>
      <c r="D756" s="80"/>
      <c r="E756" s="19"/>
      <c r="F756" s="20">
        <v>833</v>
      </c>
      <c r="G756" s="21"/>
    </row>
    <row r="757" spans="1:7" ht="23.25" x14ac:dyDescent="0.5">
      <c r="A757" s="15">
        <v>3</v>
      </c>
      <c r="B757" s="16" t="s">
        <v>164</v>
      </c>
      <c r="C757" s="17"/>
      <c r="D757" s="18"/>
      <c r="E757" s="19"/>
      <c r="F757" s="20">
        <v>6120</v>
      </c>
      <c r="G757" s="21"/>
    </row>
    <row r="758" spans="1:7" ht="23.25" x14ac:dyDescent="0.5">
      <c r="A758" s="22">
        <v>4</v>
      </c>
      <c r="B758" s="16"/>
      <c r="C758" s="17"/>
      <c r="D758" s="18"/>
      <c r="E758" s="19"/>
      <c r="F758" s="20">
        <v>6480</v>
      </c>
      <c r="G758" s="21"/>
    </row>
    <row r="759" spans="1:7" ht="23.25" x14ac:dyDescent="0.5">
      <c r="A759" s="15">
        <v>5</v>
      </c>
      <c r="B759" s="16"/>
      <c r="C759" s="17"/>
      <c r="D759" s="18"/>
      <c r="E759" s="19"/>
      <c r="F759" s="20">
        <v>252720</v>
      </c>
      <c r="G759" s="21"/>
    </row>
    <row r="760" spans="1:7" ht="23.25" x14ac:dyDescent="0.5">
      <c r="A760" s="15"/>
      <c r="B760" s="16"/>
      <c r="C760" s="17"/>
      <c r="D760" s="18"/>
      <c r="E760" s="19"/>
      <c r="F760" s="20"/>
      <c r="G760" s="21"/>
    </row>
    <row r="761" spans="1:7" ht="23.25" x14ac:dyDescent="0.5">
      <c r="A761" s="15"/>
      <c r="B761" s="9"/>
      <c r="C761" s="26"/>
      <c r="D761" s="10"/>
      <c r="E761" s="23"/>
      <c r="F761" s="24"/>
      <c r="G761" s="25"/>
    </row>
    <row r="762" spans="1:7" ht="23.25" x14ac:dyDescent="0.5">
      <c r="A762" s="15"/>
      <c r="B762" s="9"/>
      <c r="C762" s="26"/>
      <c r="D762" s="10"/>
      <c r="E762" s="23"/>
      <c r="F762" s="24"/>
      <c r="G762" s="25"/>
    </row>
    <row r="763" spans="1:7" ht="23.25" x14ac:dyDescent="0.5">
      <c r="A763" s="27" t="s">
        <v>14</v>
      </c>
      <c r="B763" s="28"/>
      <c r="C763" s="28"/>
      <c r="D763" s="28"/>
      <c r="E763" s="29"/>
      <c r="F763" s="20">
        <f>SUM(F755:F762)</f>
        <v>266629</v>
      </c>
      <c r="G763" s="21"/>
    </row>
    <row r="764" spans="1:7" ht="23.25" x14ac:dyDescent="0.5">
      <c r="A764" s="30" t="str">
        <f>(BAHTTEXT(F763))</f>
        <v>สองแสนหกหมื่นหกพันหกร้อยยี่สิบเก้าบาทถ้วน</v>
      </c>
      <c r="B764" s="30"/>
      <c r="C764" s="30"/>
      <c r="D764" s="30"/>
      <c r="E764" s="81"/>
      <c r="F764" s="4"/>
      <c r="G764" s="4"/>
    </row>
    <row r="765" spans="1:7" ht="23.25" x14ac:dyDescent="0.5">
      <c r="A765" s="4" t="s">
        <v>37</v>
      </c>
      <c r="B765" s="4"/>
      <c r="C765" s="4"/>
      <c r="D765" s="4"/>
      <c r="E765" s="4"/>
      <c r="F765" s="4"/>
      <c r="G765" s="4"/>
    </row>
    <row r="766" spans="1:7" ht="23.25" x14ac:dyDescent="0.5">
      <c r="A766" s="82" t="s">
        <v>38</v>
      </c>
      <c r="B766" s="82"/>
      <c r="C766" s="82"/>
      <c r="D766" s="82"/>
      <c r="E766" s="82"/>
      <c r="F766" s="82"/>
      <c r="G766" s="82"/>
    </row>
    <row r="767" spans="1:7" ht="23.25" x14ac:dyDescent="0.5">
      <c r="A767" s="4" t="s">
        <v>165</v>
      </c>
      <c r="B767" s="4"/>
      <c r="C767" s="4"/>
      <c r="D767" s="4"/>
      <c r="E767" s="31"/>
      <c r="F767" s="32"/>
      <c r="G767" s="4"/>
    </row>
    <row r="768" spans="1:7" ht="23.25" x14ac:dyDescent="0.5">
      <c r="A768" s="4" t="s">
        <v>18</v>
      </c>
      <c r="B768" s="4"/>
      <c r="C768" s="4"/>
      <c r="D768" s="4"/>
      <c r="E768" s="4"/>
      <c r="F768" s="4"/>
      <c r="G768" s="4"/>
    </row>
    <row r="769" spans="1:7" ht="23.25" x14ac:dyDescent="0.5">
      <c r="A769" s="4"/>
      <c r="B769" s="4"/>
      <c r="C769" s="4"/>
      <c r="D769" s="4"/>
      <c r="E769" s="3" t="s">
        <v>19</v>
      </c>
      <c r="F769" s="3"/>
      <c r="G769" s="4"/>
    </row>
    <row r="770" spans="1:7" ht="23.25" x14ac:dyDescent="0.5">
      <c r="A770" s="4"/>
      <c r="B770" s="4"/>
      <c r="C770" s="4"/>
      <c r="D770" s="4"/>
      <c r="E770" s="33"/>
      <c r="F770" s="33"/>
      <c r="G770" s="33"/>
    </row>
    <row r="771" spans="1:7" ht="23.25" x14ac:dyDescent="0.5">
      <c r="A771" s="4"/>
      <c r="B771" s="4"/>
      <c r="C771" s="4"/>
      <c r="D771" s="4"/>
      <c r="E771" s="33"/>
      <c r="F771" s="33"/>
      <c r="G771" s="33"/>
    </row>
    <row r="772" spans="1:7" ht="23.25" x14ac:dyDescent="0.5">
      <c r="A772" s="33" t="s">
        <v>20</v>
      </c>
      <c r="B772" s="33"/>
      <c r="C772" s="33"/>
      <c r="D772" s="32" t="s">
        <v>21</v>
      </c>
      <c r="E772" s="33" t="s">
        <v>22</v>
      </c>
      <c r="F772" s="33"/>
      <c r="G772" s="33"/>
    </row>
    <row r="773" spans="1:7" ht="23.25" x14ac:dyDescent="0.5">
      <c r="A773" s="34" t="s">
        <v>23</v>
      </c>
      <c r="B773" s="34"/>
      <c r="C773" s="34"/>
      <c r="D773" s="32"/>
      <c r="E773" s="34"/>
      <c r="F773" s="34"/>
      <c r="G773" s="34"/>
    </row>
    <row r="774" spans="1:7" ht="23.25" x14ac:dyDescent="0.5">
      <c r="A774" s="34" t="s">
        <v>24</v>
      </c>
      <c r="B774" s="34"/>
      <c r="C774" s="34"/>
      <c r="D774" s="32"/>
      <c r="E774" s="34"/>
      <c r="F774" s="34"/>
      <c r="G774" s="34"/>
    </row>
    <row r="775" spans="1:7" ht="23.25" x14ac:dyDescent="0.5">
      <c r="A775" s="4"/>
      <c r="B775" s="4"/>
      <c r="C775" s="4"/>
      <c r="D775" s="4"/>
      <c r="E775" s="33" t="s">
        <v>25</v>
      </c>
      <c r="F775" s="33"/>
      <c r="G775" s="33"/>
    </row>
    <row r="776" spans="1:7" ht="29.25" x14ac:dyDescent="0.2">
      <c r="A776" s="1" t="s">
        <v>0</v>
      </c>
      <c r="B776" s="1"/>
      <c r="C776" s="1"/>
      <c r="D776" s="1"/>
      <c r="E776" s="1"/>
      <c r="F776" s="1"/>
      <c r="G776" s="1"/>
    </row>
    <row r="777" spans="1:7" ht="23.25" x14ac:dyDescent="0.5">
      <c r="A777" s="2" t="s">
        <v>1</v>
      </c>
      <c r="B777" s="2"/>
      <c r="C777" s="2"/>
      <c r="D777" s="2"/>
      <c r="E777" s="2"/>
      <c r="F777" s="2"/>
      <c r="G777" s="2"/>
    </row>
    <row r="778" spans="1:7" ht="23.25" x14ac:dyDescent="0.5">
      <c r="A778" s="3" t="s">
        <v>2</v>
      </c>
      <c r="B778" s="4"/>
      <c r="C778" s="4"/>
      <c r="D778" s="4"/>
      <c r="E778" s="4"/>
      <c r="F778" s="4"/>
      <c r="G778" s="4"/>
    </row>
    <row r="779" spans="1:7" ht="23.25" x14ac:dyDescent="0.5">
      <c r="A779" s="3" t="s">
        <v>34</v>
      </c>
      <c r="B779" s="4"/>
      <c r="C779" s="4"/>
      <c r="D779" s="4"/>
      <c r="E779" s="4"/>
      <c r="F779" s="4"/>
      <c r="G779" s="4"/>
    </row>
    <row r="780" spans="1:7" ht="23.25" x14ac:dyDescent="0.5">
      <c r="A780" s="4" t="s">
        <v>4</v>
      </c>
      <c r="B780" s="4"/>
      <c r="C780" s="4"/>
      <c r="D780" s="4"/>
      <c r="E780" s="4"/>
      <c r="F780" s="4"/>
      <c r="G780" s="4"/>
    </row>
    <row r="781" spans="1:7" ht="23.25" x14ac:dyDescent="0.5">
      <c r="A781" s="4" t="s">
        <v>35</v>
      </c>
      <c r="B781" s="4"/>
      <c r="C781" s="4"/>
      <c r="D781" s="4"/>
      <c r="E781" s="4"/>
      <c r="F781" s="4"/>
      <c r="G781" s="4"/>
    </row>
    <row r="782" spans="1:7" ht="23.25" x14ac:dyDescent="0.5">
      <c r="A782" s="3"/>
      <c r="B782" s="4"/>
      <c r="C782" s="4"/>
      <c r="D782" s="4"/>
      <c r="E782" s="4"/>
      <c r="F782" s="4"/>
      <c r="G782" s="4"/>
    </row>
    <row r="783" spans="1:7" ht="23.25" x14ac:dyDescent="0.5">
      <c r="A783" s="5" t="s">
        <v>6</v>
      </c>
      <c r="B783" s="6" t="s">
        <v>7</v>
      </c>
      <c r="C783" s="7"/>
      <c r="D783" s="8"/>
      <c r="E783" s="5" t="s">
        <v>8</v>
      </c>
      <c r="F783" s="9" t="s">
        <v>9</v>
      </c>
      <c r="G783" s="10"/>
    </row>
    <row r="784" spans="1:7" ht="23.25" x14ac:dyDescent="0.5">
      <c r="A784" s="11"/>
      <c r="B784" s="12"/>
      <c r="C784" s="13"/>
      <c r="D784" s="14"/>
      <c r="E784" s="11"/>
      <c r="F784" s="9" t="s">
        <v>10</v>
      </c>
      <c r="G784" s="10"/>
    </row>
    <row r="785" spans="1:7" ht="23.25" x14ac:dyDescent="0.5">
      <c r="A785" s="15">
        <v>1</v>
      </c>
      <c r="B785" s="16" t="s">
        <v>166</v>
      </c>
      <c r="C785" s="17"/>
      <c r="D785" s="18"/>
      <c r="E785" s="19" t="s">
        <v>167</v>
      </c>
      <c r="F785" s="20">
        <v>8450</v>
      </c>
      <c r="G785" s="21"/>
    </row>
    <row r="786" spans="1:7" ht="23.25" x14ac:dyDescent="0.5">
      <c r="A786" s="22">
        <v>2</v>
      </c>
      <c r="B786" s="16" t="s">
        <v>166</v>
      </c>
      <c r="C786" s="17"/>
      <c r="D786" s="18"/>
      <c r="E786" s="19" t="s">
        <v>168</v>
      </c>
      <c r="F786" s="20">
        <v>630</v>
      </c>
      <c r="G786" s="21"/>
    </row>
    <row r="787" spans="1:7" ht="23.25" x14ac:dyDescent="0.5">
      <c r="A787" s="15"/>
      <c r="B787" s="16"/>
      <c r="C787" s="17"/>
      <c r="D787" s="18"/>
      <c r="E787" s="19"/>
      <c r="F787" s="20"/>
      <c r="G787" s="21"/>
    </row>
    <row r="788" spans="1:7" ht="23.25" x14ac:dyDescent="0.5">
      <c r="A788" s="22"/>
      <c r="B788" s="16"/>
      <c r="C788" s="17"/>
      <c r="D788" s="18"/>
      <c r="E788" s="19"/>
      <c r="F788" s="20"/>
      <c r="G788" s="21"/>
    </row>
    <row r="789" spans="1:7" ht="23.25" x14ac:dyDescent="0.5">
      <c r="A789" s="15"/>
      <c r="B789" s="16"/>
      <c r="C789" s="17"/>
      <c r="D789" s="18"/>
      <c r="E789" s="19"/>
      <c r="F789" s="20"/>
      <c r="G789" s="21"/>
    </row>
    <row r="790" spans="1:7" ht="23.25" x14ac:dyDescent="0.5">
      <c r="A790" s="15"/>
      <c r="B790" s="16"/>
      <c r="C790" s="17"/>
      <c r="D790" s="18"/>
      <c r="E790" s="23"/>
      <c r="F790" s="24"/>
      <c r="G790" s="25"/>
    </row>
    <row r="791" spans="1:7" ht="23.25" x14ac:dyDescent="0.5">
      <c r="A791" s="15"/>
      <c r="B791" s="9"/>
      <c r="C791" s="26"/>
      <c r="D791" s="10"/>
      <c r="E791" s="23"/>
      <c r="F791" s="24"/>
      <c r="G791" s="25"/>
    </row>
    <row r="792" spans="1:7" ht="23.25" x14ac:dyDescent="0.5">
      <c r="A792" s="15"/>
      <c r="B792" s="9"/>
      <c r="C792" s="26"/>
      <c r="D792" s="10"/>
      <c r="E792" s="23"/>
      <c r="F792" s="24"/>
      <c r="G792" s="25"/>
    </row>
    <row r="793" spans="1:7" ht="23.25" x14ac:dyDescent="0.5">
      <c r="A793" s="27" t="s">
        <v>14</v>
      </c>
      <c r="B793" s="28"/>
      <c r="C793" s="28"/>
      <c r="D793" s="28"/>
      <c r="E793" s="29"/>
      <c r="F793" s="20">
        <f>SUM(F785:F792)</f>
        <v>9080</v>
      </c>
      <c r="G793" s="21"/>
    </row>
    <row r="794" spans="1:7" ht="23.25" x14ac:dyDescent="0.5">
      <c r="A794" s="4"/>
      <c r="B794" s="30" t="str">
        <f>(BAHTTEXT(F793))</f>
        <v>เก้าพันแปดสิบบาทถ้วน</v>
      </c>
      <c r="C794" s="30"/>
      <c r="D794" s="30"/>
      <c r="E794" s="30"/>
      <c r="F794" s="4"/>
      <c r="G794" s="4"/>
    </row>
    <row r="795" spans="1:7" ht="23.25" x14ac:dyDescent="0.5">
      <c r="A795" s="4" t="s">
        <v>37</v>
      </c>
      <c r="B795" s="4"/>
      <c r="C795" s="4"/>
      <c r="D795" s="4"/>
      <c r="E795" s="4"/>
      <c r="F795" s="4"/>
      <c r="G795" s="4"/>
    </row>
    <row r="796" spans="1:7" ht="23.25" x14ac:dyDescent="0.5">
      <c r="A796" s="37" t="s">
        <v>38</v>
      </c>
      <c r="B796" s="37"/>
      <c r="C796" s="37"/>
      <c r="D796" s="37"/>
      <c r="E796" s="37"/>
      <c r="F796" s="37"/>
      <c r="G796" s="37"/>
    </row>
    <row r="797" spans="1:7" ht="23.25" x14ac:dyDescent="0.5">
      <c r="A797" s="4" t="s">
        <v>169</v>
      </c>
      <c r="B797" s="4"/>
      <c r="C797" s="4"/>
      <c r="D797" s="4"/>
      <c r="E797" s="31"/>
      <c r="F797" s="32"/>
      <c r="G797" s="4"/>
    </row>
    <row r="798" spans="1:7" ht="23.25" x14ac:dyDescent="0.5">
      <c r="A798" s="4" t="s">
        <v>18</v>
      </c>
      <c r="B798" s="4"/>
      <c r="C798" s="4"/>
      <c r="D798" s="4"/>
      <c r="E798" s="4"/>
      <c r="F798" s="4"/>
      <c r="G798" s="4"/>
    </row>
    <row r="799" spans="1:7" ht="23.25" x14ac:dyDescent="0.5">
      <c r="A799" s="4"/>
      <c r="B799" s="4"/>
      <c r="C799" s="4"/>
      <c r="D799" s="4"/>
      <c r="E799" s="3" t="s">
        <v>19</v>
      </c>
      <c r="F799" s="3"/>
      <c r="G799" s="4"/>
    </row>
    <row r="800" spans="1:7" ht="23.25" x14ac:dyDescent="0.5">
      <c r="A800" s="4"/>
      <c r="B800" s="4"/>
      <c r="C800" s="4"/>
      <c r="D800" s="4"/>
      <c r="E800" s="33"/>
      <c r="F800" s="33"/>
      <c r="G800" s="33"/>
    </row>
    <row r="801" spans="1:7" ht="23.25" x14ac:dyDescent="0.5">
      <c r="A801" s="4"/>
      <c r="B801" s="4"/>
      <c r="C801" s="4"/>
      <c r="D801" s="4"/>
      <c r="E801" s="33"/>
      <c r="F801" s="33"/>
      <c r="G801" s="33"/>
    </row>
    <row r="802" spans="1:7" ht="23.25" x14ac:dyDescent="0.5">
      <c r="A802" s="33" t="s">
        <v>20</v>
      </c>
      <c r="B802" s="33"/>
      <c r="C802" s="33"/>
      <c r="D802" s="32" t="s">
        <v>21</v>
      </c>
      <c r="E802" s="33" t="s">
        <v>22</v>
      </c>
      <c r="F802" s="33"/>
      <c r="G802" s="33"/>
    </row>
    <row r="803" spans="1:7" ht="23.25" x14ac:dyDescent="0.5">
      <c r="A803" s="34" t="s">
        <v>23</v>
      </c>
      <c r="B803" s="34"/>
      <c r="C803" s="34"/>
      <c r="D803" s="32"/>
      <c r="E803" s="34"/>
      <c r="F803" s="34"/>
      <c r="G803" s="34"/>
    </row>
    <row r="804" spans="1:7" ht="23.25" x14ac:dyDescent="0.5">
      <c r="A804" s="34" t="s">
        <v>24</v>
      </c>
      <c r="B804" s="34"/>
      <c r="C804" s="34"/>
      <c r="D804" s="32"/>
      <c r="E804" s="34"/>
      <c r="F804" s="34"/>
      <c r="G804" s="34"/>
    </row>
    <row r="805" spans="1:7" ht="23.25" x14ac:dyDescent="0.5">
      <c r="A805" s="4"/>
      <c r="B805" s="4"/>
      <c r="C805" s="4"/>
      <c r="D805" s="4"/>
      <c r="E805" s="33" t="s">
        <v>25</v>
      </c>
      <c r="F805" s="33"/>
      <c r="G805" s="33"/>
    </row>
  </sheetData>
  <mergeCells count="962">
    <mergeCell ref="A803:C803"/>
    <mergeCell ref="E803:G803"/>
    <mergeCell ref="A804:C804"/>
    <mergeCell ref="E804:G804"/>
    <mergeCell ref="E805:G805"/>
    <mergeCell ref="B794:E794"/>
    <mergeCell ref="A796:G796"/>
    <mergeCell ref="E800:G800"/>
    <mergeCell ref="E801:G801"/>
    <mergeCell ref="A802:C802"/>
    <mergeCell ref="E802:G802"/>
    <mergeCell ref="B791:D791"/>
    <mergeCell ref="F791:G791"/>
    <mergeCell ref="B792:D792"/>
    <mergeCell ref="F792:G792"/>
    <mergeCell ref="A793:E793"/>
    <mergeCell ref="F793:G793"/>
    <mergeCell ref="B788:D788"/>
    <mergeCell ref="F788:G788"/>
    <mergeCell ref="B789:D789"/>
    <mergeCell ref="F789:G789"/>
    <mergeCell ref="B790:D790"/>
    <mergeCell ref="F790:G790"/>
    <mergeCell ref="B785:D785"/>
    <mergeCell ref="F785:G785"/>
    <mergeCell ref="B786:D786"/>
    <mergeCell ref="F786:G786"/>
    <mergeCell ref="B787:D787"/>
    <mergeCell ref="F787:G787"/>
    <mergeCell ref="A774:C774"/>
    <mergeCell ref="E774:G774"/>
    <mergeCell ref="E775:G775"/>
    <mergeCell ref="A776:G776"/>
    <mergeCell ref="A777:G777"/>
    <mergeCell ref="A783:A784"/>
    <mergeCell ref="B783:D784"/>
    <mergeCell ref="E783:E784"/>
    <mergeCell ref="F783:G783"/>
    <mergeCell ref="F784:G784"/>
    <mergeCell ref="A764:D764"/>
    <mergeCell ref="E770:G770"/>
    <mergeCell ref="E771:G771"/>
    <mergeCell ref="A772:C772"/>
    <mergeCell ref="E772:G772"/>
    <mergeCell ref="A773:C773"/>
    <mergeCell ref="E773:G773"/>
    <mergeCell ref="B761:D761"/>
    <mergeCell ref="F761:G761"/>
    <mergeCell ref="B762:D762"/>
    <mergeCell ref="F762:G762"/>
    <mergeCell ref="A763:E763"/>
    <mergeCell ref="F763:G763"/>
    <mergeCell ref="B758:D758"/>
    <mergeCell ref="F758:G758"/>
    <mergeCell ref="B759:D759"/>
    <mergeCell ref="F759:G759"/>
    <mergeCell ref="B760:D760"/>
    <mergeCell ref="F760:G760"/>
    <mergeCell ref="B755:D755"/>
    <mergeCell ref="F755:G755"/>
    <mergeCell ref="B756:D756"/>
    <mergeCell ref="F756:G756"/>
    <mergeCell ref="B757:D757"/>
    <mergeCell ref="F757:G757"/>
    <mergeCell ref="A747:G747"/>
    <mergeCell ref="A753:A754"/>
    <mergeCell ref="B753:D754"/>
    <mergeCell ref="E753:E754"/>
    <mergeCell ref="F753:G753"/>
    <mergeCell ref="F754:G754"/>
    <mergeCell ref="A743:C743"/>
    <mergeCell ref="E743:G743"/>
    <mergeCell ref="A744:C744"/>
    <mergeCell ref="E744:G744"/>
    <mergeCell ref="E745:G745"/>
    <mergeCell ref="A746:G746"/>
    <mergeCell ref="A733:E733"/>
    <mergeCell ref="F733:G733"/>
    <mergeCell ref="B734:E734"/>
    <mergeCell ref="E740:G740"/>
    <mergeCell ref="E741:G741"/>
    <mergeCell ref="A742:C742"/>
    <mergeCell ref="E742:G742"/>
    <mergeCell ref="B730:D730"/>
    <mergeCell ref="F730:G730"/>
    <mergeCell ref="B731:D731"/>
    <mergeCell ref="F731:G731"/>
    <mergeCell ref="B732:D732"/>
    <mergeCell ref="F732:G732"/>
    <mergeCell ref="F726:G726"/>
    <mergeCell ref="F727:G727"/>
    <mergeCell ref="B728:D728"/>
    <mergeCell ref="F728:G728"/>
    <mergeCell ref="B729:D729"/>
    <mergeCell ref="F729:G729"/>
    <mergeCell ref="A717:G717"/>
    <mergeCell ref="A724:A725"/>
    <mergeCell ref="B724:D725"/>
    <mergeCell ref="E724:E725"/>
    <mergeCell ref="F724:G724"/>
    <mergeCell ref="F725:G725"/>
    <mergeCell ref="A713:C713"/>
    <mergeCell ref="E713:G713"/>
    <mergeCell ref="A714:C714"/>
    <mergeCell ref="E714:G714"/>
    <mergeCell ref="E715:G715"/>
    <mergeCell ref="A716:G716"/>
    <mergeCell ref="B704:E704"/>
    <mergeCell ref="A706:G706"/>
    <mergeCell ref="E710:G710"/>
    <mergeCell ref="E711:G711"/>
    <mergeCell ref="A712:C712"/>
    <mergeCell ref="E712:G712"/>
    <mergeCell ref="B701:D701"/>
    <mergeCell ref="F701:G701"/>
    <mergeCell ref="B702:D702"/>
    <mergeCell ref="F702:G702"/>
    <mergeCell ref="A703:E703"/>
    <mergeCell ref="F703:G703"/>
    <mergeCell ref="B698:D698"/>
    <mergeCell ref="F698:G698"/>
    <mergeCell ref="B699:D699"/>
    <mergeCell ref="F699:G699"/>
    <mergeCell ref="B700:D700"/>
    <mergeCell ref="F700:G700"/>
    <mergeCell ref="B695:D695"/>
    <mergeCell ref="F695:G695"/>
    <mergeCell ref="B696:D696"/>
    <mergeCell ref="F696:G696"/>
    <mergeCell ref="B697:D697"/>
    <mergeCell ref="F697:G697"/>
    <mergeCell ref="A687:G687"/>
    <mergeCell ref="A693:A694"/>
    <mergeCell ref="B693:D694"/>
    <mergeCell ref="E693:E694"/>
    <mergeCell ref="F693:G693"/>
    <mergeCell ref="F694:G694"/>
    <mergeCell ref="A683:C683"/>
    <mergeCell ref="E683:G683"/>
    <mergeCell ref="A684:C684"/>
    <mergeCell ref="E684:G684"/>
    <mergeCell ref="E685:G685"/>
    <mergeCell ref="A686:G686"/>
    <mergeCell ref="B674:E674"/>
    <mergeCell ref="A676:G676"/>
    <mergeCell ref="E680:G680"/>
    <mergeCell ref="E681:G681"/>
    <mergeCell ref="A682:C682"/>
    <mergeCell ref="E682:G682"/>
    <mergeCell ref="B671:D671"/>
    <mergeCell ref="F671:G671"/>
    <mergeCell ref="B672:D672"/>
    <mergeCell ref="F672:G672"/>
    <mergeCell ref="A673:E673"/>
    <mergeCell ref="F673:G673"/>
    <mergeCell ref="B668:D668"/>
    <mergeCell ref="F668:G668"/>
    <mergeCell ref="B669:D669"/>
    <mergeCell ref="F669:G669"/>
    <mergeCell ref="B670:D670"/>
    <mergeCell ref="F670:G670"/>
    <mergeCell ref="B665:D665"/>
    <mergeCell ref="F665:G665"/>
    <mergeCell ref="B666:D666"/>
    <mergeCell ref="F666:G666"/>
    <mergeCell ref="B667:D667"/>
    <mergeCell ref="F667:G667"/>
    <mergeCell ref="A654:C654"/>
    <mergeCell ref="E654:G654"/>
    <mergeCell ref="E655:G655"/>
    <mergeCell ref="A656:G656"/>
    <mergeCell ref="A657:G657"/>
    <mergeCell ref="A663:A664"/>
    <mergeCell ref="B663:D664"/>
    <mergeCell ref="E663:E664"/>
    <mergeCell ref="F663:G663"/>
    <mergeCell ref="F664:G664"/>
    <mergeCell ref="B644:E644"/>
    <mergeCell ref="E650:G650"/>
    <mergeCell ref="E651:G651"/>
    <mergeCell ref="A652:C652"/>
    <mergeCell ref="E652:G652"/>
    <mergeCell ref="A653:C653"/>
    <mergeCell ref="E653:G653"/>
    <mergeCell ref="B641:D641"/>
    <mergeCell ref="F641:G641"/>
    <mergeCell ref="B642:D642"/>
    <mergeCell ref="F642:G642"/>
    <mergeCell ref="A643:E643"/>
    <mergeCell ref="F643:G643"/>
    <mergeCell ref="B638:D638"/>
    <mergeCell ref="F638:G638"/>
    <mergeCell ref="B639:D639"/>
    <mergeCell ref="F639:G639"/>
    <mergeCell ref="B640:D640"/>
    <mergeCell ref="F640:G640"/>
    <mergeCell ref="B635:D635"/>
    <mergeCell ref="F635:G635"/>
    <mergeCell ref="B636:D636"/>
    <mergeCell ref="F636:G636"/>
    <mergeCell ref="B637:D637"/>
    <mergeCell ref="F637:G637"/>
    <mergeCell ref="A627:G627"/>
    <mergeCell ref="A633:A634"/>
    <mergeCell ref="B633:D634"/>
    <mergeCell ref="E633:E634"/>
    <mergeCell ref="F633:G633"/>
    <mergeCell ref="F634:G634"/>
    <mergeCell ref="A623:C623"/>
    <mergeCell ref="E623:G623"/>
    <mergeCell ref="A624:C624"/>
    <mergeCell ref="E624:G624"/>
    <mergeCell ref="E625:G625"/>
    <mergeCell ref="A626:G626"/>
    <mergeCell ref="B614:E614"/>
    <mergeCell ref="A616:G616"/>
    <mergeCell ref="E620:G620"/>
    <mergeCell ref="E621:G621"/>
    <mergeCell ref="A622:C622"/>
    <mergeCell ref="E622:G622"/>
    <mergeCell ref="B611:D611"/>
    <mergeCell ref="F611:G611"/>
    <mergeCell ref="B612:D612"/>
    <mergeCell ref="F612:G612"/>
    <mergeCell ref="A613:E613"/>
    <mergeCell ref="F613:G613"/>
    <mergeCell ref="B608:D608"/>
    <mergeCell ref="F608:G608"/>
    <mergeCell ref="B609:D609"/>
    <mergeCell ref="F609:G609"/>
    <mergeCell ref="B610:D610"/>
    <mergeCell ref="F610:G610"/>
    <mergeCell ref="B605:D605"/>
    <mergeCell ref="F605:G605"/>
    <mergeCell ref="B606:D606"/>
    <mergeCell ref="F606:G606"/>
    <mergeCell ref="B607:D607"/>
    <mergeCell ref="F607:G607"/>
    <mergeCell ref="A594:C594"/>
    <mergeCell ref="E594:G594"/>
    <mergeCell ref="E595:G595"/>
    <mergeCell ref="A596:G596"/>
    <mergeCell ref="A597:G597"/>
    <mergeCell ref="A603:A604"/>
    <mergeCell ref="B603:D604"/>
    <mergeCell ref="E603:E604"/>
    <mergeCell ref="F603:G603"/>
    <mergeCell ref="F604:G604"/>
    <mergeCell ref="B584:E584"/>
    <mergeCell ref="E590:G590"/>
    <mergeCell ref="E591:G591"/>
    <mergeCell ref="A592:C592"/>
    <mergeCell ref="E592:G592"/>
    <mergeCell ref="A593:C593"/>
    <mergeCell ref="E593:G593"/>
    <mergeCell ref="B581:D581"/>
    <mergeCell ref="F581:G581"/>
    <mergeCell ref="B582:D582"/>
    <mergeCell ref="F582:G582"/>
    <mergeCell ref="A583:E583"/>
    <mergeCell ref="F583:G583"/>
    <mergeCell ref="B578:D578"/>
    <mergeCell ref="F578:G578"/>
    <mergeCell ref="B579:D579"/>
    <mergeCell ref="F579:G579"/>
    <mergeCell ref="B580:D580"/>
    <mergeCell ref="F580:G580"/>
    <mergeCell ref="B575:D575"/>
    <mergeCell ref="F575:G575"/>
    <mergeCell ref="B576:D576"/>
    <mergeCell ref="F576:G576"/>
    <mergeCell ref="B577:D577"/>
    <mergeCell ref="F577:G577"/>
    <mergeCell ref="A567:G567"/>
    <mergeCell ref="A573:A574"/>
    <mergeCell ref="B573:D574"/>
    <mergeCell ref="E573:E574"/>
    <mergeCell ref="F573:G573"/>
    <mergeCell ref="F574:G574"/>
    <mergeCell ref="A563:C563"/>
    <mergeCell ref="E563:G563"/>
    <mergeCell ref="A564:C564"/>
    <mergeCell ref="E564:G564"/>
    <mergeCell ref="E565:G565"/>
    <mergeCell ref="A566:G566"/>
    <mergeCell ref="B554:E554"/>
    <mergeCell ref="A556:G556"/>
    <mergeCell ref="E560:G560"/>
    <mergeCell ref="E561:G561"/>
    <mergeCell ref="A562:C562"/>
    <mergeCell ref="E562:G562"/>
    <mergeCell ref="B551:D551"/>
    <mergeCell ref="F551:G551"/>
    <mergeCell ref="B552:D552"/>
    <mergeCell ref="F552:G552"/>
    <mergeCell ref="A553:E553"/>
    <mergeCell ref="F553:G553"/>
    <mergeCell ref="B548:D548"/>
    <mergeCell ref="F548:G548"/>
    <mergeCell ref="B549:D549"/>
    <mergeCell ref="F549:G549"/>
    <mergeCell ref="B550:D550"/>
    <mergeCell ref="F550:G550"/>
    <mergeCell ref="B545:D545"/>
    <mergeCell ref="F545:G545"/>
    <mergeCell ref="B546:D546"/>
    <mergeCell ref="F546:G546"/>
    <mergeCell ref="B547:D547"/>
    <mergeCell ref="F547:G547"/>
    <mergeCell ref="A537:G537"/>
    <mergeCell ref="A543:A544"/>
    <mergeCell ref="B543:D544"/>
    <mergeCell ref="E543:E544"/>
    <mergeCell ref="F543:G543"/>
    <mergeCell ref="F544:G544"/>
    <mergeCell ref="A532:C532"/>
    <mergeCell ref="E532:G532"/>
    <mergeCell ref="A533:C533"/>
    <mergeCell ref="E533:G533"/>
    <mergeCell ref="E534:G534"/>
    <mergeCell ref="A536:G536"/>
    <mergeCell ref="B523:E523"/>
    <mergeCell ref="A525:G525"/>
    <mergeCell ref="E529:G529"/>
    <mergeCell ref="E530:G530"/>
    <mergeCell ref="A531:C531"/>
    <mergeCell ref="E531:G531"/>
    <mergeCell ref="B520:D520"/>
    <mergeCell ref="F520:G520"/>
    <mergeCell ref="B521:D521"/>
    <mergeCell ref="F521:G521"/>
    <mergeCell ref="A522:E522"/>
    <mergeCell ref="F522:G522"/>
    <mergeCell ref="B517:D517"/>
    <mergeCell ref="F517:G517"/>
    <mergeCell ref="B518:D518"/>
    <mergeCell ref="F518:G518"/>
    <mergeCell ref="B519:D519"/>
    <mergeCell ref="F519:G519"/>
    <mergeCell ref="B514:D514"/>
    <mergeCell ref="F514:G514"/>
    <mergeCell ref="B515:D515"/>
    <mergeCell ref="F515:G515"/>
    <mergeCell ref="B516:D516"/>
    <mergeCell ref="F516:G516"/>
    <mergeCell ref="A506:G506"/>
    <mergeCell ref="A512:A513"/>
    <mergeCell ref="B512:D513"/>
    <mergeCell ref="E512:E513"/>
    <mergeCell ref="F512:G512"/>
    <mergeCell ref="F513:G513"/>
    <mergeCell ref="A502:C502"/>
    <mergeCell ref="E502:G502"/>
    <mergeCell ref="A503:C503"/>
    <mergeCell ref="E503:G503"/>
    <mergeCell ref="E504:G504"/>
    <mergeCell ref="A505:G505"/>
    <mergeCell ref="B493:E493"/>
    <mergeCell ref="A495:G495"/>
    <mergeCell ref="E499:G499"/>
    <mergeCell ref="E500:G500"/>
    <mergeCell ref="A501:C501"/>
    <mergeCell ref="E501:G501"/>
    <mergeCell ref="B490:D490"/>
    <mergeCell ref="F490:G490"/>
    <mergeCell ref="B491:D491"/>
    <mergeCell ref="F491:G491"/>
    <mergeCell ref="A492:E492"/>
    <mergeCell ref="F492:G492"/>
    <mergeCell ref="B487:D487"/>
    <mergeCell ref="F487:G487"/>
    <mergeCell ref="B488:D488"/>
    <mergeCell ref="F488:G488"/>
    <mergeCell ref="B489:D489"/>
    <mergeCell ref="F489:G489"/>
    <mergeCell ref="B484:D484"/>
    <mergeCell ref="F484:G484"/>
    <mergeCell ref="B485:D485"/>
    <mergeCell ref="F485:G485"/>
    <mergeCell ref="B486:D486"/>
    <mergeCell ref="F486:G486"/>
    <mergeCell ref="A476:G476"/>
    <mergeCell ref="A482:A483"/>
    <mergeCell ref="B482:D483"/>
    <mergeCell ref="E482:E483"/>
    <mergeCell ref="F482:G482"/>
    <mergeCell ref="F483:G483"/>
    <mergeCell ref="A471:C471"/>
    <mergeCell ref="E471:G471"/>
    <mergeCell ref="A472:C472"/>
    <mergeCell ref="E472:G472"/>
    <mergeCell ref="E473:G473"/>
    <mergeCell ref="A475:G475"/>
    <mergeCell ref="B462:E462"/>
    <mergeCell ref="A464:G464"/>
    <mergeCell ref="E468:G468"/>
    <mergeCell ref="E469:G469"/>
    <mergeCell ref="A470:C470"/>
    <mergeCell ref="E470:G470"/>
    <mergeCell ref="B459:D459"/>
    <mergeCell ref="F459:G459"/>
    <mergeCell ref="B460:D460"/>
    <mergeCell ref="F460:G460"/>
    <mergeCell ref="A461:E461"/>
    <mergeCell ref="F461:G461"/>
    <mergeCell ref="B456:D456"/>
    <mergeCell ref="F456:G456"/>
    <mergeCell ref="B457:D457"/>
    <mergeCell ref="F457:G457"/>
    <mergeCell ref="B458:D458"/>
    <mergeCell ref="F458:G458"/>
    <mergeCell ref="B453:D453"/>
    <mergeCell ref="F453:G453"/>
    <mergeCell ref="B454:D454"/>
    <mergeCell ref="F454:G454"/>
    <mergeCell ref="B455:D455"/>
    <mergeCell ref="F455:G455"/>
    <mergeCell ref="A441:C441"/>
    <mergeCell ref="E441:G441"/>
    <mergeCell ref="E442:G442"/>
    <mergeCell ref="A444:G444"/>
    <mergeCell ref="A445:G445"/>
    <mergeCell ref="A451:A452"/>
    <mergeCell ref="B451:D452"/>
    <mergeCell ref="E451:E452"/>
    <mergeCell ref="F451:G451"/>
    <mergeCell ref="F452:G452"/>
    <mergeCell ref="A431:F431"/>
    <mergeCell ref="E437:G437"/>
    <mergeCell ref="E438:G438"/>
    <mergeCell ref="A439:C439"/>
    <mergeCell ref="E439:G439"/>
    <mergeCell ref="A440:C440"/>
    <mergeCell ref="E440:G440"/>
    <mergeCell ref="B428:D428"/>
    <mergeCell ref="F428:G428"/>
    <mergeCell ref="B429:D429"/>
    <mergeCell ref="F429:G429"/>
    <mergeCell ref="A430:E430"/>
    <mergeCell ref="F430:G430"/>
    <mergeCell ref="B425:D425"/>
    <mergeCell ref="F425:G425"/>
    <mergeCell ref="B426:D426"/>
    <mergeCell ref="F426:G426"/>
    <mergeCell ref="B427:D427"/>
    <mergeCell ref="F427:G427"/>
    <mergeCell ref="F421:G421"/>
    <mergeCell ref="B422:D422"/>
    <mergeCell ref="F422:G422"/>
    <mergeCell ref="B423:D423"/>
    <mergeCell ref="F423:G423"/>
    <mergeCell ref="B424:D424"/>
    <mergeCell ref="F424:G424"/>
    <mergeCell ref="B418:D418"/>
    <mergeCell ref="F418:G418"/>
    <mergeCell ref="B419:D419"/>
    <mergeCell ref="F419:G419"/>
    <mergeCell ref="B420:D420"/>
    <mergeCell ref="F420:G420"/>
    <mergeCell ref="B415:D415"/>
    <mergeCell ref="F415:G415"/>
    <mergeCell ref="B416:D416"/>
    <mergeCell ref="F416:G416"/>
    <mergeCell ref="B417:D417"/>
    <mergeCell ref="F417:G417"/>
    <mergeCell ref="A403:C403"/>
    <mergeCell ref="E403:G403"/>
    <mergeCell ref="E404:G404"/>
    <mergeCell ref="A405:G405"/>
    <mergeCell ref="A413:A414"/>
    <mergeCell ref="B413:D414"/>
    <mergeCell ref="E413:E414"/>
    <mergeCell ref="F413:G413"/>
    <mergeCell ref="A393:F393"/>
    <mergeCell ref="E399:G399"/>
    <mergeCell ref="E400:G400"/>
    <mergeCell ref="A401:C401"/>
    <mergeCell ref="E401:G401"/>
    <mergeCell ref="A402:C402"/>
    <mergeCell ref="E402:G402"/>
    <mergeCell ref="B390:D390"/>
    <mergeCell ref="F390:G390"/>
    <mergeCell ref="B391:D391"/>
    <mergeCell ref="F391:G391"/>
    <mergeCell ref="A392:E392"/>
    <mergeCell ref="F392:G392"/>
    <mergeCell ref="B387:D387"/>
    <mergeCell ref="F387:G387"/>
    <mergeCell ref="B388:D388"/>
    <mergeCell ref="F388:G388"/>
    <mergeCell ref="B389:D389"/>
    <mergeCell ref="F389:G389"/>
    <mergeCell ref="F383:G383"/>
    <mergeCell ref="B384:D384"/>
    <mergeCell ref="F384:G384"/>
    <mergeCell ref="B385:D385"/>
    <mergeCell ref="F385:G385"/>
    <mergeCell ref="B386:D386"/>
    <mergeCell ref="F386:G386"/>
    <mergeCell ref="B380:D380"/>
    <mergeCell ref="F380:G380"/>
    <mergeCell ref="B381:D381"/>
    <mergeCell ref="F381:G381"/>
    <mergeCell ref="B382:D382"/>
    <mergeCell ref="F382:G382"/>
    <mergeCell ref="B377:D377"/>
    <mergeCell ref="F377:G377"/>
    <mergeCell ref="B378:D378"/>
    <mergeCell ref="F378:G378"/>
    <mergeCell ref="B379:D379"/>
    <mergeCell ref="F379:G379"/>
    <mergeCell ref="A366:C366"/>
    <mergeCell ref="E366:G366"/>
    <mergeCell ref="A367:C367"/>
    <mergeCell ref="E367:G367"/>
    <mergeCell ref="A369:G369"/>
    <mergeCell ref="A375:A376"/>
    <mergeCell ref="B375:D376"/>
    <mergeCell ref="E375:E376"/>
    <mergeCell ref="F375:G375"/>
    <mergeCell ref="A356:E356"/>
    <mergeCell ref="F356:G356"/>
    <mergeCell ref="A357:F357"/>
    <mergeCell ref="E363:G363"/>
    <mergeCell ref="E364:G364"/>
    <mergeCell ref="A365:C365"/>
    <mergeCell ref="E365:G365"/>
    <mergeCell ref="B353:D353"/>
    <mergeCell ref="F353:G353"/>
    <mergeCell ref="B354:D354"/>
    <mergeCell ref="F354:G354"/>
    <mergeCell ref="B355:D355"/>
    <mergeCell ref="F355:G355"/>
    <mergeCell ref="B350:D350"/>
    <mergeCell ref="F350:G350"/>
    <mergeCell ref="B351:D351"/>
    <mergeCell ref="F351:G351"/>
    <mergeCell ref="B352:D352"/>
    <mergeCell ref="F352:G352"/>
    <mergeCell ref="F346:G346"/>
    <mergeCell ref="B347:D347"/>
    <mergeCell ref="F347:G347"/>
    <mergeCell ref="B348:D348"/>
    <mergeCell ref="F348:G348"/>
    <mergeCell ref="B349:D349"/>
    <mergeCell ref="F349:G349"/>
    <mergeCell ref="B343:D343"/>
    <mergeCell ref="F343:G343"/>
    <mergeCell ref="B344:D344"/>
    <mergeCell ref="F344:G344"/>
    <mergeCell ref="B345:D345"/>
    <mergeCell ref="F345:G345"/>
    <mergeCell ref="B340:D340"/>
    <mergeCell ref="F340:G340"/>
    <mergeCell ref="B341:D341"/>
    <mergeCell ref="F341:G341"/>
    <mergeCell ref="B342:D342"/>
    <mergeCell ref="F342:G342"/>
    <mergeCell ref="A330:C330"/>
    <mergeCell ref="E330:G330"/>
    <mergeCell ref="E331:G331"/>
    <mergeCell ref="A332:G332"/>
    <mergeCell ref="A338:A339"/>
    <mergeCell ref="B338:D339"/>
    <mergeCell ref="E338:E339"/>
    <mergeCell ref="F338:G338"/>
    <mergeCell ref="A320:E320"/>
    <mergeCell ref="E326:G326"/>
    <mergeCell ref="E327:G327"/>
    <mergeCell ref="A328:C328"/>
    <mergeCell ref="E328:G328"/>
    <mergeCell ref="A329:C329"/>
    <mergeCell ref="E329:G329"/>
    <mergeCell ref="B317:D317"/>
    <mergeCell ref="F317:G317"/>
    <mergeCell ref="B318:D318"/>
    <mergeCell ref="F318:G318"/>
    <mergeCell ref="A319:E319"/>
    <mergeCell ref="F319:G319"/>
    <mergeCell ref="B314:D314"/>
    <mergeCell ref="F314:G314"/>
    <mergeCell ref="B315:D315"/>
    <mergeCell ref="F315:G315"/>
    <mergeCell ref="B316:D316"/>
    <mergeCell ref="F316:G316"/>
    <mergeCell ref="B311:D311"/>
    <mergeCell ref="F311:G311"/>
    <mergeCell ref="B312:D312"/>
    <mergeCell ref="F312:G312"/>
    <mergeCell ref="B313:D313"/>
    <mergeCell ref="F313:G313"/>
    <mergeCell ref="B307:D307"/>
    <mergeCell ref="F307:G307"/>
    <mergeCell ref="B308:D308"/>
    <mergeCell ref="F308:G308"/>
    <mergeCell ref="F309:G309"/>
    <mergeCell ref="B310:D310"/>
    <mergeCell ref="F310:G310"/>
    <mergeCell ref="B304:D304"/>
    <mergeCell ref="F304:G304"/>
    <mergeCell ref="B305:D305"/>
    <mergeCell ref="F305:G305"/>
    <mergeCell ref="B306:D306"/>
    <mergeCell ref="F306:G306"/>
    <mergeCell ref="A301:A302"/>
    <mergeCell ref="B301:D302"/>
    <mergeCell ref="E301:E302"/>
    <mergeCell ref="F301:G301"/>
    <mergeCell ref="B303:D303"/>
    <mergeCell ref="F303:G303"/>
    <mergeCell ref="A291:C291"/>
    <mergeCell ref="E291:G291"/>
    <mergeCell ref="A292:C292"/>
    <mergeCell ref="E292:G292"/>
    <mergeCell ref="E293:G293"/>
    <mergeCell ref="A295:G295"/>
    <mergeCell ref="A281:E281"/>
    <mergeCell ref="F281:G281"/>
    <mergeCell ref="B282:E282"/>
    <mergeCell ref="E288:G288"/>
    <mergeCell ref="E289:G289"/>
    <mergeCell ref="A290:C290"/>
    <mergeCell ref="E290:G290"/>
    <mergeCell ref="B278:D278"/>
    <mergeCell ref="F278:G278"/>
    <mergeCell ref="B279:D279"/>
    <mergeCell ref="F279:G279"/>
    <mergeCell ref="B280:D280"/>
    <mergeCell ref="F280:G280"/>
    <mergeCell ref="B275:D275"/>
    <mergeCell ref="F275:G275"/>
    <mergeCell ref="B276:D276"/>
    <mergeCell ref="F276:G276"/>
    <mergeCell ref="B277:D277"/>
    <mergeCell ref="F277:G277"/>
    <mergeCell ref="B272:D272"/>
    <mergeCell ref="F272:G272"/>
    <mergeCell ref="B273:D273"/>
    <mergeCell ref="F273:G273"/>
    <mergeCell ref="B274:D274"/>
    <mergeCell ref="F274:G274"/>
    <mergeCell ref="B269:D269"/>
    <mergeCell ref="F269:G269"/>
    <mergeCell ref="B270:D270"/>
    <mergeCell ref="F270:G270"/>
    <mergeCell ref="B271:D271"/>
    <mergeCell ref="F271:G271"/>
    <mergeCell ref="B266:D266"/>
    <mergeCell ref="F266:G266"/>
    <mergeCell ref="B267:D267"/>
    <mergeCell ref="F267:G267"/>
    <mergeCell ref="B268:D268"/>
    <mergeCell ref="F268:G268"/>
    <mergeCell ref="A256:C256"/>
    <mergeCell ref="E256:G256"/>
    <mergeCell ref="E257:G257"/>
    <mergeCell ref="A258:G258"/>
    <mergeCell ref="A264:A265"/>
    <mergeCell ref="B264:D265"/>
    <mergeCell ref="E264:E265"/>
    <mergeCell ref="F264:G264"/>
    <mergeCell ref="B246:E246"/>
    <mergeCell ref="E252:G252"/>
    <mergeCell ref="E253:G253"/>
    <mergeCell ref="A254:C254"/>
    <mergeCell ref="E254:G254"/>
    <mergeCell ref="A255:C255"/>
    <mergeCell ref="E255:G255"/>
    <mergeCell ref="B243:D243"/>
    <mergeCell ref="F243:G243"/>
    <mergeCell ref="B244:D244"/>
    <mergeCell ref="F244:G244"/>
    <mergeCell ref="A245:E245"/>
    <mergeCell ref="F245:G245"/>
    <mergeCell ref="B240:D240"/>
    <mergeCell ref="F240:G240"/>
    <mergeCell ref="B241:D241"/>
    <mergeCell ref="F241:G241"/>
    <mergeCell ref="B242:D242"/>
    <mergeCell ref="F242:G242"/>
    <mergeCell ref="B237:D237"/>
    <mergeCell ref="F237:G237"/>
    <mergeCell ref="B238:D238"/>
    <mergeCell ref="F238:G238"/>
    <mergeCell ref="B239:D239"/>
    <mergeCell ref="F239:G239"/>
    <mergeCell ref="B234:D234"/>
    <mergeCell ref="F234:G234"/>
    <mergeCell ref="B235:D235"/>
    <mergeCell ref="F235:G235"/>
    <mergeCell ref="B236:D236"/>
    <mergeCell ref="F236:G236"/>
    <mergeCell ref="B231:D231"/>
    <mergeCell ref="F231:G231"/>
    <mergeCell ref="B232:D232"/>
    <mergeCell ref="F232:G232"/>
    <mergeCell ref="B233:D233"/>
    <mergeCell ref="F233:G233"/>
    <mergeCell ref="A228:A229"/>
    <mergeCell ref="B228:D229"/>
    <mergeCell ref="E228:E229"/>
    <mergeCell ref="F228:G228"/>
    <mergeCell ref="B230:D230"/>
    <mergeCell ref="F230:G230"/>
    <mergeCell ref="A218:C218"/>
    <mergeCell ref="E218:G218"/>
    <mergeCell ref="A219:C219"/>
    <mergeCell ref="E219:G219"/>
    <mergeCell ref="E220:G220"/>
    <mergeCell ref="A222:G222"/>
    <mergeCell ref="A208:E208"/>
    <mergeCell ref="F208:G208"/>
    <mergeCell ref="B209:E209"/>
    <mergeCell ref="E215:G215"/>
    <mergeCell ref="E216:G216"/>
    <mergeCell ref="A217:C217"/>
    <mergeCell ref="E217:G217"/>
    <mergeCell ref="B205:D205"/>
    <mergeCell ref="F205:G205"/>
    <mergeCell ref="B206:D206"/>
    <mergeCell ref="F206:G206"/>
    <mergeCell ref="B207:D207"/>
    <mergeCell ref="F207:G207"/>
    <mergeCell ref="B202:D202"/>
    <mergeCell ref="F202:G202"/>
    <mergeCell ref="B203:D203"/>
    <mergeCell ref="F203:G203"/>
    <mergeCell ref="B204:D204"/>
    <mergeCell ref="F204:G204"/>
    <mergeCell ref="B199:D199"/>
    <mergeCell ref="F199:G199"/>
    <mergeCell ref="B200:D200"/>
    <mergeCell ref="F200:G200"/>
    <mergeCell ref="B201:D201"/>
    <mergeCell ref="F201:G201"/>
    <mergeCell ref="E189:G189"/>
    <mergeCell ref="A191:G191"/>
    <mergeCell ref="A192:G192"/>
    <mergeCell ref="A197:A198"/>
    <mergeCell ref="B197:D198"/>
    <mergeCell ref="E197:E198"/>
    <mergeCell ref="F197:G197"/>
    <mergeCell ref="E185:G185"/>
    <mergeCell ref="A186:C186"/>
    <mergeCell ref="E186:G186"/>
    <mergeCell ref="A187:C187"/>
    <mergeCell ref="E187:G187"/>
    <mergeCell ref="A188:C188"/>
    <mergeCell ref="E188:G188"/>
    <mergeCell ref="B176:D176"/>
    <mergeCell ref="F176:G176"/>
    <mergeCell ref="A177:E177"/>
    <mergeCell ref="F177:G177"/>
    <mergeCell ref="B178:E178"/>
    <mergeCell ref="E184:G184"/>
    <mergeCell ref="B173:D173"/>
    <mergeCell ref="F173:G173"/>
    <mergeCell ref="B174:D174"/>
    <mergeCell ref="F174:G174"/>
    <mergeCell ref="B175:D175"/>
    <mergeCell ref="F175:G175"/>
    <mergeCell ref="B170:D170"/>
    <mergeCell ref="F170:G170"/>
    <mergeCell ref="B171:D171"/>
    <mergeCell ref="F171:G171"/>
    <mergeCell ref="B172:D172"/>
    <mergeCell ref="F172:G172"/>
    <mergeCell ref="B166:D166"/>
    <mergeCell ref="F166:G166"/>
    <mergeCell ref="B167:D167"/>
    <mergeCell ref="F167:G167"/>
    <mergeCell ref="F168:G168"/>
    <mergeCell ref="B169:D169"/>
    <mergeCell ref="F169:G169"/>
    <mergeCell ref="B163:D163"/>
    <mergeCell ref="F163:G163"/>
    <mergeCell ref="B164:D164"/>
    <mergeCell ref="F164:G164"/>
    <mergeCell ref="B165:D165"/>
    <mergeCell ref="F165:G165"/>
    <mergeCell ref="A153:C153"/>
    <mergeCell ref="E153:G153"/>
    <mergeCell ref="E154:G154"/>
    <mergeCell ref="A155:G155"/>
    <mergeCell ref="A161:A162"/>
    <mergeCell ref="B161:D162"/>
    <mergeCell ref="E161:E162"/>
    <mergeCell ref="F161:G161"/>
    <mergeCell ref="B143:E143"/>
    <mergeCell ref="E149:G149"/>
    <mergeCell ref="E150:G150"/>
    <mergeCell ref="A151:C151"/>
    <mergeCell ref="E151:G151"/>
    <mergeCell ref="A152:C152"/>
    <mergeCell ref="E152:G152"/>
    <mergeCell ref="B140:D140"/>
    <mergeCell ref="F140:G140"/>
    <mergeCell ref="B141:D141"/>
    <mergeCell ref="F141:G141"/>
    <mergeCell ref="A142:E142"/>
    <mergeCell ref="F142:G142"/>
    <mergeCell ref="B137:D137"/>
    <mergeCell ref="F137:G137"/>
    <mergeCell ref="B138:D138"/>
    <mergeCell ref="F138:G138"/>
    <mergeCell ref="B139:D139"/>
    <mergeCell ref="F139:G139"/>
    <mergeCell ref="B134:D134"/>
    <mergeCell ref="F134:G134"/>
    <mergeCell ref="B135:D135"/>
    <mergeCell ref="F135:G135"/>
    <mergeCell ref="B136:D136"/>
    <mergeCell ref="F136:G136"/>
    <mergeCell ref="A122:C122"/>
    <mergeCell ref="E122:G122"/>
    <mergeCell ref="E123:G123"/>
    <mergeCell ref="A125:G125"/>
    <mergeCell ref="A126:G126"/>
    <mergeCell ref="A132:A133"/>
    <mergeCell ref="B132:D133"/>
    <mergeCell ref="E132:E133"/>
    <mergeCell ref="F132:G132"/>
    <mergeCell ref="F133:G133"/>
    <mergeCell ref="B112:E112"/>
    <mergeCell ref="E118:G118"/>
    <mergeCell ref="E119:G119"/>
    <mergeCell ref="A120:C120"/>
    <mergeCell ref="E120:G120"/>
    <mergeCell ref="A121:C121"/>
    <mergeCell ref="E121:G121"/>
    <mergeCell ref="B109:D109"/>
    <mergeCell ref="F109:G109"/>
    <mergeCell ref="B110:D110"/>
    <mergeCell ref="F110:G110"/>
    <mergeCell ref="A111:E111"/>
    <mergeCell ref="F111:G111"/>
    <mergeCell ref="B106:D106"/>
    <mergeCell ref="F106:G106"/>
    <mergeCell ref="B107:D107"/>
    <mergeCell ref="F107:G107"/>
    <mergeCell ref="B108:D108"/>
    <mergeCell ref="F108:G108"/>
    <mergeCell ref="B103:D103"/>
    <mergeCell ref="F103:G103"/>
    <mergeCell ref="B104:D104"/>
    <mergeCell ref="F104:G104"/>
    <mergeCell ref="B105:D105"/>
    <mergeCell ref="F105:G105"/>
    <mergeCell ref="E93:G93"/>
    <mergeCell ref="A94:G94"/>
    <mergeCell ref="A95:G95"/>
    <mergeCell ref="A101:A102"/>
    <mergeCell ref="B101:D102"/>
    <mergeCell ref="E101:E102"/>
    <mergeCell ref="F101:G101"/>
    <mergeCell ref="F102:G102"/>
    <mergeCell ref="A89:C89"/>
    <mergeCell ref="E89:G89"/>
    <mergeCell ref="A90:C90"/>
    <mergeCell ref="E90:G90"/>
    <mergeCell ref="E91:G91"/>
    <mergeCell ref="E92:G92"/>
    <mergeCell ref="B80:E80"/>
    <mergeCell ref="A82:G82"/>
    <mergeCell ref="E86:G86"/>
    <mergeCell ref="E87:G87"/>
    <mergeCell ref="A88:C88"/>
    <mergeCell ref="E88:G88"/>
    <mergeCell ref="B77:D77"/>
    <mergeCell ref="F77:G77"/>
    <mergeCell ref="B78:D78"/>
    <mergeCell ref="F78:G78"/>
    <mergeCell ref="A79:E79"/>
    <mergeCell ref="F79:G79"/>
    <mergeCell ref="B74:D74"/>
    <mergeCell ref="F74:G74"/>
    <mergeCell ref="B75:D75"/>
    <mergeCell ref="F75:G75"/>
    <mergeCell ref="B76:D76"/>
    <mergeCell ref="F76:G76"/>
    <mergeCell ref="B71:D71"/>
    <mergeCell ref="F71:G71"/>
    <mergeCell ref="B72:D72"/>
    <mergeCell ref="F72:G72"/>
    <mergeCell ref="B73:D73"/>
    <mergeCell ref="F73:G73"/>
    <mergeCell ref="E60:G60"/>
    <mergeCell ref="A62:G62"/>
    <mergeCell ref="A63:G63"/>
    <mergeCell ref="A69:A70"/>
    <mergeCell ref="B69:D70"/>
    <mergeCell ref="E69:E70"/>
    <mergeCell ref="F69:G69"/>
    <mergeCell ref="F70:G70"/>
    <mergeCell ref="E56:G56"/>
    <mergeCell ref="A57:C57"/>
    <mergeCell ref="E57:G57"/>
    <mergeCell ref="A58:C58"/>
    <mergeCell ref="E58:G58"/>
    <mergeCell ref="A59:C59"/>
    <mergeCell ref="E59:G59"/>
    <mergeCell ref="B47:D47"/>
    <mergeCell ref="F47:G47"/>
    <mergeCell ref="A48:E48"/>
    <mergeCell ref="F48:G48"/>
    <mergeCell ref="B49:E49"/>
    <mergeCell ref="E55:G55"/>
    <mergeCell ref="B43:D43"/>
    <mergeCell ref="F43:G43"/>
    <mergeCell ref="F44:G44"/>
    <mergeCell ref="B45:D45"/>
    <mergeCell ref="F45:G45"/>
    <mergeCell ref="B46:D46"/>
    <mergeCell ref="F46:G46"/>
    <mergeCell ref="B40:D40"/>
    <mergeCell ref="F40:G40"/>
    <mergeCell ref="B41:D41"/>
    <mergeCell ref="F41:G41"/>
    <mergeCell ref="B42:D42"/>
    <mergeCell ref="F42:G42"/>
    <mergeCell ref="A29:C29"/>
    <mergeCell ref="E29:G29"/>
    <mergeCell ref="E30:G30"/>
    <mergeCell ref="A31:G31"/>
    <mergeCell ref="A32:G32"/>
    <mergeCell ref="A38:A39"/>
    <mergeCell ref="B38:D39"/>
    <mergeCell ref="E38:E39"/>
    <mergeCell ref="F38:G38"/>
    <mergeCell ref="F39:G39"/>
    <mergeCell ref="B19:E19"/>
    <mergeCell ref="E25:G25"/>
    <mergeCell ref="E26:G26"/>
    <mergeCell ref="A27:C27"/>
    <mergeCell ref="E27:G27"/>
    <mergeCell ref="A28:C28"/>
    <mergeCell ref="E28:G28"/>
    <mergeCell ref="B16:D16"/>
    <mergeCell ref="F16:G16"/>
    <mergeCell ref="B17:D17"/>
    <mergeCell ref="F17:G17"/>
    <mergeCell ref="A18:E18"/>
    <mergeCell ref="F18:G18"/>
    <mergeCell ref="B13:D13"/>
    <mergeCell ref="F13:G13"/>
    <mergeCell ref="B14:D14"/>
    <mergeCell ref="F14:G14"/>
    <mergeCell ref="B15:D15"/>
    <mergeCell ref="F15:G15"/>
    <mergeCell ref="B10:D10"/>
    <mergeCell ref="F10:G10"/>
    <mergeCell ref="B11:D11"/>
    <mergeCell ref="F11:G11"/>
    <mergeCell ref="B12:D12"/>
    <mergeCell ref="F12:G12"/>
    <mergeCell ref="A1:G1"/>
    <mergeCell ref="A2:G2"/>
    <mergeCell ref="A8:A9"/>
    <mergeCell ref="B8:D9"/>
    <mergeCell ref="E8:E9"/>
    <mergeCell ref="F8:G8"/>
    <mergeCell ref="F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dcterms:created xsi:type="dcterms:W3CDTF">2026-09-11T03:47:42Z</dcterms:created>
  <dcterms:modified xsi:type="dcterms:W3CDTF">2026-09-11T03:48:19Z</dcterms:modified>
</cp:coreProperties>
</file>