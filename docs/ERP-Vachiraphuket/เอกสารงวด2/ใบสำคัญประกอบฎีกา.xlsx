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355" windowHeight="5190" tabRatio="657" firstSheet="11" activeTab="11"/>
  </bookViews>
  <sheets>
    <sheet name="โอทีหมอ พย.66" sheetId="42" r:id="rId1"/>
    <sheet name="ฎีกา 53" sheetId="8" r:id="rId2"/>
    <sheet name="ฎีกา 54" sheetId="9" r:id="rId3"/>
    <sheet name="ฎีกา 55" sheetId="11" r:id="rId4"/>
    <sheet name="ฎีกา 56" sheetId="12" r:id="rId5"/>
    <sheet name="ฎีกา 61" sheetId="13" r:id="rId6"/>
    <sheet name="ฎีกา 62" sheetId="14" r:id="rId7"/>
    <sheet name="ฎีกา 63" sheetId="15" r:id="rId8"/>
    <sheet name="ฎีกา 64" sheetId="16" r:id="rId9"/>
    <sheet name="ฎีกา 65" sheetId="17" r:id="rId10"/>
    <sheet name="ฎีกา 67" sheetId="18" r:id="rId11"/>
    <sheet name="ค่าเดินทาง" sheetId="19" r:id="rId12"/>
    <sheet name="ไม่ทำเวช" sheetId="23" r:id="rId13"/>
    <sheet name="ค่าจ้างพกส." sheetId="20" r:id="rId14"/>
    <sheet name="ลูกจ้างชั่วคราว" sheetId="24" r:id="rId15"/>
    <sheet name="P4P" sheetId="37" r:id="rId16"/>
    <sheet name="โอทีหมอ2" sheetId="38" r:id="rId17"/>
  </sheets>
  <calcPr calcId="124519"/>
</workbook>
</file>

<file path=xl/calcChain.xml><?xml version="1.0" encoding="utf-8"?>
<calcChain xmlns="http://schemas.openxmlformats.org/spreadsheetml/2006/main">
  <c r="E27" i="24"/>
  <c r="E31" i="37"/>
  <c r="E35" s="1"/>
  <c r="E62" s="1"/>
  <c r="E66" s="1"/>
  <c r="E78" s="1"/>
  <c r="G12" i="42"/>
  <c r="E13"/>
  <c r="E76" i="38"/>
  <c r="E31"/>
  <c r="E35" s="1"/>
  <c r="E62" s="1"/>
  <c r="E26" i="23"/>
  <c r="E66" i="38" l="1"/>
  <c r="E97" s="1"/>
  <c r="E124" s="1"/>
  <c r="E128" s="1"/>
  <c r="E149" s="1"/>
  <c r="E27" i="20"/>
  <c r="E27" i="19"/>
  <c r="E46" s="1"/>
  <c r="E73" s="1"/>
  <c r="E77" s="1"/>
  <c r="E104" s="1"/>
  <c r="E108" s="1"/>
  <c r="E119" s="1"/>
  <c r="E31" i="18"/>
  <c r="E35" s="1"/>
  <c r="E39" s="1"/>
  <c r="E26" i="16"/>
  <c r="E35"/>
  <c r="E31" i="17"/>
  <c r="E35" s="1"/>
  <c r="E62" s="1"/>
  <c r="E24" i="15"/>
  <c r="E35" s="1"/>
  <c r="E62" s="1"/>
  <c r="E66" s="1"/>
  <c r="E93" s="1"/>
  <c r="E97" s="1"/>
  <c r="E124" s="1"/>
  <c r="E128" s="1"/>
  <c r="E155" s="1"/>
  <c r="E159" s="1"/>
  <c r="E170" s="1"/>
  <c r="E7" i="14" l="1"/>
  <c r="E170" i="13"/>
  <c r="E31"/>
  <c r="E35" s="1"/>
  <c r="E62" s="1"/>
  <c r="E22"/>
  <c r="E66" i="11"/>
  <c r="E93" s="1"/>
  <c r="E62"/>
  <c r="E31" i="12"/>
  <c r="E35" s="1"/>
  <c r="E59" s="1"/>
  <c r="E66" s="1"/>
  <c r="E92" s="1"/>
  <c r="E96" s="1"/>
  <c r="E122" s="1"/>
  <c r="E126" s="1"/>
  <c r="E31" i="11"/>
  <c r="E35" s="1"/>
  <c r="E59" i="9"/>
  <c r="E31"/>
  <c r="E41"/>
  <c r="E100" i="11" l="1"/>
  <c r="E126" s="1"/>
  <c r="E130" s="1"/>
  <c r="E35" i="9"/>
  <c r="E147" i="8"/>
  <c r="K150"/>
  <c r="K149"/>
  <c r="M144"/>
  <c r="M143"/>
  <c r="K138"/>
  <c r="E60"/>
  <c r="E30"/>
  <c r="E66" i="9" l="1"/>
  <c r="E92" s="1"/>
  <c r="E96" s="1"/>
  <c r="E122" s="1"/>
  <c r="E126" s="1"/>
  <c r="M145" i="8"/>
  <c r="E64"/>
  <c r="E90" l="1"/>
  <c r="E94" s="1"/>
  <c r="E120" s="1"/>
  <c r="E124" s="1"/>
  <c r="E66" i="13"/>
  <c r="E93" s="1"/>
  <c r="E97" s="1"/>
  <c r="E124" s="1"/>
  <c r="E128" s="1"/>
  <c r="E155" s="1"/>
  <c r="E159" s="1"/>
  <c r="E66" i="17"/>
  <c r="E76" s="1"/>
  <c r="E97" s="1"/>
  <c r="E124" s="1"/>
  <c r="E128" s="1"/>
  <c r="E155" s="1"/>
  <c r="E159" s="1"/>
  <c r="E170" s="1"/>
  <c r="E159" i="16"/>
  <c r="E170"/>
  <c r="E155"/>
  <c r="E128"/>
  <c r="E62"/>
  <c r="E66"/>
  <c r="E93"/>
  <c r="E97"/>
  <c r="E124"/>
</calcChain>
</file>

<file path=xl/sharedStrings.xml><?xml version="1.0" encoding="utf-8"?>
<sst xmlns="http://schemas.openxmlformats.org/spreadsheetml/2006/main" count="1324" uniqueCount="423">
  <si>
    <t>จำนวนเงิน</t>
  </si>
  <si>
    <t>หมายเหตุ</t>
  </si>
  <si>
    <t>ใบสำคัญ</t>
  </si>
  <si>
    <t>รายการ</t>
  </si>
  <si>
    <t>รวมเงิน</t>
  </si>
  <si>
    <t>หอผู้ป่วยห้องผ่าตัด</t>
  </si>
  <si>
    <t>หอผู้ป่วยอายุรกรรมหญิง</t>
  </si>
  <si>
    <t>หอผู้ป่วยร่มไทร</t>
  </si>
  <si>
    <t>หอผู้ป่วย PICU และ NICU</t>
  </si>
  <si>
    <t>กลุ่มงานห้องผ่าตัด</t>
  </si>
  <si>
    <t>งานผู้ป่วยนอก กุมารเวชกรรม</t>
  </si>
  <si>
    <t>ห้องตรวจตา</t>
  </si>
  <si>
    <t>หน้างบใบสำคัญประกอบฎีกา 53 / 2566</t>
  </si>
  <si>
    <t>หน่วยงานสนามและสิ่งแวดล้อม</t>
  </si>
  <si>
    <t>กลุ่มงานบริหารทั่วไป</t>
  </si>
  <si>
    <t>กลุ่มงานบัญชี</t>
  </si>
  <si>
    <t>กลุ่มงานทรัพยากรบุคคล</t>
  </si>
  <si>
    <t>กลุ่มงาน SMC</t>
  </si>
  <si>
    <t>งานเวชศาสตร์ใต้น้ำ (ช่าง)</t>
  </si>
  <si>
    <t>งานตรวจสุขภาพแรงงานต่างด้าว</t>
  </si>
  <si>
    <t>ศูนย์ตรวจสุขภาพมะฮอกกานี</t>
  </si>
  <si>
    <t>งานรักษาความปลอดภัย</t>
  </si>
  <si>
    <t>กลุ่มงาน VACHIRA PHUKET CALL CENTER</t>
  </si>
  <si>
    <t>กลุ่มงานจ่ายกลาง</t>
  </si>
  <si>
    <t>กลุ่มงานสิทธิประโยชน์</t>
  </si>
  <si>
    <t>กลุ่มงานสนามและสิ่งแวดล้อม</t>
  </si>
  <si>
    <t>หอผู้ป่วยสูติกรรมหลังคลอด</t>
  </si>
  <si>
    <t>หอผู้ป่วยวิกฤติโรคหัวใจ</t>
  </si>
  <si>
    <t>หอผู้ป่วยกุมารเวชกรรม 1</t>
  </si>
  <si>
    <t>หอผู้ป่วยกุมารเวชกรรม 2</t>
  </si>
  <si>
    <t>ยอดยกมา</t>
  </si>
  <si>
    <t>หอผู้ป่วยอภิบาลโรคหลอดเลือด</t>
  </si>
  <si>
    <t>กลุ่มงานเวชนิทัศน์</t>
  </si>
  <si>
    <t>กลุ่มงานบริหารทั่วไป (เลขานุการ)</t>
  </si>
  <si>
    <t>กลุ่มงานเวชภัณฑ์มิใช่ยา</t>
  </si>
  <si>
    <t>งานบริการจอดรถ</t>
  </si>
  <si>
    <t>กลุ่มงานประกันสังคม</t>
  </si>
  <si>
    <t>กลุ่มงานบัตรทอง</t>
  </si>
  <si>
    <t>กลุ่มงานซักฟอก</t>
  </si>
  <si>
    <t>ฝ่ายการพยาบาล(งานธุรการ)</t>
  </si>
  <si>
    <t>หอผู้ป่วยรติพัฒน์</t>
  </si>
  <si>
    <t>หอผู้ป่วยติกสงฆ์อาพาธ</t>
  </si>
  <si>
    <t>กลุ่มงานเวชกรรมสังคม</t>
  </si>
  <si>
    <t>กลุ่มงานทันตกรรม</t>
  </si>
  <si>
    <t>งานศูนย์นเรนทร</t>
  </si>
  <si>
    <t>งานประชาสัมพันธ์</t>
  </si>
  <si>
    <t>กลุ่มงานโภชนาศาสตร์</t>
  </si>
  <si>
    <t>กลุ่มงานการเงิน</t>
  </si>
  <si>
    <t>กลุ่มงานเภสัชกรรม</t>
  </si>
  <si>
    <t>กลุ่มงานเวชกรรมสังคม (พนง.ประจำตึก)</t>
  </si>
  <si>
    <t>งานศูนย์นเรนทร (ER)</t>
  </si>
  <si>
    <t>หอผู้ป่วยวิกฤตกุมารเวชกรรม PICU (พยาบาล)</t>
  </si>
  <si>
    <t>งานยานพาหนะ</t>
  </si>
  <si>
    <t>หอผู้ป่วยวิกฤตกุมารเวชกรรม PICU (คนงาน)</t>
  </si>
  <si>
    <t>หออภิบาลทารกแรกเกิด</t>
  </si>
  <si>
    <t>หอผู้ป่วยรัตนโกสินทร์ 200 ปี</t>
  </si>
  <si>
    <t>ธนาคารเลือด</t>
  </si>
  <si>
    <t xml:space="preserve">ศูนย์นเรนทรอันดามัน </t>
  </si>
  <si>
    <t>ห้องออกกำลังกาย</t>
  </si>
  <si>
    <t>สถานีวิทยุ</t>
  </si>
  <si>
    <t>หอผู้ป่วยหลวงพ่อแช่มชั้น 4</t>
  </si>
  <si>
    <t>หน่วยงาน พรบ.</t>
  </si>
  <si>
    <t>หอผู้ป่วยจักษุ โสต ศอ นาศิก</t>
  </si>
  <si>
    <t>หอผู้ป่วยจักษุ โสต ศอ นาศิก (ผู้ช่วยเหลือคนไข้)</t>
  </si>
  <si>
    <t>หอผู้ป่วยวิกฤตทางเดินหายใจ (RCU)</t>
  </si>
  <si>
    <t>หอผู้ป่วยหลวงพ่อแช่มชั้น 3</t>
  </si>
  <si>
    <t>งานเลขานุการผู้อำนวยการ</t>
  </si>
  <si>
    <t>งานเวชนิทัศน์</t>
  </si>
  <si>
    <t>งานเวชศาสตร์ฉุกเฉินและนิติเวช</t>
  </si>
  <si>
    <t>หอผู้ป่วยศัลยกรรมชาย (ผู้ช่วยเหลือคนไข้)</t>
  </si>
  <si>
    <t>หอผู้ป่วยศัลยกรรมชาย (พยาบาล)</t>
  </si>
  <si>
    <t>หอผู้ป่วยหลวงพ่อแช่มชั้น 2 (พยาบาล)</t>
  </si>
  <si>
    <t>หน่วยงาน ผู้ป่วยนอก SMC</t>
  </si>
  <si>
    <t>งานผู้ป่วยนอก</t>
  </si>
  <si>
    <t>กลุ่มงานรังสีวิทยา</t>
  </si>
  <si>
    <t>กลุ่มงานรังสีวิทยา (พยาบาล Biopsy)</t>
  </si>
  <si>
    <t>กลุ่มงานรังสีวิทยา (พนง.เปล)</t>
  </si>
  <si>
    <t>กลุ่มงานรังสีวิทยา (intervention)</t>
  </si>
  <si>
    <t>หอผู้ป่วยหลวงพ่อแช่ม 2,3</t>
  </si>
  <si>
    <t>กลุ่มงานเวชกรรมฟื้นฟู</t>
  </si>
  <si>
    <t>ฝ่ายบริหารทั่วไป (นิติกร)</t>
  </si>
  <si>
    <t>ศูนย์จัดเก็บรายได้</t>
  </si>
  <si>
    <t>หน่วยงานห้องคลอด</t>
  </si>
  <si>
    <t>หอผู้ป่วยศัลยกรรมหญิง</t>
  </si>
  <si>
    <t>หอผู้ป่วยศัลยกรรมหญิง (ผู้ช่วยเหลือคนไข้)</t>
  </si>
  <si>
    <t>หอผู้ป่วยหลวงพ่อแช่ม ชั้น 2,3</t>
  </si>
  <si>
    <t>หอผู้ป่วยหนักอายุรกรรม</t>
  </si>
  <si>
    <t>กลุ่มงานพัสดุ</t>
  </si>
  <si>
    <t>กลุ่มงานเทคนิคการแพทย์และพยาธิวิทยาคลินิก</t>
  </si>
  <si>
    <t>คลินิกเฉพาะทางนอกเวลาราชการ</t>
  </si>
  <si>
    <t>หอผู้ป่วยน้อมเกล้า 2</t>
  </si>
  <si>
    <t>งานอุบัติเหตุและฉุกเฉิน</t>
  </si>
  <si>
    <t>หอผู้ป่วยอายุรกรรมชั้น 4</t>
  </si>
  <si>
    <t>หอผู้ป่วยหนักศัลยกรรม</t>
  </si>
  <si>
    <t>งานทัตกรรมสาขา หยี่เต้ง</t>
  </si>
  <si>
    <t>หน่วยงานแพทย์แผนไทยและแพทย์ทางเลือก</t>
  </si>
  <si>
    <t>กลุ่มงานอาชีวเวชกรรม</t>
  </si>
  <si>
    <t>คลินิกกระตุ้นพัฒนาการ กลุ่มงานจิตเวช</t>
  </si>
  <si>
    <t>กลุ่มงานสารสนเทศทางการแพทย์</t>
  </si>
  <si>
    <t>กลุ่มงานการพยาบาลชุมชน</t>
  </si>
  <si>
    <t>ยอดยกไป</t>
  </si>
  <si>
    <t>หน้างบใบสำคัญประกอบฎีกา  53 / 2566</t>
  </si>
  <si>
    <t>หน้างบใบสำคัญประกอบฎีกา 53  / 2566</t>
  </si>
  <si>
    <t>กลุ่มงานช่างซ่อมบำรุง</t>
  </si>
  <si>
    <t>กลุ่มงานอยุรกรรมชาย 2</t>
  </si>
  <si>
    <t>กลุ่มภารกิจพัฒนาระบบบริการและสนับสนุนบริการสุขภาพ</t>
  </si>
  <si>
    <t>กลุ่มงานโครงสร้างพื้นฐานและวิศวกรรมทางการแพทย์</t>
  </si>
  <si>
    <t>หอผู้ป่วยศัลยกรรมประสาท</t>
  </si>
  <si>
    <t>ศูนย์เทคโนโลยีสารสนเทศ</t>
  </si>
  <si>
    <t>งานผู้ป่วยนอก (โรคเบาหวาน)</t>
  </si>
  <si>
    <t>หอผู้ป่วยน้อมเกล้า 3</t>
  </si>
  <si>
    <t>ศูนย์พึ่งได้</t>
  </si>
  <si>
    <t>หน่วยงานสังคมสงเคราะห์</t>
  </si>
  <si>
    <t>ศูนย์รับบริจาคและดูแลผู้มีอุปการคุณ</t>
  </si>
  <si>
    <t>หอผู้ป่วยพิเศษอายุรกรรมชั้น 4 (เมษายน)</t>
  </si>
  <si>
    <t xml:space="preserve">หอผู้ป่วยพิเศษอายุรกรรมชั้น 4 </t>
  </si>
  <si>
    <t>(ลงชื่อ).................................................................... (ผู้เบิก)</t>
  </si>
  <si>
    <t>หมวดรายจ่าย เงินนอกงบประมาณเงินบำรุง (ปฏิบัติงานนอกเวลาราชการ)</t>
  </si>
  <si>
    <t>หน้างบใบสำคัญประกอบฎีกา 54 / 2566</t>
  </si>
  <si>
    <t>หน้างบใบสำคัญประกอบฎีกา  54 / 2566</t>
  </si>
  <si>
    <t>หน้างบใบสำคัญประกอบฎีกา 54  / 2566</t>
  </si>
  <si>
    <t>งานภารกิจด้านการแพทย์ (หน่วยปฐมพยาบาล)</t>
  </si>
  <si>
    <t>หน่วยงานสุขศึกษา</t>
  </si>
  <si>
    <t>หน่วยบริการปฐมภูมิ สาขาหยี่เต้ง (ฉีดยา ทำแผล)</t>
  </si>
  <si>
    <t>หน่วยบริการปฐมภูมิ สาขาหยี่เต้ง</t>
  </si>
  <si>
    <t>ศูนย์ดูแลบาดแผล</t>
  </si>
  <si>
    <t>หน่วยงานพยาธิวิทยากายวิภาค</t>
  </si>
  <si>
    <t>กลุ่มงานพยาธิวิทยาคลินิก</t>
  </si>
  <si>
    <t>หอผู้ป่วยศัลยกรรมกระดูก</t>
  </si>
  <si>
    <t>งานศัลยกรรมหัวใจทรวงอกและหลอดเลือด</t>
  </si>
  <si>
    <t>งานตรวจสวนหัวใจ</t>
  </si>
  <si>
    <t>หน่วยงานศูนย์เครื่องมือแพทย์</t>
  </si>
  <si>
    <t>หอผู้ป่วยพิเศษอายุรกรรมชั้น 5 (พยาบาล)</t>
  </si>
  <si>
    <t>หอผู้ป่วยพิเศษอายุรกรรมชั้น 5 (ผู้ช่วยเหลือคนไข้)</t>
  </si>
  <si>
    <t>งานไตเทียม</t>
  </si>
  <si>
    <t>ศูนย์ใจรักษ์</t>
  </si>
  <si>
    <t>หอผู้ป่วยหนักโรคหัวใจ</t>
  </si>
  <si>
    <t xml:space="preserve">งานห้องผ่าตัด </t>
  </si>
  <si>
    <t>หน่วยงานเคลื่นย้ายผู้ป่วยฯ</t>
  </si>
  <si>
    <t>งานควบคุมและป้องกันการติดเชื้อ</t>
  </si>
  <si>
    <t>กลุ่มงานทันตกรรม สาขาหยี่เต้ง</t>
  </si>
  <si>
    <t>งานเวชศาสตร์ใต้น้ำ</t>
  </si>
  <si>
    <t>หอผู้ป่วยนรีเชกรรม</t>
  </si>
  <si>
    <t>ออกหน่วย REFER</t>
  </si>
  <si>
    <t>หอผู้ป่วยน้อมเกล้า 4</t>
  </si>
  <si>
    <t>ห้องผ่าตัด (ดมยา)</t>
  </si>
  <si>
    <t>งานวิสัญญี (พยาบาล)</t>
  </si>
  <si>
    <t>งานวิสัญญี (ผู้ช่วย)</t>
  </si>
  <si>
    <t>งานวิสัญญี (เคลื่นย้ายผู้ป่วย)</t>
  </si>
  <si>
    <t>งานจิตเวชและยาเสพติด</t>
  </si>
  <si>
    <t>หอผู้ป่วยร่มไทร (ผู้ช่วย)</t>
  </si>
  <si>
    <t>งานประกันสุขภาพ</t>
  </si>
  <si>
    <t>หอผู้ป่วยหนักโรคหัวใจ (ผู้ช่วยฯ)</t>
  </si>
  <si>
    <t>หอผู้ป่วยศัลยกรรมกระดูก (พยาบาล)</t>
  </si>
  <si>
    <t>กลุ่มงานบริหารทั่วไป (อำนวยการ)</t>
  </si>
  <si>
    <t>รวม</t>
  </si>
  <si>
    <t>หน้างบใบสำคัญประกอบฎีกา 55 / 2566</t>
  </si>
  <si>
    <t>หน้างบใบสำคัญประกอบฎีกา  55 / 2566</t>
  </si>
  <si>
    <t>แพทย์อาชีวเวชกรรม</t>
  </si>
  <si>
    <t>แพทย์ศูนย์ดูแลสารสนเทศ</t>
  </si>
  <si>
    <t>แพทย์สิทธิประโยชน์</t>
  </si>
  <si>
    <t>แพทย์พยาธิวิทยากายวิภาค</t>
  </si>
  <si>
    <t>แพทย์ตรวจสุขภาพ</t>
  </si>
  <si>
    <t>แพทย์ศัลยกรรมกระดูกและข้อ</t>
  </si>
  <si>
    <t>แพทย์สูนย์ใจรักษ์</t>
  </si>
  <si>
    <t>แพทย์เวชกรรมสังคม</t>
  </si>
  <si>
    <t>แพทย์ทันตกรรมช่องปาก</t>
  </si>
  <si>
    <t>แพทย์โสต ศอ นาสิก</t>
  </si>
  <si>
    <t>แพทย์ศัลยกรรมตกแต่ง</t>
  </si>
  <si>
    <t>แพทย์ศัลยกรรมระบบปัสสาวะ</t>
  </si>
  <si>
    <t>แพทย์เวชศาสตร์ใต้น้ำ</t>
  </si>
  <si>
    <t>แพทย์เวชศาสตร์ฟื้นฟู</t>
  </si>
  <si>
    <t>แพทย์ศัลยกรรมทรวงอก</t>
  </si>
  <si>
    <t>แพทย์ศัลยกรรมทั่วไป</t>
  </si>
  <si>
    <t>แพทย์จักษุวิทยา</t>
  </si>
  <si>
    <t>แพทย์อายุรกรรม</t>
  </si>
  <si>
    <t>แพทย์ศัลยกรรมประสาท</t>
  </si>
  <si>
    <t>แพทย์วิสัญญี CVT</t>
  </si>
  <si>
    <t>แพทย์นิติเวชวิทยา</t>
  </si>
  <si>
    <t>แพทย์เวชศาสตร์ฉุกเฉิน</t>
  </si>
  <si>
    <t>แพทย์ทันตกรรม(ศัลยกรรมช่องปาก)</t>
  </si>
  <si>
    <t>แพทย์เวชศาสตร์ฉุกเฉิน (นเรนทร)</t>
  </si>
  <si>
    <t>แพทย์รองรับสถานการณ์ฉุกเฉิน</t>
  </si>
  <si>
    <t xml:space="preserve">แพทย์วิสัญญี </t>
  </si>
  <si>
    <t>แพทย์กุมารเวชกรรม</t>
  </si>
  <si>
    <t>แพทย์จิตเวชและยาเสพติด</t>
  </si>
  <si>
    <t>แพทย์รังสีวิทยา</t>
  </si>
  <si>
    <t>แพทย์ฉุกเฉิน</t>
  </si>
  <si>
    <t>แพทย์รังสีวิทยา (ตรวจสุขภาพแรงงานต่างด้าว)</t>
  </si>
  <si>
    <t>แพทย์ชันสูตรพลิกศพ</t>
  </si>
  <si>
    <t>หน้างบใบสำคัญประกอบฎีกา 56 / 2566</t>
  </si>
  <si>
    <t>หน้างบใบสำคัญประกอบฎีกา  56 / 2566</t>
  </si>
  <si>
    <t>กลุ่มงานเวชกรรมสังคม (หยี่เต้ง)</t>
  </si>
  <si>
    <t>กลุ่มงานโภชนศาสตร์</t>
  </si>
  <si>
    <t>กลุ่มงานสุขศึกษา</t>
  </si>
  <si>
    <t>กลุ่มงานจิตเวชและยาเสพติด</t>
  </si>
  <si>
    <t>กลุ่มงานเทคนิคการแพทย์และพยาธิวิทยา</t>
  </si>
  <si>
    <t>กลุ่มงานจัดเก็บรายได้</t>
  </si>
  <si>
    <t>งานตรวจสุขภาพทั่วไป</t>
  </si>
  <si>
    <t>งานบริหารทั่วไป</t>
  </si>
  <si>
    <t>งานสวนและสิ่งแวดล้อม</t>
  </si>
  <si>
    <t>งานบริการอาคารจอดรถ 10 ชั้น</t>
  </si>
  <si>
    <t>งานซักฟอกและตัดเย็บ</t>
  </si>
  <si>
    <t>ศุนย์การเรียนรู้</t>
  </si>
  <si>
    <t>งานสนามและสิ่งแวดล้อม</t>
  </si>
  <si>
    <t>กลุ่มงานคลินิกพิเศษเฉพาะทางนอกเวลา</t>
  </si>
  <si>
    <t>งานแพทย์แผนไทย</t>
  </si>
  <si>
    <t>กลุ่มงานทรัพยากรมบุคคล</t>
  </si>
  <si>
    <t>งานพัฒนาทรัพยากรบุคคล</t>
  </si>
  <si>
    <t>งานยุทธศาสตร์และแผนงานโครงการ</t>
  </si>
  <si>
    <t>กลุ่มงานสังคมสงเคราะห์</t>
  </si>
  <si>
    <t>ศูนย์คอมพิวเตอร์</t>
  </si>
  <si>
    <t>งานธนาคารเลือด</t>
  </si>
  <si>
    <t>กลุ่มงานโสต ศอ นาสิก</t>
  </si>
  <si>
    <t>งานพัฒนาคุณภาพบริการและมาตรฐาน</t>
  </si>
  <si>
    <t>ศูนย์สุขภาพมะฮอกกานี</t>
  </si>
  <si>
    <t>แพทย์สูตินรีเวชกรรม</t>
  </si>
  <si>
    <t>แพทย์ศัลยกรรม</t>
  </si>
  <si>
    <t>แพทย์ฟังผลตรวจสุขภาพ</t>
  </si>
  <si>
    <t>แพทย์ตรวจสุขภาพแรงงานต่างด้าว</t>
  </si>
  <si>
    <t>แพทย์ศัลยกรรมเด็ก</t>
  </si>
  <si>
    <t>แพทย์หัตถการ CHC</t>
  </si>
  <si>
    <t>แพทย์รังสีวิทยา CHC</t>
  </si>
  <si>
    <t>แพทย์วชิระคลินิกนอกเวลาราชการ</t>
  </si>
  <si>
    <t>แพทย์โครงการ SMC</t>
  </si>
  <si>
    <t>แพทย์สูตินรีเวชกรรม CHC</t>
  </si>
  <si>
    <t>แพทย์ทันตกรรม CHC</t>
  </si>
  <si>
    <t>เวรตรวจการพยาบาล</t>
  </si>
  <si>
    <t>แผนกกุมารเวชกรรม งานผู้ป่วยนอก</t>
  </si>
  <si>
    <t>หอผู้ป่วยหนักกุมารเวชกรรม</t>
  </si>
  <si>
    <t>หอผู้ป่วยอายุรกรรมหญิง (พนักงานประจำตึก)</t>
  </si>
  <si>
    <t>คลินิกเฉพาะทางบริการเพิ่มพิเศษสำหรับประชาชน</t>
  </si>
  <si>
    <t>กลุ่มงานทันตกรรมหยี่เต้ง</t>
  </si>
  <si>
    <t>หอผู้ป่วยอายุรกรรมหญิง (ผู้ช่วยเหลือผู้ป่วย)</t>
  </si>
  <si>
    <t>กลุ่มงานพยาธิวิทยากายวิภาค</t>
  </si>
  <si>
    <t>หอผู้ป่วยอายุรกรรมชาย 1</t>
  </si>
  <si>
    <t>งานประสานข้อมูลผู้ป่วยในโครงการบริการเพิ่มพิเศษฯ</t>
  </si>
  <si>
    <t>หอผู้ป่วยอายุรกรรมชาย 2</t>
  </si>
  <si>
    <t xml:space="preserve">กลุ่มงานรังสีวิทยา </t>
  </si>
  <si>
    <t>กลุ่มงานพยาธิวิทยาคลินิค</t>
  </si>
  <si>
    <t>กลุ่มงานสิทธิประโยชน์ ลูกค้านานาชาติและประกันชีวิต</t>
  </si>
  <si>
    <t>งานตรวจสุขภาพ</t>
  </si>
  <si>
    <t>กลุ่มงานบริหารทั่วไป งานเลขานุการ</t>
  </si>
  <si>
    <t>หอผู้ป่วยศัลยกรรมหญิง พนักงานประจำหอ</t>
  </si>
  <si>
    <t>ศูนย์นเรนทรอันดามัน</t>
  </si>
  <si>
    <t>หอผู้ป่วยวิกฤตทางเดินหายใจ</t>
  </si>
  <si>
    <t>หน่วยงานจ่ายกลาง</t>
  </si>
  <si>
    <t>กลุ่มงานอาชีวเวชกรรมสังคม (โครงการร้านชำ ปลอดภัย น่าใช้ น่าช้อป)</t>
  </si>
  <si>
    <t>คลินิกพิเศษเฉพาะทางนอกเวลาราชการ</t>
  </si>
  <si>
    <t>กลุ่มงานสวนและสิ่งแวดล้อม</t>
  </si>
  <si>
    <t>องค์กรแพทย์</t>
  </si>
  <si>
    <t>พนักงานธุรการ ฝ่ายการพยาบาล</t>
  </si>
  <si>
    <t>กลุ่มงานพยาบาลชุมชน</t>
  </si>
  <si>
    <t>กลุ่มภารกิจด้านอำนวยการ งานบริหารทั่วไป</t>
  </si>
  <si>
    <t>งานประกันสุขภาพ (บัตรทอง)</t>
  </si>
  <si>
    <t>หอผู้ป่วยพิเศษอายุรกรรมชั้น 4</t>
  </si>
  <si>
    <t>หอผู้ป่วยกุมารเวช 1 (พยาบาล)</t>
  </si>
  <si>
    <t>หอผู้ป่วยอายุรกรรมชาย 2 (พยาบาล)</t>
  </si>
  <si>
    <t>งานทันตกรรม (หยี่เต้ง)</t>
  </si>
  <si>
    <t>หอผู้ป่วยหนักหัวใจ</t>
  </si>
  <si>
    <t>หอผู้ป่วยสงฆ์อาพาธ</t>
  </si>
  <si>
    <t>(บริเวณ OPD)</t>
  </si>
  <si>
    <t>งานเวชศาสตร์ใต้น้ำ (พยาบาล)</t>
  </si>
  <si>
    <t>งานสนามและสิ่งแวดล้อม (ศุภนิมิต)</t>
  </si>
  <si>
    <t>งานสนามและสิ่งแวดล้อม (ตึกคุณพุ่ม)</t>
  </si>
  <si>
    <t>ค่าตอบแทนความเสี่ยง งานเวชศาสตร์ใต้น้ำ</t>
  </si>
  <si>
    <t>งานสนามและสิ่งแวดล้อม (สนาม)</t>
  </si>
  <si>
    <t>งานสนามและสิ่งแวดล้อม (สิ่งแวดล้อม)</t>
  </si>
  <si>
    <t>แพทย์แผนไทย</t>
  </si>
  <si>
    <t>งานประกันสุขภาพ (ประกันสังคม)</t>
  </si>
  <si>
    <t>หอผู้ป่วยวิกฤตกุมารเวชกรรม</t>
  </si>
  <si>
    <t>งานซักฟอก</t>
  </si>
  <si>
    <t>งานเวชภัณฑ์มิใช่ยา</t>
  </si>
  <si>
    <t>ศูนย์เคลื่อนย้ายผู้ป่วย</t>
  </si>
  <si>
    <t>กลุ่มงานเวชกรรมสังคม (คัดกรองสุขภาพ)</t>
  </si>
  <si>
    <t>คลินิกผู้สูงอายุ กลุ่มงานเวชกรรมสังคม</t>
  </si>
  <si>
    <t>กลุ่มงานเวชกรรมสังคม (แม่บ้าน)</t>
  </si>
  <si>
    <t>กลุ่มงานเวชกรรมสังคม (เสริมวัณโรค)</t>
  </si>
  <si>
    <t>หอผู้ป่วยหลวงพ่อแช่มชั้น 2-3 (ผู้ช่วยเหลือคนไข้)</t>
  </si>
  <si>
    <t>งานศัลยกรรมหัวใจหลอดเลือดและทรวงอก</t>
  </si>
  <si>
    <t>เวรตรวจการกลุ่มภารกิจด้านอำนวยการ</t>
  </si>
  <si>
    <t>กลุ่มงานสิทธิประโยชน์ ลูกค้านานาชาติและประกันฯ</t>
  </si>
  <si>
    <t>งานห้องคลอด</t>
  </si>
  <si>
    <t>หอผู้ป่วยนรีเวชกรรม</t>
  </si>
  <si>
    <t>งานศูนย์เครื่องมือแพทย์</t>
  </si>
  <si>
    <t>หน่วยบริการปฐมภูมิ (สาขาหยี่เต้ง)</t>
  </si>
  <si>
    <t>งานหลอดเลือดสมอง (พยาบาล)</t>
  </si>
  <si>
    <t>งานหลอดเลือดสมอง (ผู้ช่วยเหลือคนไข้)</t>
  </si>
  <si>
    <t>งานห้องผ่าตัด CVT</t>
  </si>
  <si>
    <t>หอผู้ป่วยศัลยกรมมประสาท</t>
  </si>
  <si>
    <t>นิติกร</t>
  </si>
  <si>
    <t>หอผู้ป่วยศัลยกรรมกระดูก (ผู้ช่วยเหลือคนไข้)</t>
  </si>
  <si>
    <t xml:space="preserve">หน่วยงาน โสต ศอ นาสิก </t>
  </si>
  <si>
    <t>หน้างบใบสำคัญประกอบฎีกา 61 / 2566</t>
  </si>
  <si>
    <t>หน้างบใบสำคัญประกอบฎีกา  61 / 2566</t>
  </si>
  <si>
    <t>หน้างบใบสำคัญประกอบฎีกา 61  / 2566</t>
  </si>
  <si>
    <t>งานวิสัญญี (ผู้ช่วยเหลือคนไข้)</t>
  </si>
  <si>
    <t>งานวิสัญญี (เวรเปล)</t>
  </si>
  <si>
    <t>งาน พรบ.</t>
  </si>
  <si>
    <t>หอผู้ป่วยหนักทางเดินหายใจ (พยาบาล)</t>
  </si>
  <si>
    <t>หน้างบใบสำคัญประกอบฎีกา 62 / 2566</t>
  </si>
  <si>
    <t>ปฐมภูมิ หยี่เต้ง 1</t>
  </si>
  <si>
    <t xml:space="preserve">ปฐมภูมิ หยี่เต้ง </t>
  </si>
  <si>
    <t>หน้างบใบสำคัญประกอบฎีกา 63 / 2566</t>
  </si>
  <si>
    <t>หอผู้ป่วยทารกแรกเกิด</t>
  </si>
  <si>
    <t>หอผู้ป่วยศัลยกรรมชาย</t>
  </si>
  <si>
    <t>กลุ่มงานเทคนิกคการแพทย์</t>
  </si>
  <si>
    <t>ห้องผ่าตัด</t>
  </si>
  <si>
    <t>หอผู้ป่วยร่มไทร (พยาบาล)</t>
  </si>
  <si>
    <t>ห้องผ่าตัด (ผู้ช่วยเหลือคน่ไข้,พนง.ประจำตึก)</t>
  </si>
  <si>
    <t>ห้องผ่าตัด (เสริม)</t>
  </si>
  <si>
    <t>หอผู้ป่วยพิเศษ 5 (พยาบาล)</t>
  </si>
  <si>
    <t>หอผู้ป่วยพิเศษ 5 (ผู้ช่วยเหลือคนไข้)</t>
  </si>
  <si>
    <t>หน้างบใบสำคัญประกอบฎีกา 64 / 2566</t>
  </si>
  <si>
    <t>หน้างบใบสำคัญประกอบฎีกา  64 / 2566</t>
  </si>
  <si>
    <t>หน้างบใบสำคัญประกอบฎีกา 64  / 2566</t>
  </si>
  <si>
    <t>งานออกกำลังกาย</t>
  </si>
  <si>
    <t>หอผู้ป่วยกุมารเวชกรรม</t>
  </si>
  <si>
    <t>ศูนย์วิทยุ</t>
  </si>
  <si>
    <t>หน้างบใบสำคัญประกอบฎีกา 65 / 2566</t>
  </si>
  <si>
    <t>หน้างบใบสำคัญประกอบฎีกา  65 / 2566</t>
  </si>
  <si>
    <t>หน้างบใบสำคัญประกอบฎีกา 65  / 2566</t>
  </si>
  <si>
    <t>งานส่งต่อผู้ป่วยฉุกเฉิน</t>
  </si>
  <si>
    <t>หอผู้ป่วยหนักโรคหัวใจ (ผู้ช่วยเหลือคนไข้และพนง.ตึก)</t>
  </si>
  <si>
    <t>กลุ่มงานโครงสร้างพื้นฐานและวิศวกรรมฯ</t>
  </si>
  <si>
    <t>แพทย์ CHC</t>
  </si>
  <si>
    <t>แพทย์ทันตแพทย์ CHC</t>
  </si>
  <si>
    <t>แพทย์ศูนย์ใจรักษ์</t>
  </si>
  <si>
    <t>หน้างบใบสำคัญประกอบฎีกา 67 / 2566</t>
  </si>
  <si>
    <t>แพทย์แผนจีน</t>
  </si>
  <si>
    <t>กลุ่มงาน โสต ศอ นาสิก</t>
  </si>
  <si>
    <t>กลุ่มงานบริหารทั่วไป (นิติกร)</t>
  </si>
  <si>
    <t>กลุ่มงานธนาคารเลือด</t>
  </si>
  <si>
    <t>กลุ่มงานเภสัขกรรม</t>
  </si>
  <si>
    <t>กลุ่มงานพัฒนาทรัพยากรบุคคล</t>
  </si>
  <si>
    <t>กลุ่มงานยุทธศาสตร์และแผนโครงการ</t>
  </si>
  <si>
    <t>กลุ่มงานพัฒนาคุณภาพบริการและมาตรฐาน</t>
  </si>
  <si>
    <t>กลุ่มงานตรวจสุขภาพแรงงานต่างด้าว</t>
  </si>
  <si>
    <t>กลุ่มงานเภสัชกรรม (เจ้าหน้าที่)</t>
  </si>
  <si>
    <t>กลุ่มงานพยาบาลชุมขน</t>
  </si>
  <si>
    <t>ศูนย์การเรียนรู้</t>
  </si>
  <si>
    <t>กลุ่มงานรักษาความปลอดภัย</t>
  </si>
  <si>
    <t>กลุ่มงานอาคารจอดรถ 10 ชั้น</t>
  </si>
  <si>
    <t>กลุ่มงานซักฟอกและตัดเย็บ</t>
  </si>
  <si>
    <t>กลุ่มงานัดเก็บรายได้</t>
  </si>
  <si>
    <t>แพทย์</t>
  </si>
  <si>
    <t>หมวดรายจ่าย เงินนอกงบประมาณเงินบำรุง (P4P)</t>
  </si>
  <si>
    <t>หน้างบใบสำคัญประกอบฎีกา  67 / 2566</t>
  </si>
  <si>
    <t>หมวดรายจ่าย เงินนอกงบประมาณเงินบำรุง (4P4)</t>
  </si>
  <si>
    <t>แพทย์วิสัญญี</t>
  </si>
  <si>
    <t>แพทย์รังสีวิทยา (แรงงานต่างด้าว)</t>
  </si>
  <si>
    <t>แพทย์ศัลยกรรมกระดูกและข้อ (ทางมือ)</t>
  </si>
  <si>
    <t>แพทย์ศัลยกรรมกระดูกและข้อ(สันหลัง)</t>
  </si>
  <si>
    <t>หมวดรายจ่าย เงินงบประมาณ (ค่าใช้จ่ายเดินทางไปราชการภายในประเทศ)</t>
  </si>
  <si>
    <t>ค่าใช้จ่ายเดินทางไปราชการภายในประเทศ</t>
  </si>
  <si>
    <t>งานพยาบาลชุมชน</t>
  </si>
  <si>
    <t>หมวดรายจ่าย เงินนอกงบประมาณเงินบำรุง (เงินไม่ปฏิบัติเวช )</t>
  </si>
  <si>
    <t>แพทย์นิติเวช</t>
  </si>
  <si>
    <t>แพทย์ศัลยกรรมกระดูกและข้อ (สันหลัง)</t>
  </si>
  <si>
    <t>แพทย์นิติเวช (ชันสูตร)</t>
  </si>
  <si>
    <t>หมวดรายจ่าย เงินนอกงบประมาณเงินบำรุง (เงินเดือน)</t>
  </si>
  <si>
    <t>หน้างบใบสำคัญประกอบฎีกา 199 / 2566</t>
  </si>
  <si>
    <t>(นางมณฑา ศรีสุภาสิตานนท์)</t>
  </si>
  <si>
    <t>งานสังคมสงเคราะห์</t>
  </si>
  <si>
    <t>งานนิติเวช</t>
  </si>
  <si>
    <t>งานสุขศึกษา</t>
  </si>
  <si>
    <t>หน้างบใบสำคัญประกอบฎีกา 1  / 2567</t>
  </si>
  <si>
    <t>หน้างบใบสำคัญประกอบฎีกา  1 / 2567</t>
  </si>
  <si>
    <t>นักวิชาการสาธารณสุข</t>
  </si>
  <si>
    <t>หน้างบใบสำคัญประกอบฎีกา 2  / 2567</t>
  </si>
  <si>
    <t>หน้างบใบสำคัญประกอบฎีกา 2 / 2567</t>
  </si>
  <si>
    <t>งานเวชกรรมสังคม</t>
  </si>
  <si>
    <t>แพทย์ศัลยกรรมระบบปัสาวะ</t>
  </si>
  <si>
    <t>แพทย์ศัลยกรรมช่องปาก</t>
  </si>
  <si>
    <t>แพทย์คลินิกฟังผลตรวจสุขภาพ</t>
  </si>
  <si>
    <t>งานพัสดุ</t>
  </si>
  <si>
    <t>งานสนาม</t>
  </si>
  <si>
    <t>งานทรัพยากรบุคคล</t>
  </si>
  <si>
    <t>งานกายวิภาค</t>
  </si>
  <si>
    <t>หน้างบใบสำคัญประกอบฎีกา 8  / 2567</t>
  </si>
  <si>
    <t>หน้างบใบสำคัญประกอบฎีกา 43 / 2567</t>
  </si>
  <si>
    <t>หน้างบใบสำคัญประกอบฎีกา 43  / 2567</t>
  </si>
  <si>
    <t>งานพัฒนาคุณภาพ</t>
  </si>
  <si>
    <t>งานเวชกรรมฟื้นฟู</t>
  </si>
  <si>
    <t>งานสิทธิประโยชน์</t>
  </si>
  <si>
    <t>งานเครื่องมือแพทย์</t>
  </si>
  <si>
    <t>ห้องบัตร</t>
  </si>
  <si>
    <t>กลุ่มงานยุทธศาสตร์</t>
  </si>
  <si>
    <t>นักเทคโนโลยีและทรวงอก</t>
  </si>
  <si>
    <t>ENT OPD</t>
  </si>
  <si>
    <t>งานโภชนาศาสตร์</t>
  </si>
  <si>
    <t>งานเวชกรรม (หยี่เต้ง)</t>
  </si>
  <si>
    <t>งานทันตกรรม</t>
  </si>
  <si>
    <t>งานศัลยกรรมหัวใจ</t>
  </si>
  <si>
    <t>งานจิตเวช</t>
  </si>
  <si>
    <t>ห้อง LAB</t>
  </si>
  <si>
    <t>ศูนย์ผ่าตัดนอกเวลา</t>
  </si>
  <si>
    <t>งานเภสัชกรรม (ลูกจ้าง)</t>
  </si>
  <si>
    <t>งานทันตกรรม (ผู้ช่วย)</t>
  </si>
  <si>
    <t>ศูนย์วิจัยฯ</t>
  </si>
  <si>
    <t>อาคารจอดรถ</t>
  </si>
  <si>
    <t xml:space="preserve">งานบริหาร </t>
  </si>
  <si>
    <t>งานสุขภาพดิจิทัล</t>
  </si>
  <si>
    <t>งานเปล</t>
  </si>
  <si>
    <t>OPD SMC</t>
  </si>
  <si>
    <t>งานสวน</t>
  </si>
  <si>
    <t>งานซ่อมบำรุง</t>
  </si>
  <si>
    <t>ฝ่ายอำนวยการ</t>
  </si>
  <si>
    <t>งานอาชีวเวชกรรม</t>
  </si>
  <si>
    <t>พยาบาลวิชาชีพ</t>
  </si>
  <si>
    <t>เจ้าพนักงานธุรการ</t>
  </si>
  <si>
    <t>นักจัดการทั่วไป</t>
  </si>
  <si>
    <t>ผู้ช่วยเจ้าหน้าที่สาธารณสุข</t>
  </si>
  <si>
    <t>พยาบาลเทคนิค</t>
  </si>
  <si>
    <t>PA/NA พนักงานประจำตึก</t>
  </si>
  <si>
    <t>งานบัญชี</t>
  </si>
  <si>
    <t>หน้างบใบสำคัญประกอบฎีกา  43 / 2567</t>
  </si>
  <si>
    <t>หน้างบใบสำคัญประกอบฎีกา 90 / 2569</t>
  </si>
  <si>
    <t>เงินเดือนพนักงานกระทรวงเดือน สิงหาคม 2569</t>
  </si>
  <si>
    <t>หน้างบใบสำคัญประกอบฎีกา 91 / 2569</t>
  </si>
  <si>
    <t>เงินเดือนลูกจ้างชั่วคราวเดือน สิงหาคม 2569</t>
  </si>
  <si>
    <t>หน้างบใบสำคัญประกอบฎีกา 92 / 2569</t>
  </si>
  <si>
    <t>ค่าไม่ทำเวชปฏิบัติงานส่วนตัวหรือปฏิบัติงานใน รพ.เอกชน เดือน สค.69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</si>
</sst>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43" fontId="2" fillId="2" borderId="5" xfId="1" applyFont="1" applyFill="1" applyBorder="1"/>
    <xf numFmtId="0" fontId="0" fillId="2" borderId="0" xfId="0" applyFill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43" fontId="2" fillId="2" borderId="4" xfId="1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2" fillId="2" borderId="1" xfId="0" applyFont="1" applyFill="1" applyBorder="1"/>
    <xf numFmtId="43" fontId="2" fillId="2" borderId="1" xfId="1" applyFont="1" applyFill="1" applyBorder="1"/>
    <xf numFmtId="43" fontId="0" fillId="2" borderId="0" xfId="0" applyNumberFormat="1" applyFill="1"/>
    <xf numFmtId="43" fontId="3" fillId="2" borderId="5" xfId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3" fontId="4" fillId="2" borderId="1" xfId="1" applyFont="1" applyFill="1" applyBorder="1"/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43" fontId="2" fillId="2" borderId="0" xfId="1" applyFont="1" applyFill="1" applyBorder="1"/>
    <xf numFmtId="0" fontId="2" fillId="0" borderId="0" xfId="0" applyFont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43" fontId="4" fillId="2" borderId="0" xfId="1" applyFont="1" applyFill="1" applyBorder="1"/>
    <xf numFmtId="0" fontId="2" fillId="2" borderId="0" xfId="0" applyFont="1" applyFill="1" applyBorder="1" applyAlignment="1">
      <alignment horizontal="center"/>
    </xf>
    <xf numFmtId="0" fontId="5" fillId="2" borderId="6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43" fontId="2" fillId="2" borderId="10" xfId="1" applyFont="1" applyFill="1" applyBorder="1"/>
    <xf numFmtId="0" fontId="2" fillId="2" borderId="11" xfId="0" applyFont="1" applyFill="1" applyBorder="1"/>
    <xf numFmtId="0" fontId="6" fillId="2" borderId="8" xfId="0" applyFont="1" applyFill="1" applyBorder="1"/>
    <xf numFmtId="43" fontId="3" fillId="2" borderId="10" xfId="1" applyFont="1" applyFill="1" applyBorder="1"/>
    <xf numFmtId="0" fontId="2" fillId="2" borderId="2" xfId="0" applyFont="1" applyFill="1" applyBorder="1" applyAlignment="1">
      <alignment horizontal="center"/>
    </xf>
    <xf numFmtId="0" fontId="5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selection sqref="A1:F1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10" ht="24" customHeight="1">
      <c r="A1" s="58" t="s">
        <v>379</v>
      </c>
      <c r="B1" s="58"/>
      <c r="C1" s="58"/>
      <c r="D1" s="58"/>
      <c r="E1" s="58"/>
      <c r="F1" s="58"/>
    </row>
    <row r="2" spans="1:10" ht="24" customHeight="1" thickBot="1">
      <c r="A2" s="59" t="s">
        <v>117</v>
      </c>
      <c r="B2" s="59"/>
      <c r="C2" s="59"/>
      <c r="D2" s="59"/>
      <c r="E2" s="59"/>
      <c r="F2" s="59"/>
    </row>
    <row r="3" spans="1:10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10" ht="24" customHeight="1">
      <c r="A4" s="8">
        <v>1</v>
      </c>
      <c r="B4" s="9" t="s">
        <v>189</v>
      </c>
      <c r="C4" s="9"/>
      <c r="D4" s="10"/>
      <c r="E4" s="1">
        <v>233325</v>
      </c>
      <c r="F4" s="11"/>
    </row>
    <row r="5" spans="1:10" ht="24" customHeight="1">
      <c r="A5" s="8">
        <v>2</v>
      </c>
      <c r="B5" s="9" t="s">
        <v>326</v>
      </c>
      <c r="C5" s="9"/>
      <c r="D5" s="10"/>
      <c r="E5" s="1">
        <v>132464</v>
      </c>
      <c r="F5" s="11"/>
      <c r="G5" s="9"/>
      <c r="H5" s="9"/>
      <c r="I5" s="9"/>
      <c r="J5" s="21"/>
    </row>
    <row r="6" spans="1:10" ht="24" customHeight="1">
      <c r="A6" s="8">
        <v>3</v>
      </c>
      <c r="B6" s="9" t="s">
        <v>224</v>
      </c>
      <c r="C6" s="9"/>
      <c r="D6" s="10"/>
      <c r="E6" s="1">
        <v>702035</v>
      </c>
      <c r="F6" s="11"/>
    </row>
    <row r="7" spans="1:10" ht="24" customHeight="1">
      <c r="A7" s="8">
        <v>4</v>
      </c>
      <c r="B7" s="9" t="s">
        <v>224</v>
      </c>
      <c r="C7" s="9"/>
      <c r="D7" s="10"/>
      <c r="E7" s="1">
        <v>513212</v>
      </c>
      <c r="F7" s="11"/>
    </row>
    <row r="8" spans="1:10" ht="24" customHeight="1">
      <c r="A8" s="8">
        <v>5</v>
      </c>
      <c r="B8" s="9" t="s">
        <v>222</v>
      </c>
      <c r="C8" s="9"/>
      <c r="D8" s="10"/>
      <c r="E8" s="1">
        <v>129800</v>
      </c>
      <c r="F8" s="11"/>
    </row>
    <row r="9" spans="1:10" ht="24" customHeight="1">
      <c r="A9" s="8">
        <v>6</v>
      </c>
      <c r="B9" s="9" t="s">
        <v>225</v>
      </c>
      <c r="C9" s="9"/>
      <c r="D9" s="10"/>
      <c r="E9" s="1">
        <v>14960</v>
      </c>
      <c r="F9" s="11"/>
      <c r="G9" s="14"/>
    </row>
    <row r="10" spans="1:10" ht="24" customHeight="1">
      <c r="A10" s="8">
        <v>7</v>
      </c>
      <c r="B10" s="9" t="s">
        <v>224</v>
      </c>
      <c r="C10" s="9"/>
      <c r="D10" s="10"/>
      <c r="E10" s="1">
        <v>568693</v>
      </c>
      <c r="F10" s="11"/>
    </row>
    <row r="11" spans="1:10" ht="24" customHeight="1">
      <c r="A11" s="8">
        <v>8</v>
      </c>
      <c r="B11" s="9" t="s">
        <v>224</v>
      </c>
      <c r="C11" s="9"/>
      <c r="D11" s="10"/>
      <c r="E11" s="1">
        <v>734056</v>
      </c>
      <c r="F11" s="11"/>
    </row>
    <row r="12" spans="1:10" ht="24" customHeight="1" thickBot="1">
      <c r="A12" s="8">
        <v>9</v>
      </c>
      <c r="B12" s="9" t="s">
        <v>224</v>
      </c>
      <c r="C12" s="9"/>
      <c r="D12" s="10"/>
      <c r="E12" s="1">
        <v>571896</v>
      </c>
      <c r="F12" s="11"/>
      <c r="G12" s="14">
        <f>SUM(E4:E12)</f>
        <v>3600441</v>
      </c>
    </row>
    <row r="13" spans="1:10" ht="24" customHeight="1" thickBot="1">
      <c r="A13" s="12"/>
      <c r="B13" s="60" t="s">
        <v>4</v>
      </c>
      <c r="C13" s="61"/>
      <c r="D13" s="62"/>
      <c r="E13" s="13">
        <f>SUM(E4:E12)</f>
        <v>3600441</v>
      </c>
      <c r="F13" s="12"/>
    </row>
    <row r="14" spans="1:10" ht="24" customHeight="1">
      <c r="A14" s="9"/>
      <c r="B14" s="55"/>
      <c r="C14" s="55"/>
      <c r="D14" s="55"/>
      <c r="E14" s="21"/>
      <c r="F14" s="9"/>
    </row>
    <row r="17" spans="4:6" ht="24" customHeight="1">
      <c r="D17" s="63" t="s">
        <v>116</v>
      </c>
      <c r="E17" s="63"/>
      <c r="F17" s="63"/>
    </row>
  </sheetData>
  <mergeCells count="5">
    <mergeCell ref="A1:F1"/>
    <mergeCell ref="A2:F2"/>
    <mergeCell ref="B3:D3"/>
    <mergeCell ref="B13:D13"/>
    <mergeCell ref="D17:F17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0"/>
  <sheetViews>
    <sheetView workbookViewId="0">
      <selection activeCell="B22" sqref="B22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7" ht="24" customHeight="1">
      <c r="A1" s="58" t="s">
        <v>12</v>
      </c>
      <c r="B1" s="58"/>
      <c r="C1" s="58"/>
      <c r="D1" s="58"/>
      <c r="E1" s="58"/>
      <c r="F1" s="58"/>
    </row>
    <row r="2" spans="1:7" ht="24" customHeight="1" thickBot="1">
      <c r="A2" s="59" t="s">
        <v>117</v>
      </c>
      <c r="B2" s="59"/>
      <c r="C2" s="59"/>
      <c r="D2" s="59"/>
      <c r="E2" s="59"/>
      <c r="F2" s="59"/>
    </row>
    <row r="3" spans="1:7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7" ht="24" customHeight="1">
      <c r="A4" s="3">
        <v>1</v>
      </c>
      <c r="B4" s="4" t="s">
        <v>9</v>
      </c>
      <c r="C4" s="4"/>
      <c r="D4" s="5"/>
      <c r="E4" s="6">
        <v>42750</v>
      </c>
      <c r="F4" s="7"/>
    </row>
    <row r="5" spans="1:7" ht="24" customHeight="1">
      <c r="A5" s="8">
        <v>2</v>
      </c>
      <c r="B5" s="9" t="s">
        <v>9</v>
      </c>
      <c r="C5" s="9"/>
      <c r="D5" s="10"/>
      <c r="E5" s="1">
        <v>46920</v>
      </c>
      <c r="F5" s="11"/>
    </row>
    <row r="6" spans="1:7" ht="24" customHeight="1">
      <c r="A6" s="8">
        <v>3</v>
      </c>
      <c r="B6" s="9" t="s">
        <v>9</v>
      </c>
      <c r="C6" s="9"/>
      <c r="D6" s="10"/>
      <c r="E6" s="1">
        <v>41280</v>
      </c>
      <c r="F6" s="11"/>
    </row>
    <row r="7" spans="1:7" ht="24" customHeight="1">
      <c r="A7" s="8">
        <v>4</v>
      </c>
      <c r="B7" s="9" t="s">
        <v>6</v>
      </c>
      <c r="C7" s="9"/>
      <c r="D7" s="10"/>
      <c r="E7" s="1">
        <v>5000</v>
      </c>
      <c r="F7" s="11"/>
    </row>
    <row r="8" spans="1:7" ht="24" customHeight="1">
      <c r="A8" s="8">
        <v>5</v>
      </c>
      <c r="B8" s="9" t="s">
        <v>10</v>
      </c>
      <c r="C8" s="9"/>
      <c r="D8" s="10"/>
      <c r="E8" s="1">
        <v>1435</v>
      </c>
      <c r="F8" s="11"/>
    </row>
    <row r="9" spans="1:7" ht="24" customHeight="1">
      <c r="A9" s="8">
        <v>6</v>
      </c>
      <c r="B9" s="9" t="s">
        <v>7</v>
      </c>
      <c r="C9" s="9"/>
      <c r="D9" s="10"/>
      <c r="E9" s="1">
        <v>90640</v>
      </c>
      <c r="F9" s="11"/>
    </row>
    <row r="10" spans="1:7" ht="24" customHeight="1">
      <c r="A10" s="8">
        <v>7</v>
      </c>
      <c r="B10" s="9" t="s">
        <v>5</v>
      </c>
      <c r="C10" s="9"/>
      <c r="D10" s="10"/>
      <c r="E10" s="1">
        <v>7680</v>
      </c>
      <c r="F10" s="11"/>
    </row>
    <row r="11" spans="1:7" ht="24" customHeight="1">
      <c r="A11" s="8">
        <v>8</v>
      </c>
      <c r="B11" s="9" t="s">
        <v>11</v>
      </c>
      <c r="C11" s="9"/>
      <c r="D11" s="10"/>
      <c r="E11" s="1">
        <v>2645</v>
      </c>
      <c r="F11" s="11"/>
    </row>
    <row r="12" spans="1:7" ht="24" customHeight="1">
      <c r="A12" s="8">
        <v>9</v>
      </c>
      <c r="B12" s="9" t="s">
        <v>8</v>
      </c>
      <c r="C12" s="9"/>
      <c r="D12" s="10"/>
      <c r="E12" s="1">
        <v>2500</v>
      </c>
      <c r="F12" s="11"/>
      <c r="G12" s="2">
        <v>240850</v>
      </c>
    </row>
    <row r="13" spans="1:7" ht="24" customHeight="1">
      <c r="A13" s="8">
        <v>10</v>
      </c>
      <c r="B13" s="9" t="s">
        <v>13</v>
      </c>
      <c r="C13" s="9"/>
      <c r="D13" s="10"/>
      <c r="E13" s="1">
        <v>167900</v>
      </c>
      <c r="F13" s="11"/>
    </row>
    <row r="14" spans="1:7" ht="24" customHeight="1">
      <c r="A14" s="8">
        <v>11</v>
      </c>
      <c r="B14" s="9" t="s">
        <v>14</v>
      </c>
      <c r="C14" s="9"/>
      <c r="D14" s="10"/>
      <c r="E14" s="1">
        <v>23380</v>
      </c>
      <c r="F14" s="11"/>
    </row>
    <row r="15" spans="1:7" ht="24" customHeight="1">
      <c r="A15" s="8">
        <v>12</v>
      </c>
      <c r="B15" s="9" t="s">
        <v>15</v>
      </c>
      <c r="C15" s="9"/>
      <c r="D15" s="10"/>
      <c r="E15" s="1">
        <v>58500</v>
      </c>
      <c r="F15" s="11"/>
    </row>
    <row r="16" spans="1:7" ht="24" customHeight="1">
      <c r="A16" s="8">
        <v>13</v>
      </c>
      <c r="B16" s="9" t="s">
        <v>16</v>
      </c>
      <c r="C16" s="9"/>
      <c r="D16" s="10"/>
      <c r="E16" s="1">
        <v>12000</v>
      </c>
      <c r="F16" s="11"/>
    </row>
    <row r="17" spans="1:7" ht="24" customHeight="1">
      <c r="A17" s="8">
        <v>14</v>
      </c>
      <c r="B17" s="9" t="s">
        <v>17</v>
      </c>
      <c r="C17" s="9"/>
      <c r="D17" s="10"/>
      <c r="E17" s="1">
        <v>75240</v>
      </c>
      <c r="F17" s="11"/>
    </row>
    <row r="18" spans="1:7" ht="24" customHeight="1">
      <c r="A18" s="8">
        <v>15</v>
      </c>
      <c r="B18" s="9" t="s">
        <v>18</v>
      </c>
      <c r="C18" s="9"/>
      <c r="D18" s="10"/>
      <c r="E18" s="1">
        <v>32800</v>
      </c>
      <c r="F18" s="11"/>
    </row>
    <row r="19" spans="1:7" ht="24" customHeight="1">
      <c r="A19" s="8">
        <v>16</v>
      </c>
      <c r="B19" s="9" t="s">
        <v>19</v>
      </c>
      <c r="C19" s="9"/>
      <c r="D19" s="10"/>
      <c r="E19" s="1">
        <v>26700</v>
      </c>
      <c r="F19" s="11"/>
    </row>
    <row r="20" spans="1:7" ht="24" customHeight="1">
      <c r="A20" s="8">
        <v>17</v>
      </c>
      <c r="B20" s="9" t="s">
        <v>20</v>
      </c>
      <c r="C20" s="9"/>
      <c r="D20" s="10"/>
      <c r="E20" s="1">
        <v>14400</v>
      </c>
      <c r="F20" s="11"/>
      <c r="G20" s="2">
        <v>410920</v>
      </c>
    </row>
    <row r="21" spans="1:7" ht="24" customHeight="1">
      <c r="A21" s="8">
        <v>18</v>
      </c>
      <c r="B21" s="9" t="s">
        <v>21</v>
      </c>
      <c r="C21" s="9"/>
      <c r="D21" s="10"/>
      <c r="E21" s="1">
        <v>270000</v>
      </c>
      <c r="F21" s="11"/>
    </row>
    <row r="22" spans="1:7" ht="24" customHeight="1">
      <c r="A22" s="8">
        <v>19</v>
      </c>
      <c r="B22" s="9" t="s">
        <v>22</v>
      </c>
      <c r="C22" s="9"/>
      <c r="D22" s="10"/>
      <c r="E22" s="1">
        <v>15000</v>
      </c>
      <c r="F22" s="11"/>
    </row>
    <row r="23" spans="1:7" ht="24" customHeight="1">
      <c r="A23" s="8">
        <v>20</v>
      </c>
      <c r="B23" s="9" t="s">
        <v>23</v>
      </c>
      <c r="C23" s="9"/>
      <c r="D23" s="10"/>
      <c r="E23" s="1">
        <v>327360</v>
      </c>
      <c r="F23" s="11"/>
    </row>
    <row r="24" spans="1:7" ht="24" customHeight="1">
      <c r="A24" s="8">
        <v>21</v>
      </c>
      <c r="B24" s="9" t="s">
        <v>24</v>
      </c>
      <c r="C24" s="9"/>
      <c r="D24" s="10"/>
      <c r="E24" s="1">
        <v>100260</v>
      </c>
      <c r="F24" s="11"/>
    </row>
    <row r="25" spans="1:7" ht="24" customHeight="1">
      <c r="A25" s="8">
        <v>22</v>
      </c>
      <c r="B25" s="9" t="s">
        <v>25</v>
      </c>
      <c r="C25" s="9"/>
      <c r="D25" s="10"/>
      <c r="E25" s="1">
        <v>85600</v>
      </c>
      <c r="F25" s="11"/>
    </row>
    <row r="26" spans="1:7" ht="24" customHeight="1">
      <c r="A26" s="8">
        <v>23</v>
      </c>
      <c r="B26" s="9" t="s">
        <v>26</v>
      </c>
      <c r="C26" s="9"/>
      <c r="D26" s="10"/>
      <c r="E26" s="1">
        <v>242240</v>
      </c>
      <c r="F26" s="11"/>
      <c r="G26" s="2">
        <v>1040460</v>
      </c>
    </row>
    <row r="27" spans="1:7" ht="24" customHeight="1">
      <c r="A27" s="8">
        <v>24</v>
      </c>
      <c r="B27" s="9" t="s">
        <v>27</v>
      </c>
      <c r="C27" s="9"/>
      <c r="D27" s="10"/>
      <c r="E27" s="1">
        <v>196800</v>
      </c>
      <c r="F27" s="11"/>
    </row>
    <row r="28" spans="1:7" ht="24" customHeight="1">
      <c r="A28" s="8">
        <v>25</v>
      </c>
      <c r="B28" s="9" t="s">
        <v>28</v>
      </c>
      <c r="C28" s="9"/>
      <c r="D28" s="10"/>
      <c r="E28" s="1">
        <v>158200</v>
      </c>
      <c r="F28" s="11"/>
    </row>
    <row r="29" spans="1:7" ht="24" customHeight="1" thickBot="1">
      <c r="A29" s="8">
        <v>26</v>
      </c>
      <c r="B29" s="9" t="s">
        <v>29</v>
      </c>
      <c r="C29" s="9"/>
      <c r="D29" s="10"/>
      <c r="E29" s="1">
        <v>187030</v>
      </c>
      <c r="F29" s="11"/>
      <c r="G29" s="2">
        <v>542030</v>
      </c>
    </row>
    <row r="30" spans="1:7" ht="24" customHeight="1" thickBot="1">
      <c r="A30" s="12"/>
      <c r="B30" s="60" t="s">
        <v>100</v>
      </c>
      <c r="C30" s="61"/>
      <c r="D30" s="62"/>
      <c r="E30" s="13">
        <f>SUM(E4:E29)</f>
        <v>2234260</v>
      </c>
      <c r="F30" s="12"/>
    </row>
    <row r="31" spans="1:7" ht="24" customHeight="1">
      <c r="A31" s="58" t="s">
        <v>101</v>
      </c>
      <c r="B31" s="58"/>
      <c r="C31" s="58"/>
      <c r="D31" s="58"/>
      <c r="E31" s="58"/>
      <c r="F31" s="58"/>
    </row>
    <row r="32" spans="1:7" ht="24" customHeight="1" thickBot="1">
      <c r="A32" s="59" t="s">
        <v>117</v>
      </c>
      <c r="B32" s="59"/>
      <c r="C32" s="59"/>
      <c r="D32" s="59"/>
      <c r="E32" s="59"/>
      <c r="F32" s="59"/>
    </row>
    <row r="33" spans="1:7" ht="24" customHeight="1" thickBot="1">
      <c r="A33" s="16" t="s">
        <v>2</v>
      </c>
      <c r="B33" s="60" t="s">
        <v>3</v>
      </c>
      <c r="C33" s="61"/>
      <c r="D33" s="62"/>
      <c r="E33" s="16" t="s">
        <v>0</v>
      </c>
      <c r="F33" s="16" t="s">
        <v>1</v>
      </c>
    </row>
    <row r="34" spans="1:7" ht="24" customHeight="1" thickBot="1">
      <c r="A34" s="16"/>
      <c r="B34" s="60" t="s">
        <v>30</v>
      </c>
      <c r="C34" s="61"/>
      <c r="D34" s="62"/>
      <c r="E34" s="13">
        <v>2234260</v>
      </c>
      <c r="F34" s="12"/>
    </row>
    <row r="35" spans="1:7" ht="24" customHeight="1">
      <c r="A35" s="8">
        <v>27</v>
      </c>
      <c r="B35" s="9" t="s">
        <v>31</v>
      </c>
      <c r="C35" s="9"/>
      <c r="D35" s="10"/>
      <c r="E35" s="1">
        <v>135780</v>
      </c>
      <c r="F35" s="11"/>
    </row>
    <row r="36" spans="1:7" ht="24" customHeight="1">
      <c r="A36" s="8">
        <v>28</v>
      </c>
      <c r="B36" s="9" t="s">
        <v>32</v>
      </c>
      <c r="C36" s="9"/>
      <c r="D36" s="10"/>
      <c r="E36" s="1">
        <v>9600</v>
      </c>
      <c r="F36" s="11"/>
    </row>
    <row r="37" spans="1:7" ht="24" customHeight="1">
      <c r="A37" s="8">
        <v>29</v>
      </c>
      <c r="B37" s="9" t="s">
        <v>24</v>
      </c>
      <c r="C37" s="9"/>
      <c r="D37" s="10"/>
      <c r="E37" s="1">
        <v>15280</v>
      </c>
      <c r="F37" s="11"/>
    </row>
    <row r="38" spans="1:7" ht="24" customHeight="1">
      <c r="A38" s="8">
        <v>30</v>
      </c>
      <c r="B38" s="9" t="s">
        <v>33</v>
      </c>
      <c r="C38" s="9"/>
      <c r="D38" s="10"/>
      <c r="E38" s="1">
        <v>14700</v>
      </c>
      <c r="F38" s="11"/>
    </row>
    <row r="39" spans="1:7" ht="24" customHeight="1">
      <c r="A39" s="8">
        <v>31</v>
      </c>
      <c r="B39" s="9" t="s">
        <v>34</v>
      </c>
      <c r="C39" s="9"/>
      <c r="D39" s="10"/>
      <c r="E39" s="1">
        <v>118480</v>
      </c>
      <c r="F39" s="11"/>
    </row>
    <row r="40" spans="1:7" ht="24" customHeight="1">
      <c r="A40" s="8">
        <v>32</v>
      </c>
      <c r="B40" s="9" t="s">
        <v>35</v>
      </c>
      <c r="C40" s="9"/>
      <c r="D40" s="10"/>
      <c r="E40" s="1">
        <v>59520</v>
      </c>
      <c r="F40" s="11"/>
      <c r="G40" s="2">
        <v>353360</v>
      </c>
    </row>
    <row r="41" spans="1:7" ht="24" customHeight="1">
      <c r="A41" s="8">
        <v>33</v>
      </c>
      <c r="B41" s="9" t="s">
        <v>36</v>
      </c>
      <c r="C41" s="9"/>
      <c r="D41" s="10"/>
      <c r="E41" s="1">
        <v>47700</v>
      </c>
      <c r="F41" s="11"/>
    </row>
    <row r="42" spans="1:7" ht="24" customHeight="1">
      <c r="A42" s="8">
        <v>34</v>
      </c>
      <c r="B42" s="9" t="s">
        <v>37</v>
      </c>
      <c r="C42" s="9"/>
      <c r="D42" s="10"/>
      <c r="E42" s="1">
        <v>74520</v>
      </c>
      <c r="F42" s="11"/>
    </row>
    <row r="43" spans="1:7" ht="24" customHeight="1">
      <c r="A43" s="8">
        <v>35</v>
      </c>
      <c r="B43" s="9" t="s">
        <v>38</v>
      </c>
      <c r="C43" s="9"/>
      <c r="D43" s="10"/>
      <c r="E43" s="1">
        <v>166000</v>
      </c>
      <c r="F43" s="11"/>
    </row>
    <row r="44" spans="1:7" ht="24" customHeight="1">
      <c r="A44" s="8">
        <v>36</v>
      </c>
      <c r="B44" s="9" t="s">
        <v>39</v>
      </c>
      <c r="C44" s="9"/>
      <c r="D44" s="10"/>
      <c r="E44" s="1">
        <v>6000</v>
      </c>
      <c r="F44" s="11"/>
    </row>
    <row r="45" spans="1:7" ht="24" customHeight="1">
      <c r="A45" s="8">
        <v>37</v>
      </c>
      <c r="B45" s="9" t="s">
        <v>40</v>
      </c>
      <c r="C45" s="9"/>
      <c r="D45" s="10"/>
      <c r="E45" s="1">
        <v>170460</v>
      </c>
      <c r="F45" s="11"/>
    </row>
    <row r="46" spans="1:7" ht="24" customHeight="1">
      <c r="A46" s="8">
        <v>38</v>
      </c>
      <c r="B46" s="9" t="s">
        <v>41</v>
      </c>
      <c r="C46" s="9"/>
      <c r="D46" s="10"/>
      <c r="E46" s="1">
        <v>106650</v>
      </c>
      <c r="F46" s="11"/>
      <c r="G46" s="2">
        <v>571330</v>
      </c>
    </row>
    <row r="47" spans="1:7" ht="24" customHeight="1">
      <c r="A47" s="8">
        <v>39</v>
      </c>
      <c r="B47" s="9" t="s">
        <v>42</v>
      </c>
      <c r="C47" s="9"/>
      <c r="D47" s="10"/>
      <c r="E47" s="1">
        <v>48704</v>
      </c>
      <c r="F47" s="11"/>
    </row>
    <row r="48" spans="1:7" ht="24" customHeight="1">
      <c r="A48" s="8">
        <v>40</v>
      </c>
      <c r="B48" s="9" t="s">
        <v>49</v>
      </c>
      <c r="C48" s="9"/>
      <c r="D48" s="10"/>
      <c r="E48" s="1">
        <v>2400</v>
      </c>
      <c r="F48" s="11"/>
    </row>
    <row r="49" spans="1:7" ht="24" customHeight="1">
      <c r="A49" s="8">
        <v>41</v>
      </c>
      <c r="B49" s="9" t="s">
        <v>43</v>
      </c>
      <c r="C49" s="9"/>
      <c r="D49" s="10"/>
      <c r="E49" s="1">
        <v>588</v>
      </c>
      <c r="F49" s="11"/>
    </row>
    <row r="50" spans="1:7" ht="24" customHeight="1">
      <c r="A50" s="8">
        <v>42</v>
      </c>
      <c r="B50" s="9" t="s">
        <v>44</v>
      </c>
      <c r="C50" s="9"/>
      <c r="D50" s="10"/>
      <c r="E50" s="1">
        <v>21600</v>
      </c>
      <c r="F50" s="11"/>
    </row>
    <row r="51" spans="1:7" ht="24" customHeight="1">
      <c r="A51" s="8">
        <v>43</v>
      </c>
      <c r="B51" s="9" t="s">
        <v>45</v>
      </c>
      <c r="C51" s="9"/>
      <c r="D51" s="10"/>
      <c r="E51" s="1">
        <v>92130</v>
      </c>
      <c r="F51" s="11"/>
    </row>
    <row r="52" spans="1:7" ht="24" customHeight="1">
      <c r="A52" s="8">
        <v>44</v>
      </c>
      <c r="B52" s="9" t="s">
        <v>46</v>
      </c>
      <c r="C52" s="9"/>
      <c r="D52" s="10"/>
      <c r="E52" s="1">
        <v>31500</v>
      </c>
      <c r="F52" s="11"/>
    </row>
    <row r="53" spans="1:7" ht="24" customHeight="1">
      <c r="A53" s="8">
        <v>45</v>
      </c>
      <c r="B53" s="9" t="s">
        <v>50</v>
      </c>
      <c r="C53" s="9"/>
      <c r="D53" s="10"/>
      <c r="E53" s="1">
        <v>178740</v>
      </c>
      <c r="F53" s="11"/>
    </row>
    <row r="54" spans="1:7" ht="24" customHeight="1">
      <c r="A54" s="8">
        <v>46</v>
      </c>
      <c r="B54" s="9" t="s">
        <v>47</v>
      </c>
      <c r="C54" s="9"/>
      <c r="D54" s="10"/>
      <c r="E54" s="1">
        <v>216120</v>
      </c>
      <c r="F54" s="11"/>
    </row>
    <row r="55" spans="1:7" ht="24" customHeight="1">
      <c r="A55" s="8">
        <v>47</v>
      </c>
      <c r="B55" s="9" t="s">
        <v>48</v>
      </c>
      <c r="C55" s="9"/>
      <c r="D55" s="10"/>
      <c r="E55" s="1">
        <v>865572</v>
      </c>
      <c r="F55" s="11"/>
      <c r="G55" s="2">
        <v>1457354</v>
      </c>
    </row>
    <row r="56" spans="1:7" ht="24" customHeight="1">
      <c r="A56" s="8">
        <v>48</v>
      </c>
      <c r="B56" s="9" t="s">
        <v>51</v>
      </c>
      <c r="C56" s="9"/>
      <c r="D56" s="10"/>
      <c r="E56" s="1">
        <v>118400</v>
      </c>
      <c r="F56" s="11"/>
    </row>
    <row r="57" spans="1:7" ht="24" customHeight="1">
      <c r="A57" s="8">
        <v>49</v>
      </c>
      <c r="B57" s="9" t="s">
        <v>52</v>
      </c>
      <c r="C57" s="9"/>
      <c r="D57" s="10"/>
      <c r="E57" s="1">
        <v>141200</v>
      </c>
      <c r="F57" s="11"/>
    </row>
    <row r="58" spans="1:7" ht="24" customHeight="1">
      <c r="A58" s="8">
        <v>50</v>
      </c>
      <c r="B58" s="9" t="s">
        <v>53</v>
      </c>
      <c r="C58" s="9"/>
      <c r="D58" s="10"/>
      <c r="E58" s="1">
        <v>47040</v>
      </c>
      <c r="F58" s="11"/>
    </row>
    <row r="59" spans="1:7" ht="24" customHeight="1" thickBot="1">
      <c r="A59" s="8">
        <v>51</v>
      </c>
      <c r="B59" s="9" t="s">
        <v>54</v>
      </c>
      <c r="C59" s="9"/>
      <c r="D59" s="10"/>
      <c r="E59" s="1">
        <v>246100</v>
      </c>
      <c r="F59" s="11"/>
    </row>
    <row r="60" spans="1:7" ht="24" customHeight="1" thickBot="1">
      <c r="A60" s="12"/>
      <c r="B60" s="60" t="s">
        <v>100</v>
      </c>
      <c r="C60" s="61"/>
      <c r="D60" s="62"/>
      <c r="E60" s="13">
        <f>SUM(E34:E59)</f>
        <v>5169044</v>
      </c>
      <c r="F60" s="12"/>
    </row>
    <row r="61" spans="1:7" ht="24" customHeight="1">
      <c r="A61" s="58" t="s">
        <v>101</v>
      </c>
      <c r="B61" s="58"/>
      <c r="C61" s="58"/>
      <c r="D61" s="58"/>
      <c r="E61" s="58"/>
      <c r="F61" s="58"/>
    </row>
    <row r="62" spans="1:7" ht="32.25" customHeight="1" thickBot="1">
      <c r="A62" s="59" t="s">
        <v>117</v>
      </c>
      <c r="B62" s="59"/>
      <c r="C62" s="59"/>
      <c r="D62" s="59"/>
      <c r="E62" s="59"/>
      <c r="F62" s="59"/>
    </row>
    <row r="63" spans="1:7" ht="24" customHeight="1" thickBot="1">
      <c r="A63" s="17" t="s">
        <v>2</v>
      </c>
      <c r="B63" s="60" t="s">
        <v>3</v>
      </c>
      <c r="C63" s="61"/>
      <c r="D63" s="62"/>
      <c r="E63" s="16" t="s">
        <v>0</v>
      </c>
      <c r="F63" s="16" t="s">
        <v>1</v>
      </c>
    </row>
    <row r="64" spans="1:7" ht="24" customHeight="1" thickBot="1">
      <c r="A64" s="16"/>
      <c r="B64" s="60" t="s">
        <v>30</v>
      </c>
      <c r="C64" s="61"/>
      <c r="D64" s="62"/>
      <c r="E64" s="13">
        <f>E60</f>
        <v>5169044</v>
      </c>
      <c r="F64" s="12"/>
    </row>
    <row r="65" spans="1:7" ht="24" customHeight="1">
      <c r="A65" s="8">
        <v>52</v>
      </c>
      <c r="B65" s="9" t="s">
        <v>55</v>
      </c>
      <c r="C65" s="9"/>
      <c r="D65" s="10"/>
      <c r="E65" s="1">
        <v>218700</v>
      </c>
      <c r="F65" s="11"/>
    </row>
    <row r="66" spans="1:7" ht="24" customHeight="1">
      <c r="A66" s="8">
        <v>53</v>
      </c>
      <c r="B66" s="9" t="s">
        <v>56</v>
      </c>
      <c r="C66" s="9"/>
      <c r="D66" s="10"/>
      <c r="E66" s="1">
        <v>147120</v>
      </c>
      <c r="F66" s="11"/>
    </row>
    <row r="67" spans="1:7" ht="24" customHeight="1">
      <c r="A67" s="8">
        <v>54</v>
      </c>
      <c r="B67" s="9" t="s">
        <v>57</v>
      </c>
      <c r="C67" s="9"/>
      <c r="D67" s="10"/>
      <c r="E67" s="1">
        <v>8640</v>
      </c>
      <c r="F67" s="11"/>
    </row>
    <row r="68" spans="1:7" ht="24" customHeight="1">
      <c r="A68" s="8">
        <v>55</v>
      </c>
      <c r="B68" s="9" t="s">
        <v>58</v>
      </c>
      <c r="C68" s="9"/>
      <c r="D68" s="10"/>
      <c r="E68" s="1">
        <v>7480</v>
      </c>
      <c r="F68" s="11"/>
    </row>
    <row r="69" spans="1:7" ht="24" customHeight="1">
      <c r="A69" s="8">
        <v>56</v>
      </c>
      <c r="B69" s="9" t="s">
        <v>59</v>
      </c>
      <c r="C69" s="9"/>
      <c r="D69" s="10"/>
      <c r="E69" s="1">
        <v>27315</v>
      </c>
      <c r="F69" s="11"/>
      <c r="G69" s="14">
        <v>961995</v>
      </c>
    </row>
    <row r="70" spans="1:7" ht="24" customHeight="1">
      <c r="A70" s="8">
        <v>57</v>
      </c>
      <c r="B70" s="9" t="s">
        <v>60</v>
      </c>
      <c r="C70" s="9"/>
      <c r="D70" s="10"/>
      <c r="E70" s="1">
        <v>173840</v>
      </c>
      <c r="F70" s="11"/>
    </row>
    <row r="71" spans="1:7" ht="24" customHeight="1">
      <c r="A71" s="8">
        <v>58</v>
      </c>
      <c r="B71" s="9" t="s">
        <v>61</v>
      </c>
      <c r="C71" s="9"/>
      <c r="D71" s="10"/>
      <c r="E71" s="1">
        <v>96435</v>
      </c>
      <c r="F71" s="11"/>
    </row>
    <row r="72" spans="1:7" ht="24" customHeight="1">
      <c r="A72" s="8">
        <v>59</v>
      </c>
      <c r="B72" s="9" t="s">
        <v>62</v>
      </c>
      <c r="C72" s="9"/>
      <c r="D72" s="10"/>
      <c r="E72" s="1">
        <v>124590</v>
      </c>
      <c r="F72" s="11"/>
    </row>
    <row r="73" spans="1:7" ht="24" customHeight="1">
      <c r="A73" s="8">
        <v>60</v>
      </c>
      <c r="B73" s="9" t="s">
        <v>63</v>
      </c>
      <c r="C73" s="9"/>
      <c r="D73" s="10"/>
      <c r="E73" s="1">
        <v>36400</v>
      </c>
      <c r="F73" s="11"/>
    </row>
    <row r="74" spans="1:7" ht="24" customHeight="1">
      <c r="A74" s="8">
        <v>61</v>
      </c>
      <c r="B74" s="9" t="s">
        <v>64</v>
      </c>
      <c r="C74" s="9"/>
      <c r="D74" s="10"/>
      <c r="E74" s="1">
        <v>81860</v>
      </c>
      <c r="F74" s="11"/>
    </row>
    <row r="75" spans="1:7" ht="24" customHeight="1">
      <c r="A75" s="8">
        <v>62</v>
      </c>
      <c r="B75" s="9" t="s">
        <v>54</v>
      </c>
      <c r="C75" s="9"/>
      <c r="D75" s="10"/>
      <c r="E75" s="1">
        <v>381200</v>
      </c>
      <c r="F75" s="11"/>
      <c r="G75" s="2">
        <v>894325</v>
      </c>
    </row>
    <row r="76" spans="1:7" ht="24" customHeight="1">
      <c r="A76" s="8">
        <v>63</v>
      </c>
      <c r="B76" s="9" t="s">
        <v>65</v>
      </c>
      <c r="C76" s="9"/>
      <c r="D76" s="10"/>
      <c r="E76" s="1">
        <v>140400</v>
      </c>
      <c r="F76" s="11"/>
    </row>
    <row r="77" spans="1:7" ht="24" customHeight="1">
      <c r="A77" s="8">
        <v>64</v>
      </c>
      <c r="B77" s="9" t="s">
        <v>66</v>
      </c>
      <c r="C77" s="9"/>
      <c r="D77" s="10"/>
      <c r="E77" s="1">
        <v>12900</v>
      </c>
      <c r="F77" s="11"/>
    </row>
    <row r="78" spans="1:7" ht="24" customHeight="1">
      <c r="A78" s="8">
        <v>65</v>
      </c>
      <c r="B78" s="9" t="s">
        <v>67</v>
      </c>
      <c r="C78" s="9"/>
      <c r="D78" s="10"/>
      <c r="E78" s="1">
        <v>11940</v>
      </c>
      <c r="F78" s="11"/>
    </row>
    <row r="79" spans="1:7" ht="24" customHeight="1">
      <c r="A79" s="8">
        <v>66</v>
      </c>
      <c r="B79" s="9" t="s">
        <v>68</v>
      </c>
      <c r="C79" s="9"/>
      <c r="D79" s="10"/>
      <c r="E79" s="1">
        <v>47600</v>
      </c>
      <c r="F79" s="11"/>
    </row>
    <row r="80" spans="1:7" ht="24" customHeight="1">
      <c r="A80" s="8">
        <v>67</v>
      </c>
      <c r="B80" s="9" t="s">
        <v>69</v>
      </c>
      <c r="C80" s="9"/>
      <c r="D80" s="10"/>
      <c r="E80" s="1">
        <v>63800</v>
      </c>
      <c r="F80" s="11"/>
    </row>
    <row r="81" spans="1:7" ht="24" customHeight="1">
      <c r="A81" s="8">
        <v>68</v>
      </c>
      <c r="B81" s="9" t="s">
        <v>70</v>
      </c>
      <c r="C81" s="9"/>
      <c r="D81" s="10"/>
      <c r="E81" s="1">
        <v>282500</v>
      </c>
      <c r="F81" s="11"/>
    </row>
    <row r="82" spans="1:7" ht="24" customHeight="1">
      <c r="A82" s="8">
        <v>69</v>
      </c>
      <c r="B82" s="9" t="s">
        <v>71</v>
      </c>
      <c r="C82" s="9"/>
      <c r="D82" s="10"/>
      <c r="E82" s="1">
        <v>142620</v>
      </c>
      <c r="F82" s="11"/>
    </row>
    <row r="83" spans="1:7" ht="24" customHeight="1">
      <c r="A83" s="8">
        <v>70</v>
      </c>
      <c r="B83" s="9" t="s">
        <v>72</v>
      </c>
      <c r="C83" s="9"/>
      <c r="D83" s="10"/>
      <c r="E83" s="1">
        <v>289400</v>
      </c>
      <c r="F83" s="11"/>
      <c r="G83" s="2">
        <v>991160</v>
      </c>
    </row>
    <row r="84" spans="1:7" ht="24" customHeight="1">
      <c r="A84" s="8">
        <v>71</v>
      </c>
      <c r="B84" s="9" t="s">
        <v>73</v>
      </c>
      <c r="C84" s="9"/>
      <c r="D84" s="10"/>
      <c r="E84" s="1">
        <v>283866</v>
      </c>
      <c r="F84" s="11"/>
    </row>
    <row r="85" spans="1:7" ht="24" customHeight="1">
      <c r="A85" s="8">
        <v>72</v>
      </c>
      <c r="B85" s="9" t="s">
        <v>85</v>
      </c>
      <c r="C85" s="9"/>
      <c r="D85" s="10"/>
      <c r="E85" s="1">
        <v>29400</v>
      </c>
      <c r="F85" s="11"/>
    </row>
    <row r="86" spans="1:7" ht="24" customHeight="1">
      <c r="A86" s="8">
        <v>73</v>
      </c>
      <c r="B86" s="9" t="s">
        <v>86</v>
      </c>
      <c r="C86" s="9"/>
      <c r="D86" s="10"/>
      <c r="E86" s="1">
        <v>293340</v>
      </c>
      <c r="F86" s="11"/>
    </row>
    <row r="87" spans="1:7" ht="24" customHeight="1">
      <c r="A87" s="8">
        <v>74</v>
      </c>
      <c r="B87" s="9" t="s">
        <v>87</v>
      </c>
      <c r="C87" s="9"/>
      <c r="D87" s="10"/>
      <c r="E87" s="1">
        <v>116680</v>
      </c>
      <c r="F87" s="11"/>
    </row>
    <row r="88" spans="1:7" ht="24" customHeight="1">
      <c r="A88" s="8">
        <v>75</v>
      </c>
      <c r="B88" s="9" t="s">
        <v>88</v>
      </c>
      <c r="C88" s="9"/>
      <c r="D88" s="10"/>
      <c r="E88" s="1">
        <v>351865</v>
      </c>
      <c r="F88" s="11"/>
    </row>
    <row r="89" spans="1:7" ht="24" customHeight="1" thickBot="1">
      <c r="A89" s="8">
        <v>76</v>
      </c>
      <c r="B89" s="9" t="s">
        <v>89</v>
      </c>
      <c r="C89" s="9"/>
      <c r="D89" s="10"/>
      <c r="E89" s="1">
        <v>19920</v>
      </c>
      <c r="F89" s="11"/>
    </row>
    <row r="90" spans="1:7" ht="24" customHeight="1" thickBot="1">
      <c r="A90" s="12"/>
      <c r="B90" s="60" t="s">
        <v>100</v>
      </c>
      <c r="C90" s="61"/>
      <c r="D90" s="62"/>
      <c r="E90" s="13">
        <f>SUM(E64:E89)</f>
        <v>8558855</v>
      </c>
      <c r="F90" s="12"/>
    </row>
    <row r="91" spans="1:7" ht="24" customHeight="1">
      <c r="A91" s="58" t="s">
        <v>101</v>
      </c>
      <c r="B91" s="58"/>
      <c r="C91" s="58"/>
      <c r="D91" s="58"/>
      <c r="E91" s="58"/>
      <c r="F91" s="58"/>
    </row>
    <row r="92" spans="1:7" ht="24" customHeight="1" thickBot="1">
      <c r="A92" s="59" t="s">
        <v>117</v>
      </c>
      <c r="B92" s="59"/>
      <c r="C92" s="59"/>
      <c r="D92" s="59"/>
      <c r="E92" s="59"/>
      <c r="F92" s="59"/>
    </row>
    <row r="93" spans="1:7" ht="24" customHeight="1" thickBot="1">
      <c r="A93" s="16" t="s">
        <v>2</v>
      </c>
      <c r="B93" s="60" t="s">
        <v>3</v>
      </c>
      <c r="C93" s="61"/>
      <c r="D93" s="62"/>
      <c r="E93" s="16" t="s">
        <v>0</v>
      </c>
      <c r="F93" s="16" t="s">
        <v>1</v>
      </c>
    </row>
    <row r="94" spans="1:7" ht="24" customHeight="1" thickBot="1">
      <c r="A94" s="16"/>
      <c r="B94" s="60" t="s">
        <v>30</v>
      </c>
      <c r="C94" s="61"/>
      <c r="D94" s="62"/>
      <c r="E94" s="13">
        <f>E90</f>
        <v>8558855</v>
      </c>
      <c r="F94" s="12"/>
    </row>
    <row r="95" spans="1:7" ht="24" customHeight="1">
      <c r="A95" s="8">
        <v>77</v>
      </c>
      <c r="B95" s="9" t="s">
        <v>89</v>
      </c>
      <c r="C95" s="9"/>
      <c r="D95" s="10"/>
      <c r="E95" s="1">
        <v>44745</v>
      </c>
      <c r="F95" s="11"/>
    </row>
    <row r="96" spans="1:7" ht="24" customHeight="1">
      <c r="A96" s="8">
        <v>78</v>
      </c>
      <c r="B96" s="9" t="s">
        <v>89</v>
      </c>
      <c r="C96" s="9"/>
      <c r="D96" s="10"/>
      <c r="E96" s="1">
        <v>45060</v>
      </c>
      <c r="F96" s="11"/>
      <c r="G96" s="2">
        <v>901010</v>
      </c>
    </row>
    <row r="97" spans="1:7" ht="24" customHeight="1">
      <c r="A97" s="8">
        <v>79</v>
      </c>
      <c r="B97" s="9" t="s">
        <v>74</v>
      </c>
      <c r="C97" s="9"/>
      <c r="D97" s="10"/>
      <c r="E97" s="1">
        <v>233500</v>
      </c>
      <c r="F97" s="11"/>
    </row>
    <row r="98" spans="1:7" ht="24" customHeight="1">
      <c r="A98" s="8">
        <v>80</v>
      </c>
      <c r="B98" s="9" t="s">
        <v>75</v>
      </c>
      <c r="C98" s="9"/>
      <c r="D98" s="10"/>
      <c r="E98" s="1">
        <v>2800</v>
      </c>
      <c r="F98" s="11"/>
    </row>
    <row r="99" spans="1:7" ht="24" customHeight="1">
      <c r="A99" s="8">
        <v>81</v>
      </c>
      <c r="B99" s="9" t="s">
        <v>76</v>
      </c>
      <c r="C99" s="9"/>
      <c r="D99" s="10"/>
      <c r="E99" s="1">
        <v>46000</v>
      </c>
      <c r="F99" s="11"/>
      <c r="G99" s="14"/>
    </row>
    <row r="100" spans="1:7" ht="24" customHeight="1">
      <c r="A100" s="8">
        <v>82</v>
      </c>
      <c r="B100" s="9" t="s">
        <v>76</v>
      </c>
      <c r="C100" s="9"/>
      <c r="D100" s="10"/>
      <c r="E100" s="1">
        <v>4800</v>
      </c>
      <c r="F100" s="11"/>
    </row>
    <row r="101" spans="1:7" ht="24" customHeight="1">
      <c r="A101" s="8">
        <v>83</v>
      </c>
      <c r="B101" s="9" t="s">
        <v>74</v>
      </c>
      <c r="C101" s="9"/>
      <c r="D101" s="10"/>
      <c r="E101" s="1">
        <v>4000</v>
      </c>
      <c r="F101" s="11"/>
    </row>
    <row r="102" spans="1:7" ht="24" customHeight="1">
      <c r="A102" s="8">
        <v>84</v>
      </c>
      <c r="B102" s="9" t="s">
        <v>77</v>
      </c>
      <c r="C102" s="9"/>
      <c r="D102" s="10"/>
      <c r="E102" s="1">
        <v>600</v>
      </c>
      <c r="F102" s="11"/>
    </row>
    <row r="103" spans="1:7" ht="24" customHeight="1">
      <c r="A103" s="8">
        <v>85</v>
      </c>
      <c r="B103" s="9" t="s">
        <v>74</v>
      </c>
      <c r="C103" s="9"/>
      <c r="D103" s="10"/>
      <c r="E103" s="1">
        <v>35600</v>
      </c>
      <c r="F103" s="11"/>
    </row>
    <row r="104" spans="1:7" ht="24" customHeight="1">
      <c r="A104" s="8">
        <v>86</v>
      </c>
      <c r="B104" s="9" t="s">
        <v>74</v>
      </c>
      <c r="C104" s="9"/>
      <c r="D104" s="10"/>
      <c r="E104" s="1">
        <v>33400</v>
      </c>
      <c r="F104" s="11"/>
    </row>
    <row r="105" spans="1:7" ht="24" customHeight="1">
      <c r="A105" s="8">
        <v>87</v>
      </c>
      <c r="B105" s="9" t="s">
        <v>29</v>
      </c>
      <c r="C105" s="9"/>
      <c r="D105" s="10"/>
      <c r="E105" s="1">
        <v>30400</v>
      </c>
      <c r="F105" s="11"/>
    </row>
    <row r="106" spans="1:7" ht="24" customHeight="1">
      <c r="A106" s="8">
        <v>88</v>
      </c>
      <c r="B106" s="9" t="s">
        <v>78</v>
      </c>
      <c r="C106" s="9"/>
      <c r="D106" s="10"/>
      <c r="E106" s="1">
        <v>55020</v>
      </c>
      <c r="F106" s="11"/>
    </row>
    <row r="107" spans="1:7" ht="24" customHeight="1">
      <c r="A107" s="8">
        <v>89</v>
      </c>
      <c r="B107" s="9" t="s">
        <v>79</v>
      </c>
      <c r="C107" s="9"/>
      <c r="D107" s="10"/>
      <c r="E107" s="1">
        <v>108208</v>
      </c>
      <c r="F107" s="11"/>
    </row>
    <row r="108" spans="1:7" ht="24" customHeight="1">
      <c r="A108" s="8">
        <v>90</v>
      </c>
      <c r="B108" s="9" t="s">
        <v>80</v>
      </c>
      <c r="C108" s="9"/>
      <c r="D108" s="10"/>
      <c r="E108" s="1">
        <v>3300</v>
      </c>
      <c r="F108" s="11"/>
    </row>
    <row r="109" spans="1:7" ht="24" customHeight="1">
      <c r="A109" s="8">
        <v>91</v>
      </c>
      <c r="B109" s="9" t="s">
        <v>81</v>
      </c>
      <c r="C109" s="9"/>
      <c r="D109" s="10"/>
      <c r="E109" s="1">
        <v>39000</v>
      </c>
      <c r="F109" s="11"/>
    </row>
    <row r="110" spans="1:7" ht="24" customHeight="1">
      <c r="A110" s="8">
        <v>92</v>
      </c>
      <c r="B110" s="9" t="s">
        <v>82</v>
      </c>
      <c r="C110" s="9"/>
      <c r="D110" s="10"/>
      <c r="E110" s="1">
        <v>277640</v>
      </c>
      <c r="F110" s="11"/>
    </row>
    <row r="111" spans="1:7" ht="24" customHeight="1">
      <c r="A111" s="8">
        <v>93</v>
      </c>
      <c r="B111" s="9" t="s">
        <v>83</v>
      </c>
      <c r="C111" s="9"/>
      <c r="D111" s="10"/>
      <c r="E111" s="1">
        <v>22000</v>
      </c>
      <c r="F111" s="11"/>
    </row>
    <row r="112" spans="1:7" ht="24" customHeight="1">
      <c r="A112" s="8">
        <v>94</v>
      </c>
      <c r="B112" s="9" t="s">
        <v>84</v>
      </c>
      <c r="C112" s="9"/>
      <c r="D112" s="10"/>
      <c r="E112" s="1">
        <v>40920</v>
      </c>
      <c r="F112" s="11"/>
      <c r="G112" s="2">
        <v>937188</v>
      </c>
    </row>
    <row r="113" spans="1:7" ht="24" customHeight="1">
      <c r="A113" s="8">
        <v>95</v>
      </c>
      <c r="B113" s="9" t="s">
        <v>90</v>
      </c>
      <c r="C113" s="9"/>
      <c r="D113" s="10"/>
      <c r="E113" s="1">
        <v>112880</v>
      </c>
      <c r="F113" s="11"/>
    </row>
    <row r="114" spans="1:7" ht="24" customHeight="1">
      <c r="A114" s="8">
        <v>96</v>
      </c>
      <c r="B114" s="9" t="s">
        <v>91</v>
      </c>
      <c r="C114" s="9"/>
      <c r="D114" s="10"/>
      <c r="E114" s="1">
        <v>642820</v>
      </c>
      <c r="F114" s="11"/>
    </row>
    <row r="115" spans="1:7" ht="24" customHeight="1">
      <c r="A115" s="8">
        <v>97</v>
      </c>
      <c r="B115" s="9" t="s">
        <v>92</v>
      </c>
      <c r="C115" s="9"/>
      <c r="D115" s="10"/>
      <c r="E115" s="1">
        <v>36400</v>
      </c>
      <c r="F115" s="11"/>
      <c r="G115" s="2">
        <v>792100</v>
      </c>
    </row>
    <row r="116" spans="1:7" ht="24" customHeight="1">
      <c r="A116" s="8">
        <v>98</v>
      </c>
      <c r="B116" s="9" t="s">
        <v>93</v>
      </c>
      <c r="C116" s="9"/>
      <c r="D116" s="10"/>
      <c r="E116" s="1">
        <v>231160</v>
      </c>
      <c r="F116" s="11"/>
    </row>
    <row r="117" spans="1:7" ht="24" customHeight="1">
      <c r="A117" s="8">
        <v>99</v>
      </c>
      <c r="B117" s="9" t="s">
        <v>14</v>
      </c>
      <c r="C117" s="9"/>
      <c r="D117" s="10"/>
      <c r="E117" s="1">
        <v>2100</v>
      </c>
      <c r="F117" s="11"/>
    </row>
    <row r="118" spans="1:7" ht="24" customHeight="1">
      <c r="A118" s="8">
        <v>100</v>
      </c>
      <c r="B118" s="9" t="s">
        <v>43</v>
      </c>
      <c r="C118" s="9"/>
      <c r="D118" s="10"/>
      <c r="E118" s="1">
        <v>28344</v>
      </c>
      <c r="F118" s="11"/>
    </row>
    <row r="119" spans="1:7" ht="24" customHeight="1" thickBot="1">
      <c r="A119" s="8">
        <v>101</v>
      </c>
      <c r="B119" s="9" t="s">
        <v>94</v>
      </c>
      <c r="C119" s="9"/>
      <c r="D119" s="10"/>
      <c r="E119" s="1">
        <v>25936</v>
      </c>
      <c r="F119" s="11"/>
    </row>
    <row r="120" spans="1:7" ht="24" customHeight="1" thickBot="1">
      <c r="A120" s="12"/>
      <c r="B120" s="60" t="s">
        <v>100</v>
      </c>
      <c r="C120" s="61"/>
      <c r="D120" s="62"/>
      <c r="E120" s="13">
        <f>SUM(E94:E119)</f>
        <v>10665488</v>
      </c>
      <c r="F120" s="12"/>
    </row>
    <row r="121" spans="1:7" ht="24" customHeight="1">
      <c r="A121" s="58" t="s">
        <v>102</v>
      </c>
      <c r="B121" s="58"/>
      <c r="C121" s="58"/>
      <c r="D121" s="58"/>
      <c r="E121" s="58"/>
      <c r="F121" s="58"/>
    </row>
    <row r="122" spans="1:7" ht="24" customHeight="1" thickBot="1">
      <c r="A122" s="59" t="s">
        <v>117</v>
      </c>
      <c r="B122" s="59"/>
      <c r="C122" s="59"/>
      <c r="D122" s="59"/>
      <c r="E122" s="59"/>
      <c r="F122" s="59"/>
    </row>
    <row r="123" spans="1:7" ht="24" customHeight="1" thickBot="1">
      <c r="A123" s="16" t="s">
        <v>2</v>
      </c>
      <c r="B123" s="60" t="s">
        <v>3</v>
      </c>
      <c r="C123" s="61"/>
      <c r="D123" s="62"/>
      <c r="E123" s="16" t="s">
        <v>0</v>
      </c>
      <c r="F123" s="16" t="s">
        <v>1</v>
      </c>
    </row>
    <row r="124" spans="1:7" ht="24" customHeight="1" thickBot="1">
      <c r="A124" s="16"/>
      <c r="B124" s="60" t="s">
        <v>30</v>
      </c>
      <c r="C124" s="61"/>
      <c r="D124" s="62"/>
      <c r="E124" s="13">
        <f>E120</f>
        <v>10665488</v>
      </c>
      <c r="F124" s="12"/>
    </row>
    <row r="125" spans="1:7" ht="24" customHeight="1">
      <c r="A125" s="8">
        <v>102</v>
      </c>
      <c r="B125" s="9" t="s">
        <v>95</v>
      </c>
      <c r="C125" s="9"/>
      <c r="D125" s="10"/>
      <c r="E125" s="1">
        <v>31920</v>
      </c>
      <c r="F125" s="11"/>
    </row>
    <row r="126" spans="1:7" ht="24" customHeight="1">
      <c r="A126" s="8">
        <v>103</v>
      </c>
      <c r="B126" s="9" t="s">
        <v>96</v>
      </c>
      <c r="C126" s="9"/>
      <c r="D126" s="10"/>
      <c r="E126" s="1">
        <v>19800</v>
      </c>
      <c r="F126" s="11"/>
    </row>
    <row r="127" spans="1:7" ht="24" customHeight="1">
      <c r="A127" s="8">
        <v>104</v>
      </c>
      <c r="B127" s="9" t="s">
        <v>97</v>
      </c>
      <c r="C127" s="9"/>
      <c r="D127" s="10"/>
      <c r="E127" s="1">
        <v>44268</v>
      </c>
      <c r="F127" s="11"/>
    </row>
    <row r="128" spans="1:7" ht="24" customHeight="1">
      <c r="A128" s="8">
        <v>105</v>
      </c>
      <c r="B128" s="9" t="s">
        <v>98</v>
      </c>
      <c r="C128" s="9"/>
      <c r="D128" s="10"/>
      <c r="E128" s="1">
        <v>277920</v>
      </c>
      <c r="F128" s="11"/>
    </row>
    <row r="129" spans="1:13" ht="24" customHeight="1">
      <c r="A129" s="8">
        <v>106</v>
      </c>
      <c r="B129" s="9" t="s">
        <v>99</v>
      </c>
      <c r="C129" s="9"/>
      <c r="D129" s="10"/>
      <c r="E129" s="1">
        <v>31528</v>
      </c>
      <c r="F129" s="11"/>
      <c r="G129" s="14">
        <v>692976</v>
      </c>
    </row>
    <row r="130" spans="1:13" ht="24" customHeight="1">
      <c r="A130" s="8">
        <v>107</v>
      </c>
      <c r="B130" s="9" t="s">
        <v>99</v>
      </c>
      <c r="C130" s="9"/>
      <c r="D130" s="10"/>
      <c r="E130" s="1">
        <v>13200</v>
      </c>
      <c r="F130" s="11"/>
    </row>
    <row r="131" spans="1:13" ht="24" customHeight="1">
      <c r="A131" s="8">
        <v>108</v>
      </c>
      <c r="B131" s="9" t="s">
        <v>103</v>
      </c>
      <c r="C131" s="9"/>
      <c r="D131" s="10"/>
      <c r="E131" s="1">
        <v>186500</v>
      </c>
      <c r="F131" s="11"/>
    </row>
    <row r="132" spans="1:13" ht="24" customHeight="1">
      <c r="A132" s="8">
        <v>109</v>
      </c>
      <c r="B132" s="9" t="s">
        <v>104</v>
      </c>
      <c r="C132" s="9"/>
      <c r="D132" s="10"/>
      <c r="E132" s="1">
        <v>37840</v>
      </c>
      <c r="F132" s="11"/>
    </row>
    <row r="133" spans="1:13" ht="24" customHeight="1">
      <c r="A133" s="8">
        <v>110</v>
      </c>
      <c r="B133" s="9" t="s">
        <v>104</v>
      </c>
      <c r="C133" s="9"/>
      <c r="D133" s="10"/>
      <c r="E133" s="1">
        <v>171120</v>
      </c>
      <c r="F133" s="11"/>
      <c r="G133" s="2">
        <v>405406</v>
      </c>
    </row>
    <row r="134" spans="1:13" ht="24" customHeight="1">
      <c r="A134" s="8">
        <v>111</v>
      </c>
      <c r="B134" s="9" t="s">
        <v>105</v>
      </c>
      <c r="C134" s="9"/>
      <c r="D134" s="10"/>
      <c r="E134" s="1">
        <v>41040</v>
      </c>
      <c r="F134" s="11"/>
    </row>
    <row r="135" spans="1:13" ht="24" customHeight="1">
      <c r="A135" s="8">
        <v>112</v>
      </c>
      <c r="B135" s="9" t="s">
        <v>106</v>
      </c>
      <c r="C135" s="9"/>
      <c r="D135" s="10"/>
      <c r="E135" s="15">
        <v>147520</v>
      </c>
      <c r="F135" s="11"/>
    </row>
    <row r="136" spans="1:13" ht="24" customHeight="1">
      <c r="A136" s="8">
        <v>113</v>
      </c>
      <c r="B136" s="9" t="s">
        <v>107</v>
      </c>
      <c r="C136" s="9"/>
      <c r="D136" s="10"/>
      <c r="E136" s="1">
        <v>508140</v>
      </c>
      <c r="F136" s="11"/>
      <c r="G136" s="2">
        <v>696700</v>
      </c>
    </row>
    <row r="137" spans="1:13" ht="24" customHeight="1">
      <c r="A137" s="8">
        <v>114</v>
      </c>
      <c r="B137" s="9" t="s">
        <v>108</v>
      </c>
      <c r="C137" s="9"/>
      <c r="D137" s="10"/>
      <c r="E137" s="1">
        <v>155100</v>
      </c>
      <c r="F137" s="11"/>
    </row>
    <row r="138" spans="1:13" ht="24" customHeight="1">
      <c r="A138" s="8">
        <v>115</v>
      </c>
      <c r="B138" s="9" t="s">
        <v>83</v>
      </c>
      <c r="C138" s="9"/>
      <c r="D138" s="10"/>
      <c r="E138" s="1">
        <v>218000</v>
      </c>
      <c r="F138" s="11"/>
      <c r="K138" s="2">
        <f>13183154-13073100</f>
        <v>110054</v>
      </c>
    </row>
    <row r="139" spans="1:13" ht="24" customHeight="1">
      <c r="A139" s="8">
        <v>116</v>
      </c>
      <c r="B139" s="9" t="s">
        <v>109</v>
      </c>
      <c r="C139" s="9"/>
      <c r="D139" s="10"/>
      <c r="E139" s="1">
        <v>840</v>
      </c>
      <c r="F139" s="11"/>
    </row>
    <row r="140" spans="1:13" ht="24" customHeight="1">
      <c r="A140" s="8">
        <v>117</v>
      </c>
      <c r="B140" s="9" t="s">
        <v>64</v>
      </c>
      <c r="C140" s="9"/>
      <c r="D140" s="10"/>
      <c r="E140" s="1">
        <v>344760</v>
      </c>
      <c r="F140" s="11"/>
    </row>
    <row r="141" spans="1:13" ht="24" customHeight="1">
      <c r="A141" s="8">
        <v>118</v>
      </c>
      <c r="B141" s="9" t="s">
        <v>110</v>
      </c>
      <c r="C141" s="9"/>
      <c r="D141" s="10"/>
      <c r="E141" s="1">
        <v>111710</v>
      </c>
      <c r="F141" s="11"/>
    </row>
    <row r="142" spans="1:13" ht="24" customHeight="1">
      <c r="A142" s="8">
        <v>119</v>
      </c>
      <c r="B142" s="9" t="s">
        <v>111</v>
      </c>
      <c r="C142" s="9"/>
      <c r="D142" s="10"/>
      <c r="E142" s="1">
        <v>9300</v>
      </c>
      <c r="F142" s="11"/>
    </row>
    <row r="143" spans="1:13" ht="24" customHeight="1">
      <c r="A143" s="8">
        <v>120</v>
      </c>
      <c r="B143" s="9" t="s">
        <v>112</v>
      </c>
      <c r="C143" s="9"/>
      <c r="D143" s="10"/>
      <c r="E143" s="1">
        <v>37800</v>
      </c>
      <c r="F143" s="11"/>
      <c r="K143" s="14"/>
      <c r="M143" s="14">
        <f>E133+E67</f>
        <v>179760</v>
      </c>
    </row>
    <row r="144" spans="1:13" ht="24" customHeight="1">
      <c r="A144" s="8">
        <v>121</v>
      </c>
      <c r="B144" s="9" t="s">
        <v>113</v>
      </c>
      <c r="C144" s="9"/>
      <c r="D144" s="10"/>
      <c r="E144" s="1">
        <v>22560</v>
      </c>
      <c r="F144" s="11"/>
      <c r="G144" s="2">
        <v>900070</v>
      </c>
      <c r="M144" s="2">
        <f>171120+800+114640</f>
        <v>286560</v>
      </c>
    </row>
    <row r="145" spans="1:13" ht="24" customHeight="1">
      <c r="A145" s="8">
        <v>122</v>
      </c>
      <c r="B145" s="9" t="s">
        <v>114</v>
      </c>
      <c r="C145" s="9"/>
      <c r="D145" s="10"/>
      <c r="E145" s="1">
        <v>800</v>
      </c>
      <c r="F145" s="11"/>
      <c r="K145" s="14"/>
      <c r="M145" s="14">
        <f>M144-M143</f>
        <v>106800</v>
      </c>
    </row>
    <row r="146" spans="1:13" ht="24" customHeight="1" thickBot="1">
      <c r="A146" s="8">
        <v>123</v>
      </c>
      <c r="B146" s="9" t="s">
        <v>115</v>
      </c>
      <c r="C146" s="9"/>
      <c r="D146" s="10"/>
      <c r="E146" s="1">
        <v>114640</v>
      </c>
      <c r="F146" s="11"/>
    </row>
    <row r="147" spans="1:13" ht="24" customHeight="1" thickBot="1">
      <c r="A147" s="12"/>
      <c r="B147" s="60" t="s">
        <v>4</v>
      </c>
      <c r="C147" s="61"/>
      <c r="D147" s="62"/>
      <c r="E147" s="18">
        <f>SUM(E124:E146)</f>
        <v>13191794</v>
      </c>
      <c r="F147" s="12"/>
    </row>
    <row r="149" spans="1:13" ht="24" customHeight="1">
      <c r="K149" s="2">
        <f>13183154+8640-13076354</f>
        <v>115440</v>
      </c>
    </row>
    <row r="150" spans="1:13" ht="24" customHeight="1">
      <c r="D150" s="63" t="s">
        <v>116</v>
      </c>
      <c r="E150" s="63"/>
      <c r="F150" s="63"/>
      <c r="K150" s="2">
        <f>800+114640</f>
        <v>115440</v>
      </c>
    </row>
  </sheetData>
  <mergeCells count="25">
    <mergeCell ref="B60:D60"/>
    <mergeCell ref="B3:D3"/>
    <mergeCell ref="B30:D30"/>
    <mergeCell ref="A61:F61"/>
    <mergeCell ref="A62:F62"/>
    <mergeCell ref="B34:D34"/>
    <mergeCell ref="A1:F1"/>
    <mergeCell ref="A2:F2"/>
    <mergeCell ref="A31:F31"/>
    <mergeCell ref="A32:F32"/>
    <mergeCell ref="B33:D33"/>
    <mergeCell ref="B63:D63"/>
    <mergeCell ref="A91:F91"/>
    <mergeCell ref="A92:F92"/>
    <mergeCell ref="B93:D93"/>
    <mergeCell ref="B120:D120"/>
    <mergeCell ref="B90:D90"/>
    <mergeCell ref="B64:D64"/>
    <mergeCell ref="B94:D94"/>
    <mergeCell ref="D150:F150"/>
    <mergeCell ref="A121:F121"/>
    <mergeCell ref="A122:F122"/>
    <mergeCell ref="B123:D123"/>
    <mergeCell ref="B147:D147"/>
    <mergeCell ref="B124:D124"/>
  </mergeCells>
  <pageMargins left="0.82677165354330717" right="0.23622047244094491" top="0.74803149606299213" bottom="0.74803149606299213" header="0.31496062992125984" footer="0.31496062992125984"/>
  <pageSetup paperSize="9"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2"/>
  <sheetViews>
    <sheetView workbookViewId="0">
      <selection activeCell="D41" sqref="D41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7" ht="24" customHeight="1">
      <c r="A1" s="58" t="s">
        <v>118</v>
      </c>
      <c r="B1" s="58"/>
      <c r="C1" s="58"/>
      <c r="D1" s="58"/>
      <c r="E1" s="58"/>
      <c r="F1" s="58"/>
    </row>
    <row r="2" spans="1:7" ht="24" customHeight="1" thickBot="1">
      <c r="A2" s="59" t="s">
        <v>117</v>
      </c>
      <c r="B2" s="59"/>
      <c r="C2" s="59"/>
      <c r="D2" s="59"/>
      <c r="E2" s="59"/>
      <c r="F2" s="59"/>
    </row>
    <row r="3" spans="1:7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7" ht="24" customHeight="1">
      <c r="A4" s="3">
        <v>1</v>
      </c>
      <c r="B4" s="4" t="s">
        <v>121</v>
      </c>
      <c r="C4" s="4"/>
      <c r="D4" s="5"/>
      <c r="E4" s="6">
        <v>11100</v>
      </c>
      <c r="F4" s="7"/>
    </row>
    <row r="5" spans="1:7" ht="24" customHeight="1">
      <c r="A5" s="8">
        <v>2</v>
      </c>
      <c r="B5" s="9" t="s">
        <v>122</v>
      </c>
      <c r="C5" s="9"/>
      <c r="D5" s="10"/>
      <c r="E5" s="1">
        <v>600</v>
      </c>
      <c r="F5" s="11"/>
    </row>
    <row r="6" spans="1:7" ht="24" customHeight="1">
      <c r="A6" s="8">
        <v>3</v>
      </c>
      <c r="B6" s="9" t="s">
        <v>123</v>
      </c>
      <c r="C6" s="9"/>
      <c r="D6" s="10"/>
      <c r="E6" s="1">
        <v>15400</v>
      </c>
      <c r="F6" s="11"/>
    </row>
    <row r="7" spans="1:7" ht="24" customHeight="1">
      <c r="A7" s="8">
        <v>4</v>
      </c>
      <c r="B7" s="9" t="s">
        <v>124</v>
      </c>
      <c r="C7" s="9"/>
      <c r="D7" s="10"/>
      <c r="E7" s="1">
        <v>1590</v>
      </c>
      <c r="F7" s="11"/>
    </row>
    <row r="8" spans="1:7" ht="24" customHeight="1">
      <c r="A8" s="8">
        <v>5</v>
      </c>
      <c r="B8" s="9" t="s">
        <v>124</v>
      </c>
      <c r="C8" s="9"/>
      <c r="D8" s="10"/>
      <c r="E8" s="1">
        <v>2400</v>
      </c>
      <c r="F8" s="11"/>
    </row>
    <row r="9" spans="1:7" ht="24" customHeight="1">
      <c r="A9" s="8">
        <v>6</v>
      </c>
      <c r="B9" s="9" t="s">
        <v>125</v>
      </c>
      <c r="C9" s="9"/>
      <c r="D9" s="10"/>
      <c r="E9" s="1">
        <v>30200</v>
      </c>
      <c r="F9" s="11"/>
    </row>
    <row r="10" spans="1:7" ht="24" customHeight="1">
      <c r="A10" s="8">
        <v>7</v>
      </c>
      <c r="B10" s="9" t="s">
        <v>126</v>
      </c>
      <c r="C10" s="9"/>
      <c r="D10" s="10"/>
      <c r="E10" s="1">
        <v>18600</v>
      </c>
      <c r="F10" s="11"/>
    </row>
    <row r="11" spans="1:7" ht="24" customHeight="1">
      <c r="A11" s="8">
        <v>8</v>
      </c>
      <c r="B11" s="9" t="s">
        <v>127</v>
      </c>
      <c r="C11" s="9"/>
      <c r="D11" s="10"/>
      <c r="E11" s="1">
        <v>17400</v>
      </c>
      <c r="F11" s="11"/>
    </row>
    <row r="12" spans="1:7" ht="24" customHeight="1">
      <c r="A12" s="8">
        <v>9</v>
      </c>
      <c r="B12" s="9" t="s">
        <v>128</v>
      </c>
      <c r="C12" s="9"/>
      <c r="D12" s="10"/>
      <c r="E12" s="1">
        <v>55600</v>
      </c>
      <c r="F12" s="11"/>
      <c r="G12" s="2">
        <v>152890</v>
      </c>
    </row>
    <row r="13" spans="1:7" ht="24" customHeight="1">
      <c r="A13" s="8">
        <v>10</v>
      </c>
      <c r="B13" s="9" t="s">
        <v>73</v>
      </c>
      <c r="C13" s="9"/>
      <c r="D13" s="10"/>
      <c r="E13" s="1">
        <v>395</v>
      </c>
      <c r="F13" s="11"/>
    </row>
    <row r="14" spans="1:7" ht="24" customHeight="1">
      <c r="A14" s="8">
        <v>11</v>
      </c>
      <c r="B14" s="9" t="s">
        <v>129</v>
      </c>
      <c r="C14" s="9"/>
      <c r="D14" s="10"/>
      <c r="E14" s="1">
        <v>97200</v>
      </c>
      <c r="F14" s="11"/>
    </row>
    <row r="15" spans="1:7" ht="24" customHeight="1">
      <c r="A15" s="8">
        <v>12</v>
      </c>
      <c r="B15" s="9" t="s">
        <v>130</v>
      </c>
      <c r="C15" s="9"/>
      <c r="D15" s="10"/>
      <c r="E15" s="1">
        <v>39600</v>
      </c>
      <c r="F15" s="11"/>
    </row>
    <row r="16" spans="1:7" ht="24" customHeight="1">
      <c r="A16" s="8">
        <v>13</v>
      </c>
      <c r="B16" s="9" t="s">
        <v>131</v>
      </c>
      <c r="C16" s="9"/>
      <c r="D16" s="10"/>
      <c r="E16" s="1">
        <v>35040</v>
      </c>
      <c r="F16" s="11"/>
    </row>
    <row r="17" spans="1:7" ht="24" customHeight="1">
      <c r="A17" s="8">
        <v>14</v>
      </c>
      <c r="B17" s="9" t="s">
        <v>131</v>
      </c>
      <c r="C17" s="9"/>
      <c r="D17" s="10"/>
      <c r="E17" s="1">
        <v>22770</v>
      </c>
      <c r="F17" s="11"/>
    </row>
    <row r="18" spans="1:7" ht="24" customHeight="1">
      <c r="A18" s="8">
        <v>15</v>
      </c>
      <c r="B18" s="9" t="s">
        <v>132</v>
      </c>
      <c r="C18" s="9"/>
      <c r="D18" s="10"/>
      <c r="E18" s="1">
        <v>107520</v>
      </c>
      <c r="F18" s="11"/>
    </row>
    <row r="19" spans="1:7" ht="24" customHeight="1">
      <c r="A19" s="8">
        <v>16</v>
      </c>
      <c r="B19" s="9" t="s">
        <v>133</v>
      </c>
      <c r="C19" s="9"/>
      <c r="D19" s="10"/>
      <c r="E19" s="1">
        <v>40400</v>
      </c>
      <c r="F19" s="11"/>
    </row>
    <row r="20" spans="1:7" ht="24" customHeight="1">
      <c r="A20" s="8">
        <v>17</v>
      </c>
      <c r="B20" s="9" t="s">
        <v>134</v>
      </c>
      <c r="C20" s="9"/>
      <c r="D20" s="10"/>
      <c r="E20" s="1">
        <v>256785</v>
      </c>
      <c r="F20" s="11"/>
    </row>
    <row r="21" spans="1:7" ht="24" customHeight="1">
      <c r="A21" s="8">
        <v>18</v>
      </c>
      <c r="B21" s="9" t="s">
        <v>135</v>
      </c>
      <c r="C21" s="9"/>
      <c r="D21" s="10"/>
      <c r="E21" s="1">
        <v>16992</v>
      </c>
      <c r="F21" s="11"/>
    </row>
    <row r="22" spans="1:7" ht="24" customHeight="1">
      <c r="A22" s="8">
        <v>19</v>
      </c>
      <c r="B22" s="9" t="s">
        <v>136</v>
      </c>
      <c r="C22" s="9"/>
      <c r="D22" s="10"/>
      <c r="E22" s="1">
        <v>234160</v>
      </c>
      <c r="F22" s="11"/>
      <c r="G22" s="2">
        <v>850862</v>
      </c>
    </row>
    <row r="23" spans="1:7" ht="24" customHeight="1">
      <c r="A23" s="8">
        <v>20</v>
      </c>
      <c r="B23" s="9" t="s">
        <v>137</v>
      </c>
      <c r="C23" s="9"/>
      <c r="D23" s="10"/>
      <c r="E23" s="1">
        <v>488150</v>
      </c>
      <c r="F23" s="11"/>
      <c r="G23" s="2">
        <v>488150</v>
      </c>
    </row>
    <row r="24" spans="1:7" ht="24" customHeight="1">
      <c r="A24" s="8">
        <v>21</v>
      </c>
      <c r="B24" s="9" t="s">
        <v>138</v>
      </c>
      <c r="C24" s="9"/>
      <c r="D24" s="10"/>
      <c r="E24" s="1">
        <v>276780</v>
      </c>
      <c r="F24" s="11"/>
    </row>
    <row r="25" spans="1:7" ht="24" customHeight="1">
      <c r="A25" s="8">
        <v>22</v>
      </c>
      <c r="B25" s="9" t="s">
        <v>139</v>
      </c>
      <c r="C25" s="9"/>
      <c r="D25" s="10"/>
      <c r="E25" s="1">
        <v>42600</v>
      </c>
      <c r="F25" s="11"/>
    </row>
    <row r="26" spans="1:7" ht="24" customHeight="1">
      <c r="A26" s="8">
        <v>23</v>
      </c>
      <c r="B26" s="9" t="s">
        <v>127</v>
      </c>
      <c r="C26" s="9"/>
      <c r="D26" s="10"/>
      <c r="E26" s="1">
        <v>30175</v>
      </c>
      <c r="F26" s="11"/>
    </row>
    <row r="27" spans="1:7" ht="24" customHeight="1">
      <c r="A27" s="8">
        <v>24</v>
      </c>
      <c r="B27" s="9" t="s">
        <v>73</v>
      </c>
      <c r="C27" s="9"/>
      <c r="D27" s="10"/>
      <c r="E27" s="1">
        <v>987.5</v>
      </c>
      <c r="F27" s="11"/>
    </row>
    <row r="28" spans="1:7" ht="24" customHeight="1">
      <c r="A28" s="8">
        <v>25</v>
      </c>
      <c r="B28" s="9" t="s">
        <v>140</v>
      </c>
      <c r="C28" s="9"/>
      <c r="D28" s="10"/>
      <c r="E28" s="1">
        <v>1500</v>
      </c>
      <c r="F28" s="11"/>
    </row>
    <row r="29" spans="1:7" ht="24" customHeight="1">
      <c r="A29" s="8">
        <v>26</v>
      </c>
      <c r="B29" s="9" t="s">
        <v>141</v>
      </c>
      <c r="C29" s="9"/>
      <c r="D29" s="10"/>
      <c r="E29" s="1">
        <v>11250</v>
      </c>
      <c r="F29" s="11"/>
    </row>
    <row r="30" spans="1:7" ht="24" customHeight="1" thickBot="1">
      <c r="A30" s="8">
        <v>27</v>
      </c>
      <c r="B30" s="9" t="s">
        <v>141</v>
      </c>
      <c r="C30" s="9"/>
      <c r="D30" s="10"/>
      <c r="E30" s="1">
        <v>42100</v>
      </c>
      <c r="F30" s="11"/>
    </row>
    <row r="31" spans="1:7" ht="24" customHeight="1" thickBot="1">
      <c r="A31" s="12"/>
      <c r="B31" s="60" t="s">
        <v>100</v>
      </c>
      <c r="C31" s="61"/>
      <c r="D31" s="62"/>
      <c r="E31" s="13">
        <f>SUM(E4:E30)</f>
        <v>1897294.5</v>
      </c>
      <c r="F31" s="12"/>
    </row>
    <row r="32" spans="1:7" ht="24" customHeight="1">
      <c r="A32" s="58" t="s">
        <v>119</v>
      </c>
      <c r="B32" s="58"/>
      <c r="C32" s="58"/>
      <c r="D32" s="58"/>
      <c r="E32" s="58"/>
      <c r="F32" s="58"/>
    </row>
    <row r="33" spans="1:7" ht="24" customHeight="1" thickBot="1">
      <c r="A33" s="59" t="s">
        <v>117</v>
      </c>
      <c r="B33" s="59"/>
      <c r="C33" s="59"/>
      <c r="D33" s="59"/>
      <c r="E33" s="59"/>
      <c r="F33" s="59"/>
    </row>
    <row r="34" spans="1:7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7" ht="24" customHeight="1" thickBot="1">
      <c r="A35" s="16"/>
      <c r="B35" s="60" t="s">
        <v>30</v>
      </c>
      <c r="C35" s="61"/>
      <c r="D35" s="62"/>
      <c r="E35" s="13">
        <f>E31</f>
        <v>1897294.5</v>
      </c>
      <c r="F35" s="12"/>
    </row>
    <row r="36" spans="1:7" ht="24" customHeight="1">
      <c r="A36" s="8">
        <v>28</v>
      </c>
      <c r="B36" s="9" t="s">
        <v>88</v>
      </c>
      <c r="C36" s="9"/>
      <c r="D36" s="10"/>
      <c r="E36" s="1">
        <v>6000</v>
      </c>
      <c r="F36" s="11"/>
      <c r="G36" s="2">
        <v>411392.5</v>
      </c>
    </row>
    <row r="37" spans="1:7" ht="24" customHeight="1">
      <c r="A37" s="8">
        <v>29</v>
      </c>
      <c r="B37" s="9" t="s">
        <v>142</v>
      </c>
      <c r="C37" s="9"/>
      <c r="D37" s="10"/>
      <c r="E37" s="1">
        <v>170020</v>
      </c>
      <c r="F37" s="11"/>
    </row>
    <row r="38" spans="1:7" ht="24" customHeight="1">
      <c r="A38" s="8">
        <v>30</v>
      </c>
      <c r="B38" s="9" t="s">
        <v>7</v>
      </c>
      <c r="C38" s="9"/>
      <c r="D38" s="10"/>
      <c r="E38" s="1">
        <v>243120</v>
      </c>
      <c r="F38" s="11"/>
    </row>
    <row r="39" spans="1:7" ht="24" customHeight="1">
      <c r="A39" s="8">
        <v>31</v>
      </c>
      <c r="B39" s="9" t="s">
        <v>143</v>
      </c>
      <c r="C39" s="9"/>
      <c r="D39" s="10"/>
      <c r="E39" s="1">
        <v>100800</v>
      </c>
      <c r="F39" s="11"/>
    </row>
    <row r="40" spans="1:7" ht="24" customHeight="1">
      <c r="A40" s="8">
        <v>32</v>
      </c>
      <c r="B40" s="9" t="s">
        <v>144</v>
      </c>
      <c r="C40" s="9"/>
      <c r="D40" s="10"/>
      <c r="E40" s="1">
        <v>119760</v>
      </c>
      <c r="F40" s="11"/>
    </row>
    <row r="41" spans="1:7" ht="24" customHeight="1">
      <c r="A41" s="8">
        <v>33</v>
      </c>
      <c r="B41" s="9" t="s">
        <v>46</v>
      </c>
      <c r="C41" s="9"/>
      <c r="D41" s="10"/>
      <c r="E41" s="1">
        <f>170700+6600</f>
        <v>177300</v>
      </c>
      <c r="F41" s="11"/>
      <c r="G41" s="2">
        <v>811000</v>
      </c>
    </row>
    <row r="42" spans="1:7" ht="24" customHeight="1">
      <c r="A42" s="8">
        <v>34</v>
      </c>
      <c r="B42" s="9" t="s">
        <v>145</v>
      </c>
      <c r="C42" s="9"/>
      <c r="D42" s="10"/>
      <c r="E42" s="1">
        <v>408260</v>
      </c>
      <c r="F42" s="11"/>
      <c r="G42" s="2">
        <v>408260</v>
      </c>
    </row>
    <row r="43" spans="1:7" ht="24" customHeight="1">
      <c r="A43" s="8">
        <v>35</v>
      </c>
      <c r="B43" s="9" t="s">
        <v>147</v>
      </c>
      <c r="C43" s="9"/>
      <c r="D43" s="10"/>
      <c r="E43" s="1">
        <v>88880</v>
      </c>
      <c r="F43" s="11"/>
    </row>
    <row r="44" spans="1:7" ht="24" customHeight="1">
      <c r="A44" s="8">
        <v>36</v>
      </c>
      <c r="B44" s="9" t="s">
        <v>146</v>
      </c>
      <c r="C44" s="9"/>
      <c r="D44" s="10"/>
      <c r="E44" s="1">
        <v>1920</v>
      </c>
      <c r="F44" s="11"/>
    </row>
    <row r="45" spans="1:7" ht="24" customHeight="1">
      <c r="A45" s="8">
        <v>37</v>
      </c>
      <c r="B45" s="9" t="s">
        <v>146</v>
      </c>
      <c r="C45" s="9"/>
      <c r="D45" s="10"/>
      <c r="E45" s="1">
        <v>108000</v>
      </c>
      <c r="F45" s="11"/>
    </row>
    <row r="46" spans="1:7" ht="24" customHeight="1">
      <c r="A46" s="8">
        <v>38</v>
      </c>
      <c r="B46" s="9" t="s">
        <v>147</v>
      </c>
      <c r="C46" s="9"/>
      <c r="D46" s="10"/>
      <c r="E46" s="1">
        <v>18680</v>
      </c>
      <c r="F46" s="11"/>
    </row>
    <row r="47" spans="1:7" ht="24" customHeight="1">
      <c r="A47" s="8">
        <v>39</v>
      </c>
      <c r="B47" s="9" t="s">
        <v>148</v>
      </c>
      <c r="C47" s="9"/>
      <c r="D47" s="10"/>
      <c r="E47" s="1">
        <v>114840</v>
      </c>
      <c r="F47" s="11"/>
    </row>
    <row r="48" spans="1:7" ht="24" customHeight="1">
      <c r="A48" s="8">
        <v>40</v>
      </c>
      <c r="B48" s="9" t="s">
        <v>73</v>
      </c>
      <c r="C48" s="9"/>
      <c r="D48" s="10"/>
      <c r="E48" s="1">
        <v>14777.5</v>
      </c>
      <c r="F48" s="11"/>
    </row>
    <row r="49" spans="1:6" ht="24" customHeight="1">
      <c r="A49" s="8">
        <v>41</v>
      </c>
      <c r="B49" s="9" t="s">
        <v>136</v>
      </c>
      <c r="C49" s="9"/>
      <c r="D49" s="10"/>
      <c r="E49" s="1">
        <v>145640</v>
      </c>
      <c r="F49" s="11"/>
    </row>
    <row r="50" spans="1:6" ht="24" customHeight="1">
      <c r="A50" s="8">
        <v>42</v>
      </c>
      <c r="B50" s="9" t="s">
        <v>149</v>
      </c>
      <c r="C50" s="9"/>
      <c r="D50" s="10"/>
      <c r="E50" s="1">
        <v>1152</v>
      </c>
      <c r="F50" s="11"/>
    </row>
    <row r="51" spans="1:6" ht="24" customHeight="1">
      <c r="A51" s="8">
        <v>43</v>
      </c>
      <c r="B51" s="9" t="s">
        <v>150</v>
      </c>
      <c r="C51" s="9"/>
      <c r="D51" s="10"/>
      <c r="E51" s="1">
        <v>61600</v>
      </c>
      <c r="F51" s="11"/>
    </row>
    <row r="52" spans="1:6" ht="24" customHeight="1">
      <c r="A52" s="8">
        <v>44</v>
      </c>
      <c r="B52" s="9" t="s">
        <v>151</v>
      </c>
      <c r="C52" s="9"/>
      <c r="D52" s="10"/>
      <c r="E52" s="1">
        <v>47880</v>
      </c>
      <c r="F52" s="11"/>
    </row>
    <row r="53" spans="1:6" ht="24" customHeight="1">
      <c r="A53" s="8">
        <v>45</v>
      </c>
      <c r="B53" s="9" t="s">
        <v>88</v>
      </c>
      <c r="C53" s="9"/>
      <c r="D53" s="10"/>
      <c r="E53" s="1">
        <v>17600</v>
      </c>
      <c r="F53" s="11"/>
    </row>
    <row r="54" spans="1:6" ht="24" customHeight="1">
      <c r="A54" s="8">
        <v>46</v>
      </c>
      <c r="B54" s="9" t="s">
        <v>88</v>
      </c>
      <c r="C54" s="9"/>
      <c r="D54" s="10"/>
      <c r="E54" s="1">
        <v>3200</v>
      </c>
      <c r="F54" s="11"/>
    </row>
    <row r="55" spans="1:6" ht="24" customHeight="1">
      <c r="A55" s="8">
        <v>47</v>
      </c>
      <c r="B55" s="9" t="s">
        <v>152</v>
      </c>
      <c r="C55" s="9"/>
      <c r="D55" s="10"/>
      <c r="E55" s="1">
        <v>45360</v>
      </c>
      <c r="F55" s="11"/>
    </row>
    <row r="56" spans="1:6" ht="24" customHeight="1">
      <c r="A56" s="8">
        <v>48</v>
      </c>
      <c r="B56" s="9" t="s">
        <v>146</v>
      </c>
      <c r="C56" s="9"/>
      <c r="D56" s="10"/>
      <c r="E56" s="1">
        <v>27900</v>
      </c>
      <c r="F56" s="11"/>
    </row>
    <row r="57" spans="1:6" ht="24" customHeight="1">
      <c r="A57" s="8">
        <v>49</v>
      </c>
      <c r="B57" s="9" t="s">
        <v>153</v>
      </c>
      <c r="C57" s="9"/>
      <c r="D57" s="10"/>
      <c r="E57" s="1">
        <v>222570</v>
      </c>
      <c r="F57" s="11"/>
    </row>
    <row r="58" spans="1:6" ht="24" customHeight="1" thickBot="1">
      <c r="A58" s="8">
        <v>50</v>
      </c>
      <c r="B58" s="9" t="s">
        <v>154</v>
      </c>
      <c r="C58" s="9"/>
      <c r="D58" s="10"/>
      <c r="E58" s="1">
        <v>23280</v>
      </c>
      <c r="F58" s="11"/>
    </row>
    <row r="59" spans="1:6" ht="24" customHeight="1" thickBot="1">
      <c r="A59" s="12"/>
      <c r="B59" s="64" t="s">
        <v>155</v>
      </c>
      <c r="C59" s="65"/>
      <c r="D59" s="66"/>
      <c r="E59" s="18">
        <f>SUM(E35:E58)</f>
        <v>4065834</v>
      </c>
      <c r="F59" s="12"/>
    </row>
    <row r="60" spans="1:6" ht="24" customHeight="1">
      <c r="A60" s="9"/>
      <c r="B60" s="19"/>
      <c r="C60" s="19"/>
      <c r="D60" s="19"/>
      <c r="E60" s="21"/>
      <c r="F60" s="9"/>
    </row>
    <row r="61" spans="1:6" ht="24" customHeight="1">
      <c r="A61" s="9"/>
      <c r="B61" s="19"/>
      <c r="C61" s="19"/>
      <c r="D61" s="63" t="s">
        <v>116</v>
      </c>
      <c r="E61" s="63"/>
      <c r="F61" s="63"/>
    </row>
    <row r="62" spans="1:6" ht="24" customHeight="1">
      <c r="A62" s="9"/>
      <c r="B62" s="19"/>
      <c r="C62" s="19"/>
      <c r="D62" s="20"/>
      <c r="E62" s="20"/>
      <c r="F62" s="20"/>
    </row>
    <row r="63" spans="1:6" ht="24" customHeight="1">
      <c r="A63" s="58" t="s">
        <v>119</v>
      </c>
      <c r="B63" s="58"/>
      <c r="C63" s="58"/>
      <c r="D63" s="58"/>
      <c r="E63" s="58"/>
      <c r="F63" s="58"/>
    </row>
    <row r="64" spans="1:6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17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E59</f>
        <v>4065834</v>
      </c>
      <c r="F66" s="12"/>
    </row>
    <row r="67" spans="1:7" ht="24" customHeight="1">
      <c r="A67" s="8"/>
      <c r="B67" s="9"/>
      <c r="C67" s="9"/>
      <c r="D67" s="10"/>
      <c r="E67" s="1"/>
      <c r="F67" s="11"/>
    </row>
    <row r="68" spans="1:7" ht="24" customHeight="1">
      <c r="A68" s="8"/>
      <c r="B68" s="9"/>
      <c r="C68" s="9"/>
      <c r="D68" s="10"/>
      <c r="E68" s="1"/>
      <c r="F68" s="11"/>
    </row>
    <row r="69" spans="1:7" ht="24" customHeight="1">
      <c r="A69" s="8"/>
      <c r="B69" s="9"/>
      <c r="C69" s="9"/>
      <c r="D69" s="10"/>
      <c r="E69" s="1"/>
      <c r="F69" s="11"/>
    </row>
    <row r="70" spans="1:7" ht="24" customHeight="1">
      <c r="A70" s="8"/>
      <c r="B70" s="9"/>
      <c r="C70" s="9"/>
      <c r="D70" s="10"/>
      <c r="E70" s="1"/>
      <c r="F70" s="11"/>
    </row>
    <row r="71" spans="1:7" ht="24" customHeight="1">
      <c r="A71" s="8"/>
      <c r="B71" s="9"/>
      <c r="C71" s="9"/>
      <c r="D71" s="10"/>
      <c r="E71" s="1"/>
      <c r="F71" s="11"/>
      <c r="G71" s="14"/>
    </row>
    <row r="72" spans="1:7" ht="24" customHeight="1">
      <c r="A72" s="8"/>
      <c r="B72" s="9"/>
      <c r="C72" s="9"/>
      <c r="D72" s="10"/>
      <c r="E72" s="1"/>
      <c r="F72" s="11"/>
    </row>
    <row r="73" spans="1:7" ht="24" customHeight="1">
      <c r="A73" s="8"/>
      <c r="B73" s="9"/>
      <c r="C73" s="9"/>
      <c r="D73" s="10"/>
      <c r="E73" s="1"/>
      <c r="F73" s="11"/>
    </row>
    <row r="74" spans="1:7" ht="24" customHeight="1">
      <c r="A74" s="8"/>
      <c r="B74" s="9"/>
      <c r="C74" s="9"/>
      <c r="D74" s="10"/>
      <c r="E74" s="1"/>
      <c r="F74" s="11"/>
    </row>
    <row r="75" spans="1:7" ht="24" customHeight="1">
      <c r="A75" s="8"/>
      <c r="B75" s="9"/>
      <c r="C75" s="9"/>
      <c r="D75" s="10"/>
      <c r="E75" s="1"/>
      <c r="F75" s="11"/>
    </row>
    <row r="76" spans="1:7" ht="24" customHeight="1">
      <c r="A76" s="8"/>
      <c r="B76" s="9"/>
      <c r="C76" s="9"/>
      <c r="D76" s="10"/>
      <c r="E76" s="1"/>
      <c r="F76" s="11"/>
    </row>
    <row r="77" spans="1:7" ht="24" customHeight="1">
      <c r="A77" s="8"/>
      <c r="B77" s="9"/>
      <c r="C77" s="9"/>
      <c r="D77" s="10"/>
      <c r="E77" s="1"/>
      <c r="F77" s="11"/>
    </row>
    <row r="78" spans="1:7" ht="24" customHeight="1">
      <c r="A78" s="8"/>
      <c r="B78" s="9"/>
      <c r="C78" s="9"/>
      <c r="D78" s="10"/>
      <c r="E78" s="1"/>
      <c r="F78" s="11"/>
    </row>
    <row r="79" spans="1:7" ht="24" customHeight="1">
      <c r="A79" s="8"/>
      <c r="B79" s="9"/>
      <c r="C79" s="9"/>
      <c r="D79" s="10"/>
      <c r="E79" s="1"/>
      <c r="F79" s="11"/>
    </row>
    <row r="80" spans="1:7" ht="24" customHeight="1">
      <c r="A80" s="8"/>
      <c r="B80" s="9"/>
      <c r="C80" s="9"/>
      <c r="D80" s="10"/>
      <c r="E80" s="1"/>
      <c r="F80" s="11"/>
    </row>
    <row r="81" spans="1:6" ht="24" customHeight="1">
      <c r="A81" s="8"/>
      <c r="B81" s="9"/>
      <c r="C81" s="9"/>
      <c r="D81" s="10"/>
      <c r="E81" s="1"/>
      <c r="F81" s="11"/>
    </row>
    <row r="82" spans="1:6" ht="24" customHeight="1">
      <c r="A82" s="8"/>
      <c r="B82" s="9"/>
      <c r="C82" s="9"/>
      <c r="D82" s="10"/>
      <c r="E82" s="1"/>
      <c r="F82" s="11"/>
    </row>
    <row r="83" spans="1:6" ht="24" customHeight="1">
      <c r="A83" s="8"/>
      <c r="B83" s="9"/>
      <c r="C83" s="9"/>
      <c r="D83" s="10"/>
      <c r="E83" s="1"/>
      <c r="F83" s="11"/>
    </row>
    <row r="84" spans="1:6" ht="24" customHeight="1">
      <c r="A84" s="8"/>
      <c r="B84" s="9"/>
      <c r="C84" s="9"/>
      <c r="D84" s="10"/>
      <c r="E84" s="1"/>
      <c r="F84" s="11"/>
    </row>
    <row r="85" spans="1:6" ht="24" customHeight="1">
      <c r="A85" s="8"/>
      <c r="B85" s="9"/>
      <c r="C85" s="9"/>
      <c r="D85" s="10"/>
      <c r="E85" s="1"/>
      <c r="F85" s="11"/>
    </row>
    <row r="86" spans="1:6" ht="24" customHeight="1">
      <c r="A86" s="8"/>
      <c r="B86" s="9"/>
      <c r="C86" s="9"/>
      <c r="D86" s="10"/>
      <c r="E86" s="1"/>
      <c r="F86" s="11"/>
    </row>
    <row r="87" spans="1:6" ht="24" customHeight="1">
      <c r="A87" s="8"/>
      <c r="B87" s="9"/>
      <c r="C87" s="9"/>
      <c r="D87" s="10"/>
      <c r="E87" s="1"/>
      <c r="F87" s="11"/>
    </row>
    <row r="88" spans="1:6" ht="24" customHeight="1">
      <c r="A88" s="8"/>
      <c r="B88" s="9"/>
      <c r="C88" s="9"/>
      <c r="D88" s="10"/>
      <c r="E88" s="1"/>
      <c r="F88" s="11"/>
    </row>
    <row r="89" spans="1:6" ht="24" customHeight="1">
      <c r="A89" s="8"/>
      <c r="B89" s="9"/>
      <c r="C89" s="9"/>
      <c r="D89" s="10"/>
      <c r="E89" s="1"/>
      <c r="F89" s="11"/>
    </row>
    <row r="90" spans="1:6" ht="24" customHeight="1">
      <c r="A90" s="8"/>
      <c r="B90" s="9"/>
      <c r="C90" s="9"/>
      <c r="D90" s="10"/>
      <c r="E90" s="1"/>
      <c r="F90" s="11"/>
    </row>
    <row r="91" spans="1:6" ht="24" customHeight="1" thickBot="1">
      <c r="A91" s="8"/>
      <c r="B91" s="9"/>
      <c r="C91" s="9"/>
      <c r="D91" s="10"/>
      <c r="E91" s="1"/>
      <c r="F91" s="11"/>
    </row>
    <row r="92" spans="1:6" ht="24" customHeight="1" thickBot="1">
      <c r="A92" s="12"/>
      <c r="B92" s="60" t="s">
        <v>100</v>
      </c>
      <c r="C92" s="61"/>
      <c r="D92" s="62"/>
      <c r="E92" s="13">
        <f>SUM(E66:E91)</f>
        <v>4065834</v>
      </c>
      <c r="F92" s="12"/>
    </row>
    <row r="93" spans="1:6" ht="24" customHeight="1">
      <c r="A93" s="58" t="s">
        <v>119</v>
      </c>
      <c r="B93" s="58"/>
      <c r="C93" s="58"/>
      <c r="D93" s="58"/>
      <c r="E93" s="58"/>
      <c r="F93" s="58"/>
    </row>
    <row r="94" spans="1:6" ht="24" customHeight="1" thickBot="1">
      <c r="A94" s="59" t="s">
        <v>117</v>
      </c>
      <c r="B94" s="59"/>
      <c r="C94" s="59"/>
      <c r="D94" s="59"/>
      <c r="E94" s="59"/>
      <c r="F94" s="59"/>
    </row>
    <row r="95" spans="1:6" ht="24" customHeight="1" thickBot="1">
      <c r="A95" s="16" t="s">
        <v>2</v>
      </c>
      <c r="B95" s="60" t="s">
        <v>3</v>
      </c>
      <c r="C95" s="61"/>
      <c r="D95" s="62"/>
      <c r="E95" s="16" t="s">
        <v>0</v>
      </c>
      <c r="F95" s="16" t="s">
        <v>1</v>
      </c>
    </row>
    <row r="96" spans="1:6" ht="24" customHeight="1" thickBot="1">
      <c r="A96" s="16"/>
      <c r="B96" s="60" t="s">
        <v>30</v>
      </c>
      <c r="C96" s="61"/>
      <c r="D96" s="62"/>
      <c r="E96" s="13">
        <f>E92</f>
        <v>4065834</v>
      </c>
      <c r="F96" s="12"/>
    </row>
    <row r="97" spans="1:7" ht="24" customHeight="1">
      <c r="A97" s="8"/>
      <c r="B97" s="9"/>
      <c r="C97" s="9"/>
      <c r="D97" s="10"/>
      <c r="E97" s="1"/>
      <c r="F97" s="11"/>
    </row>
    <row r="98" spans="1:7" ht="24" customHeight="1">
      <c r="A98" s="8"/>
      <c r="B98" s="9"/>
      <c r="C98" s="9"/>
      <c r="D98" s="10"/>
      <c r="E98" s="1"/>
      <c r="F98" s="11"/>
    </row>
    <row r="99" spans="1:7" ht="24" customHeight="1">
      <c r="A99" s="8"/>
      <c r="B99" s="9"/>
      <c r="C99" s="9"/>
      <c r="D99" s="10"/>
      <c r="E99" s="1"/>
      <c r="F99" s="11"/>
    </row>
    <row r="100" spans="1:7" ht="24" customHeight="1">
      <c r="A100" s="8"/>
      <c r="B100" s="9"/>
      <c r="C100" s="9"/>
      <c r="D100" s="10"/>
      <c r="E100" s="1"/>
      <c r="F100" s="11"/>
    </row>
    <row r="101" spans="1:7" ht="24" customHeight="1">
      <c r="A101" s="8"/>
      <c r="B101" s="9"/>
      <c r="C101" s="9"/>
      <c r="D101" s="10"/>
      <c r="E101" s="1"/>
      <c r="F101" s="11"/>
      <c r="G101" s="14"/>
    </row>
    <row r="102" spans="1:7" ht="24" customHeight="1">
      <c r="A102" s="8"/>
      <c r="B102" s="9"/>
      <c r="C102" s="9"/>
      <c r="D102" s="10"/>
      <c r="E102" s="1"/>
      <c r="F102" s="11"/>
    </row>
    <row r="103" spans="1:7" ht="24" customHeight="1">
      <c r="A103" s="8"/>
      <c r="B103" s="9"/>
      <c r="C103" s="9"/>
      <c r="D103" s="10"/>
      <c r="E103" s="1"/>
      <c r="F103" s="11"/>
    </row>
    <row r="104" spans="1:7" ht="24" customHeight="1">
      <c r="A104" s="8"/>
      <c r="B104" s="9"/>
      <c r="C104" s="9"/>
      <c r="D104" s="10"/>
      <c r="E104" s="1"/>
      <c r="F104" s="11"/>
    </row>
    <row r="105" spans="1:7" ht="24" customHeight="1">
      <c r="A105" s="8"/>
      <c r="B105" s="9"/>
      <c r="C105" s="9"/>
      <c r="D105" s="10"/>
      <c r="E105" s="1"/>
      <c r="F105" s="11"/>
    </row>
    <row r="106" spans="1:7" ht="24" customHeight="1">
      <c r="A106" s="8"/>
      <c r="B106" s="9"/>
      <c r="C106" s="9"/>
      <c r="D106" s="10"/>
      <c r="E106" s="1"/>
      <c r="F106" s="11"/>
    </row>
    <row r="107" spans="1:7" ht="24" customHeight="1">
      <c r="A107" s="8"/>
      <c r="B107" s="9"/>
      <c r="C107" s="9"/>
      <c r="D107" s="10"/>
      <c r="E107" s="1"/>
      <c r="F107" s="11"/>
    </row>
    <row r="108" spans="1:7" ht="24" customHeight="1">
      <c r="A108" s="8"/>
      <c r="B108" s="9"/>
      <c r="C108" s="9"/>
      <c r="D108" s="10"/>
      <c r="E108" s="1"/>
      <c r="F108" s="11"/>
    </row>
    <row r="109" spans="1:7" ht="24" customHeight="1">
      <c r="A109" s="8"/>
      <c r="B109" s="9"/>
      <c r="C109" s="9"/>
      <c r="D109" s="10"/>
      <c r="E109" s="1"/>
      <c r="F109" s="11"/>
    </row>
    <row r="110" spans="1:7" ht="24" customHeight="1">
      <c r="A110" s="8"/>
      <c r="B110" s="9"/>
      <c r="C110" s="9"/>
      <c r="D110" s="10"/>
      <c r="E110" s="1"/>
      <c r="F110" s="11"/>
    </row>
    <row r="111" spans="1:7" ht="24" customHeight="1">
      <c r="A111" s="8"/>
      <c r="B111" s="9"/>
      <c r="C111" s="9"/>
      <c r="D111" s="10"/>
      <c r="E111" s="1"/>
      <c r="F111" s="11"/>
    </row>
    <row r="112" spans="1:7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"/>
      <c r="F116" s="11"/>
    </row>
    <row r="117" spans="1:6" ht="24" customHeight="1">
      <c r="A117" s="8"/>
      <c r="B117" s="9"/>
      <c r="C117" s="9"/>
      <c r="D117" s="10"/>
      <c r="E117" s="1"/>
      <c r="F117" s="11"/>
    </row>
    <row r="118" spans="1:6" ht="24" customHeight="1">
      <c r="A118" s="8"/>
      <c r="B118" s="9"/>
      <c r="C118" s="9"/>
      <c r="D118" s="10"/>
      <c r="E118" s="1"/>
      <c r="F118" s="11"/>
    </row>
    <row r="119" spans="1:6" ht="24" customHeight="1">
      <c r="A119" s="8"/>
      <c r="B119" s="9"/>
      <c r="C119" s="9"/>
      <c r="D119" s="10"/>
      <c r="E119" s="1"/>
      <c r="F119" s="11"/>
    </row>
    <row r="120" spans="1:6" ht="24" customHeight="1">
      <c r="A120" s="8"/>
      <c r="B120" s="9"/>
      <c r="C120" s="9"/>
      <c r="D120" s="10"/>
      <c r="E120" s="1"/>
      <c r="F120" s="11"/>
    </row>
    <row r="121" spans="1:6" ht="24" customHeight="1" thickBot="1">
      <c r="A121" s="8"/>
      <c r="B121" s="9"/>
      <c r="C121" s="9"/>
      <c r="D121" s="10"/>
      <c r="E121" s="1"/>
      <c r="F121" s="11"/>
    </row>
    <row r="122" spans="1:6" ht="24" customHeight="1" thickBot="1">
      <c r="A122" s="12"/>
      <c r="B122" s="60" t="s">
        <v>100</v>
      </c>
      <c r="C122" s="61"/>
      <c r="D122" s="62"/>
      <c r="E122" s="13">
        <f>SUM(E96:E121)</f>
        <v>4065834</v>
      </c>
      <c r="F122" s="12"/>
    </row>
    <row r="123" spans="1:6" ht="24" customHeight="1">
      <c r="A123" s="58" t="s">
        <v>120</v>
      </c>
      <c r="B123" s="58"/>
      <c r="C123" s="58"/>
      <c r="D123" s="58"/>
      <c r="E123" s="58"/>
      <c r="F123" s="58"/>
    </row>
    <row r="124" spans="1:6" ht="24" customHeight="1" thickBot="1">
      <c r="A124" s="59" t="s">
        <v>117</v>
      </c>
      <c r="B124" s="59"/>
      <c r="C124" s="59"/>
      <c r="D124" s="59"/>
      <c r="E124" s="59"/>
      <c r="F124" s="59"/>
    </row>
    <row r="125" spans="1:6" ht="24" customHeight="1" thickBot="1">
      <c r="A125" s="16" t="s">
        <v>2</v>
      </c>
      <c r="B125" s="60" t="s">
        <v>3</v>
      </c>
      <c r="C125" s="61"/>
      <c r="D125" s="62"/>
      <c r="E125" s="16" t="s">
        <v>0</v>
      </c>
      <c r="F125" s="16" t="s">
        <v>1</v>
      </c>
    </row>
    <row r="126" spans="1:6" ht="24" customHeight="1" thickBot="1">
      <c r="A126" s="16"/>
      <c r="B126" s="60" t="s">
        <v>30</v>
      </c>
      <c r="C126" s="61"/>
      <c r="D126" s="62"/>
      <c r="E126" s="13">
        <f>E122</f>
        <v>4065834</v>
      </c>
      <c r="F126" s="12"/>
    </row>
    <row r="127" spans="1:6" ht="24" customHeight="1">
      <c r="A127" s="8"/>
      <c r="B127" s="9"/>
      <c r="C127" s="9"/>
      <c r="D127" s="10"/>
      <c r="E127" s="1"/>
      <c r="F127" s="11"/>
    </row>
    <row r="128" spans="1:6" ht="24" customHeight="1">
      <c r="A128" s="8"/>
      <c r="B128" s="9"/>
      <c r="C128" s="9"/>
      <c r="D128" s="10"/>
      <c r="E128" s="1"/>
      <c r="F128" s="11"/>
    </row>
    <row r="129" spans="1:7" ht="24" customHeight="1">
      <c r="A129" s="8"/>
      <c r="B129" s="9"/>
      <c r="C129" s="9"/>
      <c r="D129" s="10"/>
      <c r="E129" s="1"/>
      <c r="F129" s="11"/>
    </row>
    <row r="130" spans="1:7" ht="24" customHeight="1">
      <c r="A130" s="8"/>
      <c r="B130" s="9"/>
      <c r="C130" s="9"/>
      <c r="D130" s="10"/>
      <c r="E130" s="1"/>
      <c r="F130" s="11"/>
    </row>
    <row r="131" spans="1:7" ht="24" customHeight="1">
      <c r="A131" s="8"/>
      <c r="B131" s="9"/>
      <c r="C131" s="9"/>
      <c r="D131" s="10"/>
      <c r="E131" s="1"/>
      <c r="F131" s="11"/>
      <c r="G131" s="14"/>
    </row>
    <row r="132" spans="1:7" ht="24" customHeight="1">
      <c r="A132" s="8"/>
      <c r="B132" s="9"/>
      <c r="C132" s="9"/>
      <c r="D132" s="10"/>
      <c r="E132" s="1"/>
      <c r="F132" s="11"/>
    </row>
    <row r="133" spans="1:7" ht="24" customHeight="1">
      <c r="A133" s="8"/>
      <c r="B133" s="9"/>
      <c r="C133" s="9"/>
      <c r="D133" s="10"/>
      <c r="E133" s="1"/>
      <c r="F133" s="11"/>
    </row>
    <row r="134" spans="1:7" ht="24" customHeight="1">
      <c r="A134" s="8"/>
      <c r="B134" s="9"/>
      <c r="C134" s="9"/>
      <c r="D134" s="10"/>
      <c r="E134" s="1"/>
      <c r="F134" s="11"/>
    </row>
    <row r="135" spans="1:7" ht="24" customHeight="1">
      <c r="A135" s="8"/>
      <c r="B135" s="9"/>
      <c r="C135" s="9"/>
      <c r="D135" s="10"/>
      <c r="E135" s="1"/>
      <c r="F135" s="11"/>
    </row>
    <row r="136" spans="1:7" ht="24" customHeight="1">
      <c r="A136" s="8"/>
      <c r="B136" s="9"/>
      <c r="C136" s="9"/>
      <c r="D136" s="10"/>
      <c r="E136" s="1"/>
      <c r="F136" s="11"/>
    </row>
    <row r="137" spans="1:7" ht="24" customHeight="1">
      <c r="A137" s="8"/>
      <c r="B137" s="9"/>
      <c r="C137" s="9"/>
      <c r="D137" s="10"/>
      <c r="E137" s="15"/>
      <c r="F137" s="11"/>
    </row>
    <row r="138" spans="1:7" ht="24" customHeight="1">
      <c r="A138" s="8"/>
      <c r="B138" s="9"/>
      <c r="C138" s="9"/>
      <c r="D138" s="10"/>
      <c r="E138" s="1"/>
      <c r="F138" s="11"/>
    </row>
    <row r="139" spans="1:7" ht="24" customHeight="1">
      <c r="A139" s="8"/>
      <c r="B139" s="9"/>
      <c r="C139" s="9"/>
      <c r="D139" s="10"/>
      <c r="E139" s="1"/>
      <c r="F139" s="11"/>
    </row>
    <row r="140" spans="1:7" ht="24" customHeight="1">
      <c r="A140" s="8"/>
      <c r="B140" s="9"/>
      <c r="C140" s="9"/>
      <c r="D140" s="10"/>
      <c r="E140" s="1"/>
      <c r="F140" s="11"/>
    </row>
    <row r="141" spans="1:7" ht="24" customHeight="1">
      <c r="A141" s="8"/>
      <c r="B141" s="9"/>
      <c r="C141" s="9"/>
      <c r="D141" s="10"/>
      <c r="E141" s="1"/>
      <c r="F141" s="11"/>
    </row>
    <row r="142" spans="1:7" ht="24" customHeight="1">
      <c r="A142" s="8"/>
      <c r="B142" s="9"/>
      <c r="C142" s="9"/>
      <c r="D142" s="10"/>
      <c r="E142" s="1"/>
      <c r="F142" s="11"/>
    </row>
    <row r="143" spans="1:7" ht="24" customHeight="1">
      <c r="A143" s="8"/>
      <c r="B143" s="9"/>
      <c r="C143" s="9"/>
      <c r="D143" s="10"/>
      <c r="E143" s="1"/>
      <c r="F143" s="11"/>
    </row>
    <row r="144" spans="1:7" ht="24" customHeight="1">
      <c r="A144" s="8"/>
      <c r="B144" s="9"/>
      <c r="C144" s="9"/>
      <c r="D144" s="10"/>
      <c r="E144" s="1"/>
      <c r="F144" s="11"/>
    </row>
    <row r="145" spans="1:13" ht="24" customHeight="1">
      <c r="A145" s="8"/>
      <c r="B145" s="9"/>
      <c r="C145" s="9"/>
      <c r="D145" s="10"/>
      <c r="E145" s="1"/>
      <c r="F145" s="11"/>
      <c r="K145" s="14"/>
      <c r="M145" s="14"/>
    </row>
    <row r="146" spans="1:13" ht="24" customHeight="1">
      <c r="A146" s="8"/>
      <c r="B146" s="9"/>
      <c r="C146" s="9"/>
      <c r="D146" s="10"/>
      <c r="E146" s="1"/>
      <c r="F146" s="11"/>
    </row>
    <row r="147" spans="1:13" ht="24" customHeight="1">
      <c r="A147" s="8"/>
      <c r="B147" s="9"/>
      <c r="C147" s="9"/>
      <c r="D147" s="10"/>
      <c r="E147" s="1"/>
      <c r="F147" s="11"/>
      <c r="K147" s="14"/>
      <c r="M147" s="14"/>
    </row>
    <row r="148" spans="1:13" ht="24" customHeight="1" thickBot="1">
      <c r="A148" s="8"/>
      <c r="B148" s="9"/>
      <c r="C148" s="9"/>
      <c r="D148" s="10"/>
      <c r="E148" s="1"/>
      <c r="F148" s="11"/>
    </row>
    <row r="149" spans="1:13" ht="24" customHeight="1" thickBot="1">
      <c r="A149" s="12"/>
      <c r="B149" s="60" t="s">
        <v>4</v>
      </c>
      <c r="C149" s="61"/>
      <c r="D149" s="62"/>
      <c r="E149" s="18"/>
      <c r="F149" s="12"/>
    </row>
    <row r="152" spans="1:13" ht="24" customHeight="1">
      <c r="D152" s="63" t="s">
        <v>116</v>
      </c>
      <c r="E152" s="63"/>
      <c r="F152" s="63"/>
    </row>
  </sheetData>
  <mergeCells count="26">
    <mergeCell ref="D152:F152"/>
    <mergeCell ref="B122:D122"/>
    <mergeCell ref="A123:F123"/>
    <mergeCell ref="A124:F124"/>
    <mergeCell ref="B125:D125"/>
    <mergeCell ref="B126:D126"/>
    <mergeCell ref="B149:D149"/>
    <mergeCell ref="B96:D96"/>
    <mergeCell ref="B34:D34"/>
    <mergeCell ref="B35:D35"/>
    <mergeCell ref="B59:D59"/>
    <mergeCell ref="A63:F63"/>
    <mergeCell ref="A64:F64"/>
    <mergeCell ref="B65:D65"/>
    <mergeCell ref="B66:D66"/>
    <mergeCell ref="B92:D92"/>
    <mergeCell ref="A93:F93"/>
    <mergeCell ref="A94:F94"/>
    <mergeCell ref="B95:D95"/>
    <mergeCell ref="D61:F61"/>
    <mergeCell ref="A33:F33"/>
    <mergeCell ref="A1:F1"/>
    <mergeCell ref="A2:F2"/>
    <mergeCell ref="B3:D3"/>
    <mergeCell ref="B31:D31"/>
    <mergeCell ref="A32:F3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6"/>
  <sheetViews>
    <sheetView workbookViewId="0">
      <selection activeCell="I73" sqref="I73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156</v>
      </c>
      <c r="B1" s="58"/>
      <c r="C1" s="58"/>
      <c r="D1" s="58"/>
      <c r="E1" s="58"/>
      <c r="F1" s="58"/>
    </row>
    <row r="2" spans="1:6" ht="24" customHeight="1" thickBot="1">
      <c r="A2" s="59" t="s">
        <v>117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158</v>
      </c>
      <c r="C4" s="4"/>
      <c r="D4" s="5"/>
      <c r="E4" s="6">
        <v>17600</v>
      </c>
      <c r="F4" s="7"/>
    </row>
    <row r="5" spans="1:6" ht="24" customHeight="1">
      <c r="A5" s="8">
        <v>2</v>
      </c>
      <c r="B5" s="9" t="s">
        <v>159</v>
      </c>
      <c r="C5" s="9"/>
      <c r="D5" s="10"/>
      <c r="E5" s="1">
        <v>12000</v>
      </c>
      <c r="F5" s="11"/>
    </row>
    <row r="6" spans="1:6" ht="24" customHeight="1">
      <c r="A6" s="8">
        <v>3</v>
      </c>
      <c r="B6" s="9" t="s">
        <v>160</v>
      </c>
      <c r="C6" s="9"/>
      <c r="D6" s="10"/>
      <c r="E6" s="1">
        <v>1600</v>
      </c>
      <c r="F6" s="11"/>
    </row>
    <row r="7" spans="1:6" ht="24" customHeight="1">
      <c r="A7" s="8">
        <v>4</v>
      </c>
      <c r="B7" s="9" t="s">
        <v>161</v>
      </c>
      <c r="C7" s="9"/>
      <c r="D7" s="10"/>
      <c r="E7" s="1">
        <v>35200</v>
      </c>
      <c r="F7" s="11"/>
    </row>
    <row r="8" spans="1:6" ht="24" customHeight="1">
      <c r="A8" s="8">
        <v>5</v>
      </c>
      <c r="B8" s="9" t="s">
        <v>162</v>
      </c>
      <c r="C8" s="9"/>
      <c r="D8" s="10"/>
      <c r="E8" s="1">
        <v>17600</v>
      </c>
      <c r="F8" s="11"/>
    </row>
    <row r="9" spans="1:6" ht="24" customHeight="1">
      <c r="A9" s="8">
        <v>6</v>
      </c>
      <c r="B9" s="9" t="s">
        <v>163</v>
      </c>
      <c r="C9" s="9"/>
      <c r="D9" s="10"/>
      <c r="E9" s="1">
        <v>24400</v>
      </c>
      <c r="F9" s="11"/>
    </row>
    <row r="10" spans="1:6" ht="24" customHeight="1">
      <c r="A10" s="8">
        <v>7</v>
      </c>
      <c r="B10" s="9" t="s">
        <v>163</v>
      </c>
      <c r="C10" s="9"/>
      <c r="D10" s="10"/>
      <c r="E10" s="1">
        <v>72800</v>
      </c>
      <c r="F10" s="11"/>
    </row>
    <row r="11" spans="1:6" ht="24" customHeight="1">
      <c r="A11" s="8">
        <v>8</v>
      </c>
      <c r="B11" s="9" t="s">
        <v>164</v>
      </c>
      <c r="C11" s="9"/>
      <c r="D11" s="10"/>
      <c r="E11" s="1">
        <v>32000</v>
      </c>
      <c r="F11" s="11"/>
    </row>
    <row r="12" spans="1:6" ht="24" customHeight="1">
      <c r="A12" s="8">
        <v>9</v>
      </c>
      <c r="B12" s="9" t="s">
        <v>165</v>
      </c>
      <c r="C12" s="9"/>
      <c r="D12" s="10"/>
      <c r="E12" s="1">
        <v>141600</v>
      </c>
      <c r="F12" s="11"/>
    </row>
    <row r="13" spans="1:6" ht="24" customHeight="1">
      <c r="A13" s="8">
        <v>10</v>
      </c>
      <c r="B13" s="9" t="s">
        <v>160</v>
      </c>
      <c r="C13" s="9"/>
      <c r="D13" s="10"/>
      <c r="E13" s="1">
        <v>7000</v>
      </c>
      <c r="F13" s="11"/>
    </row>
    <row r="14" spans="1:6" ht="24" customHeight="1">
      <c r="A14" s="8">
        <v>11</v>
      </c>
      <c r="B14" s="9" t="s">
        <v>166</v>
      </c>
      <c r="C14" s="9"/>
      <c r="D14" s="10"/>
      <c r="E14" s="1">
        <v>85600</v>
      </c>
      <c r="F14" s="11"/>
    </row>
    <row r="15" spans="1:6" ht="24" customHeight="1">
      <c r="A15" s="8">
        <v>12</v>
      </c>
      <c r="B15" s="9" t="s">
        <v>167</v>
      </c>
      <c r="C15" s="9"/>
      <c r="D15" s="10"/>
      <c r="E15" s="1">
        <v>171600</v>
      </c>
      <c r="F15" s="11"/>
    </row>
    <row r="16" spans="1:6" ht="24" customHeight="1">
      <c r="A16" s="8">
        <v>13</v>
      </c>
      <c r="B16" s="9" t="s">
        <v>168</v>
      </c>
      <c r="C16" s="9"/>
      <c r="D16" s="10"/>
      <c r="E16" s="1">
        <v>71700</v>
      </c>
      <c r="F16" s="11"/>
    </row>
    <row r="17" spans="1:6" ht="24" customHeight="1">
      <c r="A17" s="8">
        <v>14</v>
      </c>
      <c r="B17" s="9" t="s">
        <v>169</v>
      </c>
      <c r="C17" s="9"/>
      <c r="D17" s="10"/>
      <c r="E17" s="1">
        <v>103400</v>
      </c>
      <c r="F17" s="11"/>
    </row>
    <row r="18" spans="1:6" ht="24" customHeight="1">
      <c r="A18" s="8">
        <v>15</v>
      </c>
      <c r="B18" s="9" t="s">
        <v>170</v>
      </c>
      <c r="C18" s="9"/>
      <c r="D18" s="10"/>
      <c r="E18" s="1">
        <v>36000</v>
      </c>
      <c r="F18" s="11"/>
    </row>
    <row r="19" spans="1:6" ht="24" customHeight="1">
      <c r="A19" s="8">
        <v>16</v>
      </c>
      <c r="B19" s="9" t="s">
        <v>171</v>
      </c>
      <c r="C19" s="9"/>
      <c r="D19" s="10"/>
      <c r="E19" s="1">
        <v>48000</v>
      </c>
      <c r="F19" s="11"/>
    </row>
    <row r="20" spans="1:6" ht="24" customHeight="1">
      <c r="A20" s="8">
        <v>17</v>
      </c>
      <c r="B20" s="9" t="s">
        <v>172</v>
      </c>
      <c r="C20" s="9"/>
      <c r="D20" s="10"/>
      <c r="E20" s="1">
        <v>332800</v>
      </c>
      <c r="F20" s="11"/>
    </row>
    <row r="21" spans="1:6" ht="24" customHeight="1">
      <c r="A21" s="8">
        <v>18</v>
      </c>
      <c r="B21" s="9" t="s">
        <v>173</v>
      </c>
      <c r="C21" s="9"/>
      <c r="D21" s="10"/>
      <c r="E21" s="1">
        <v>665300</v>
      </c>
      <c r="F21" s="11"/>
    </row>
    <row r="22" spans="1:6" ht="24" customHeight="1">
      <c r="A22" s="8">
        <v>19</v>
      </c>
      <c r="B22" s="9" t="s">
        <v>163</v>
      </c>
      <c r="C22" s="9"/>
      <c r="D22" s="10"/>
      <c r="E22" s="1">
        <v>37600</v>
      </c>
      <c r="F22" s="11"/>
    </row>
    <row r="23" spans="1:6" ht="24" customHeight="1">
      <c r="A23" s="8">
        <v>20</v>
      </c>
      <c r="B23" s="9" t="s">
        <v>163</v>
      </c>
      <c r="C23" s="9"/>
      <c r="D23" s="10"/>
      <c r="E23" s="1">
        <v>19200</v>
      </c>
      <c r="F23" s="11"/>
    </row>
    <row r="24" spans="1:6" ht="24" customHeight="1">
      <c r="A24" s="8">
        <v>21</v>
      </c>
      <c r="B24" s="9" t="s">
        <v>174</v>
      </c>
      <c r="C24" s="9"/>
      <c r="D24" s="10"/>
      <c r="E24" s="1">
        <v>313200</v>
      </c>
      <c r="F24" s="11"/>
    </row>
    <row r="25" spans="1:6" ht="24" customHeight="1">
      <c r="A25" s="8">
        <v>22</v>
      </c>
      <c r="B25" s="9" t="s">
        <v>175</v>
      </c>
      <c r="C25" s="9"/>
      <c r="D25" s="10"/>
      <c r="E25" s="1">
        <v>1460100</v>
      </c>
      <c r="F25" s="11"/>
    </row>
    <row r="26" spans="1:6" ht="24" customHeight="1">
      <c r="A26" s="8">
        <v>23</v>
      </c>
      <c r="B26" s="9" t="s">
        <v>176</v>
      </c>
      <c r="C26" s="9"/>
      <c r="D26" s="10"/>
      <c r="E26" s="1">
        <v>299050</v>
      </c>
      <c r="F26" s="11"/>
    </row>
    <row r="27" spans="1:6" ht="24" customHeight="1">
      <c r="A27" s="8">
        <v>24</v>
      </c>
      <c r="B27" s="9" t="s">
        <v>177</v>
      </c>
      <c r="C27" s="9"/>
      <c r="D27" s="10"/>
      <c r="E27" s="1">
        <v>65600</v>
      </c>
      <c r="F27" s="11"/>
    </row>
    <row r="28" spans="1:6" ht="24" customHeight="1">
      <c r="A28" s="8">
        <v>25</v>
      </c>
      <c r="B28" s="9" t="s">
        <v>178</v>
      </c>
      <c r="C28" s="9"/>
      <c r="D28" s="10"/>
      <c r="E28" s="1">
        <v>48000</v>
      </c>
      <c r="F28" s="11"/>
    </row>
    <row r="29" spans="1:6" ht="24" customHeight="1">
      <c r="A29" s="8">
        <v>26</v>
      </c>
      <c r="B29" s="9" t="s">
        <v>179</v>
      </c>
      <c r="C29" s="9"/>
      <c r="D29" s="10"/>
      <c r="E29" s="1">
        <v>150400</v>
      </c>
      <c r="F29" s="11"/>
    </row>
    <row r="30" spans="1:6" ht="24" customHeight="1" thickBot="1">
      <c r="A30" s="8">
        <v>27</v>
      </c>
      <c r="B30" s="9" t="s">
        <v>180</v>
      </c>
      <c r="C30" s="9"/>
      <c r="D30" s="10"/>
      <c r="E30" s="1">
        <v>101700</v>
      </c>
      <c r="F30" s="11"/>
    </row>
    <row r="31" spans="1:6" ht="24" customHeight="1" thickBot="1">
      <c r="A31" s="12"/>
      <c r="B31" s="60" t="s">
        <v>100</v>
      </c>
      <c r="C31" s="61"/>
      <c r="D31" s="62"/>
      <c r="E31" s="13">
        <f>SUM(E4:E30)</f>
        <v>4371050</v>
      </c>
      <c r="F31" s="12"/>
    </row>
    <row r="32" spans="1:6" ht="24" customHeight="1">
      <c r="A32" s="58" t="s">
        <v>157</v>
      </c>
      <c r="B32" s="58"/>
      <c r="C32" s="58"/>
      <c r="D32" s="58"/>
      <c r="E32" s="58"/>
      <c r="F32" s="58"/>
    </row>
    <row r="33" spans="1:6" ht="24" customHeight="1" thickBot="1">
      <c r="A33" s="59" t="s">
        <v>117</v>
      </c>
      <c r="B33" s="59"/>
      <c r="C33" s="59"/>
      <c r="D33" s="59"/>
      <c r="E33" s="59"/>
      <c r="F33" s="59"/>
    </row>
    <row r="34" spans="1:6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6" ht="24" customHeight="1" thickBot="1">
      <c r="A35" s="16"/>
      <c r="B35" s="60" t="s">
        <v>30</v>
      </c>
      <c r="C35" s="61"/>
      <c r="D35" s="62"/>
      <c r="E35" s="13">
        <f>E31</f>
        <v>4371050</v>
      </c>
      <c r="F35" s="12"/>
    </row>
    <row r="36" spans="1:6" ht="24" customHeight="1">
      <c r="A36" s="8">
        <v>28</v>
      </c>
      <c r="B36" s="9" t="s">
        <v>181</v>
      </c>
      <c r="C36" s="9"/>
      <c r="D36" s="10"/>
      <c r="E36" s="1">
        <v>36500</v>
      </c>
      <c r="F36" s="11"/>
    </row>
    <row r="37" spans="1:6" ht="24" customHeight="1">
      <c r="A37" s="8">
        <v>29</v>
      </c>
      <c r="B37" s="9" t="s">
        <v>182</v>
      </c>
      <c r="C37" s="9"/>
      <c r="D37" s="10"/>
      <c r="E37" s="1">
        <v>48000</v>
      </c>
      <c r="F37" s="11"/>
    </row>
    <row r="38" spans="1:6" ht="24" customHeight="1">
      <c r="A38" s="8">
        <v>30</v>
      </c>
      <c r="B38" s="9" t="s">
        <v>183</v>
      </c>
      <c r="C38" s="9"/>
      <c r="D38" s="10"/>
      <c r="E38" s="1">
        <v>525000</v>
      </c>
      <c r="F38" s="11"/>
    </row>
    <row r="39" spans="1:6" ht="24" customHeight="1">
      <c r="A39" s="8">
        <v>31</v>
      </c>
      <c r="B39" s="9" t="s">
        <v>184</v>
      </c>
      <c r="C39" s="9"/>
      <c r="D39" s="10"/>
      <c r="E39" s="1">
        <v>433200</v>
      </c>
      <c r="F39" s="11"/>
    </row>
    <row r="40" spans="1:6" ht="24" customHeight="1">
      <c r="A40" s="8">
        <v>32</v>
      </c>
      <c r="B40" s="9" t="s">
        <v>185</v>
      </c>
      <c r="C40" s="9"/>
      <c r="D40" s="10"/>
      <c r="E40" s="1">
        <v>145000</v>
      </c>
      <c r="F40" s="11"/>
    </row>
    <row r="41" spans="1:6" ht="24" customHeight="1">
      <c r="A41" s="8">
        <v>33</v>
      </c>
      <c r="B41" s="9" t="s">
        <v>186</v>
      </c>
      <c r="C41" s="9"/>
      <c r="D41" s="10"/>
      <c r="E41" s="1">
        <v>29900</v>
      </c>
      <c r="F41" s="11"/>
    </row>
    <row r="42" spans="1:6" ht="24" customHeight="1">
      <c r="A42" s="8">
        <v>34</v>
      </c>
      <c r="B42" s="9" t="s">
        <v>187</v>
      </c>
      <c r="C42" s="9"/>
      <c r="D42" s="10"/>
      <c r="E42" s="1">
        <v>270000</v>
      </c>
      <c r="F42" s="11"/>
    </row>
    <row r="43" spans="1:6" ht="24" customHeight="1">
      <c r="A43" s="8">
        <v>35</v>
      </c>
      <c r="B43" s="9" t="s">
        <v>187</v>
      </c>
      <c r="C43" s="9"/>
      <c r="D43" s="10"/>
      <c r="E43" s="1">
        <v>277200</v>
      </c>
      <c r="F43" s="11"/>
    </row>
    <row r="44" spans="1:6" ht="24" customHeight="1">
      <c r="A44" s="8">
        <v>36</v>
      </c>
      <c r="B44" s="9" t="s">
        <v>186</v>
      </c>
      <c r="C44" s="9"/>
      <c r="D44" s="10"/>
      <c r="E44" s="1">
        <v>234600</v>
      </c>
      <c r="F44" s="11"/>
    </row>
    <row r="45" spans="1:6" ht="24" customHeight="1">
      <c r="A45" s="8">
        <v>37</v>
      </c>
      <c r="B45" s="9" t="s">
        <v>188</v>
      </c>
      <c r="C45" s="9"/>
      <c r="D45" s="10"/>
      <c r="E45" s="1">
        <v>4400</v>
      </c>
      <c r="F45" s="11"/>
    </row>
    <row r="46" spans="1:6" ht="24" customHeight="1">
      <c r="A46" s="8">
        <v>38</v>
      </c>
      <c r="B46" s="9" t="s">
        <v>188</v>
      </c>
      <c r="C46" s="9"/>
      <c r="D46" s="10"/>
      <c r="E46" s="1">
        <v>3250</v>
      </c>
      <c r="F46" s="11"/>
    </row>
    <row r="47" spans="1:6" ht="24" customHeight="1">
      <c r="A47" s="8">
        <v>39</v>
      </c>
      <c r="B47" s="9" t="s">
        <v>189</v>
      </c>
      <c r="C47" s="9"/>
      <c r="D47" s="10"/>
      <c r="E47" s="1">
        <v>138375</v>
      </c>
      <c r="F47" s="11"/>
    </row>
    <row r="48" spans="1:6" ht="24" customHeight="1">
      <c r="A48" s="8">
        <v>40</v>
      </c>
      <c r="B48" s="9" t="s">
        <v>189</v>
      </c>
      <c r="C48" s="9"/>
      <c r="D48" s="10"/>
      <c r="E48" s="1">
        <v>183225</v>
      </c>
      <c r="F48" s="11"/>
    </row>
    <row r="49" spans="1:6" ht="24" customHeight="1">
      <c r="A49" s="8">
        <v>41</v>
      </c>
      <c r="B49" s="9" t="s">
        <v>163</v>
      </c>
      <c r="C49" s="9"/>
      <c r="D49" s="10"/>
      <c r="E49" s="1">
        <v>467550</v>
      </c>
      <c r="F49" s="11"/>
    </row>
    <row r="50" spans="1:6" ht="24" customHeight="1">
      <c r="A50" s="8">
        <v>42</v>
      </c>
      <c r="B50" s="9" t="s">
        <v>216</v>
      </c>
      <c r="C50" s="9"/>
      <c r="D50" s="10"/>
      <c r="E50" s="1">
        <v>453000</v>
      </c>
      <c r="F50" s="11"/>
    </row>
    <row r="51" spans="1:6" ht="24" customHeight="1">
      <c r="A51" s="8">
        <v>43</v>
      </c>
      <c r="B51" s="9" t="s">
        <v>175</v>
      </c>
      <c r="C51" s="9"/>
      <c r="D51" s="10"/>
      <c r="E51" s="1">
        <v>70400</v>
      </c>
      <c r="F51" s="11"/>
    </row>
    <row r="52" spans="1:6" ht="24" customHeight="1">
      <c r="A52" s="8">
        <v>44</v>
      </c>
      <c r="B52" s="9" t="s">
        <v>175</v>
      </c>
      <c r="C52" s="9"/>
      <c r="D52" s="10"/>
      <c r="E52" s="1">
        <v>88000</v>
      </c>
      <c r="F52" s="11"/>
    </row>
    <row r="53" spans="1:6" ht="24" customHeight="1">
      <c r="A53" s="8">
        <v>45</v>
      </c>
      <c r="B53" s="9" t="s">
        <v>216</v>
      </c>
      <c r="C53" s="9"/>
      <c r="D53" s="10"/>
      <c r="E53" s="1">
        <v>70400</v>
      </c>
      <c r="F53" s="11"/>
    </row>
    <row r="54" spans="1:6" ht="24" customHeight="1">
      <c r="A54" s="8">
        <v>46</v>
      </c>
      <c r="B54" s="9" t="s">
        <v>217</v>
      </c>
      <c r="C54" s="9"/>
      <c r="D54" s="10"/>
      <c r="E54" s="1">
        <v>70400</v>
      </c>
      <c r="F54" s="11"/>
    </row>
    <row r="55" spans="1:6" ht="24" customHeight="1">
      <c r="A55" s="8">
        <v>47</v>
      </c>
      <c r="B55" s="9" t="s">
        <v>184</v>
      </c>
      <c r="C55" s="9"/>
      <c r="D55" s="10"/>
      <c r="E55" s="1">
        <v>70400</v>
      </c>
      <c r="F55" s="11"/>
    </row>
    <row r="56" spans="1:6" ht="24" customHeight="1">
      <c r="A56" s="8">
        <v>48</v>
      </c>
      <c r="B56" s="9" t="s">
        <v>216</v>
      </c>
      <c r="C56" s="9"/>
      <c r="D56" s="10"/>
      <c r="E56" s="1">
        <v>62400</v>
      </c>
      <c r="F56" s="11"/>
    </row>
    <row r="57" spans="1:6" ht="24" customHeight="1">
      <c r="A57" s="8">
        <v>49</v>
      </c>
      <c r="B57" s="9" t="s">
        <v>218</v>
      </c>
      <c r="C57" s="9"/>
      <c r="D57" s="10"/>
      <c r="E57" s="1">
        <v>6750</v>
      </c>
      <c r="F57" s="11"/>
    </row>
    <row r="58" spans="1:6" ht="24" customHeight="1">
      <c r="A58" s="8">
        <v>50</v>
      </c>
      <c r="B58" s="9" t="s">
        <v>218</v>
      </c>
      <c r="C58" s="9"/>
      <c r="D58" s="10"/>
      <c r="E58" s="1">
        <v>6975</v>
      </c>
      <c r="F58" s="11"/>
    </row>
    <row r="59" spans="1:6" ht="24" customHeight="1">
      <c r="A59" s="8">
        <v>51</v>
      </c>
      <c r="B59" s="9" t="s">
        <v>219</v>
      </c>
      <c r="C59" s="9"/>
      <c r="D59" s="10"/>
      <c r="E59" s="1">
        <v>13200</v>
      </c>
      <c r="F59" s="11"/>
    </row>
    <row r="60" spans="1:6" ht="24" customHeight="1">
      <c r="A60" s="8">
        <v>52</v>
      </c>
      <c r="B60" s="9" t="s">
        <v>217</v>
      </c>
      <c r="C60" s="9"/>
      <c r="D60" s="10"/>
      <c r="E60" s="1">
        <v>57600</v>
      </c>
      <c r="F60" s="11"/>
    </row>
    <row r="61" spans="1:6" ht="24" customHeight="1" thickBot="1">
      <c r="A61" s="8">
        <v>53</v>
      </c>
      <c r="B61" s="9" t="s">
        <v>184</v>
      </c>
      <c r="C61" s="9"/>
      <c r="D61" s="10"/>
      <c r="E61" s="1">
        <v>70400</v>
      </c>
      <c r="F61" s="11"/>
    </row>
    <row r="62" spans="1:6" ht="24" customHeight="1" thickBot="1">
      <c r="A62" s="12"/>
      <c r="B62" s="64" t="s">
        <v>155</v>
      </c>
      <c r="C62" s="65"/>
      <c r="D62" s="66"/>
      <c r="E62" s="18">
        <f>SUM(E35:E61)</f>
        <v>8207175</v>
      </c>
      <c r="F62" s="12"/>
    </row>
    <row r="63" spans="1:6" ht="24" customHeight="1">
      <c r="A63" s="58" t="s">
        <v>157</v>
      </c>
      <c r="B63" s="58"/>
      <c r="C63" s="58"/>
      <c r="D63" s="58"/>
      <c r="E63" s="58"/>
      <c r="F63" s="58"/>
    </row>
    <row r="64" spans="1:6" ht="24" customHeight="1" thickBot="1">
      <c r="A64" s="59" t="s">
        <v>117</v>
      </c>
      <c r="B64" s="59"/>
      <c r="C64" s="59"/>
      <c r="D64" s="59"/>
      <c r="E64" s="59"/>
      <c r="F64" s="59"/>
    </row>
    <row r="65" spans="1:6" ht="24" customHeight="1" thickBot="1">
      <c r="A65" s="16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6" ht="24" customHeight="1" thickBot="1">
      <c r="A66" s="16"/>
      <c r="B66" s="60" t="s">
        <v>30</v>
      </c>
      <c r="C66" s="61"/>
      <c r="D66" s="62"/>
      <c r="E66" s="18">
        <f>E62</f>
        <v>8207175</v>
      </c>
      <c r="F66" s="12"/>
    </row>
    <row r="67" spans="1:6" ht="24" customHeight="1">
      <c r="A67" s="8">
        <v>54</v>
      </c>
      <c r="B67" s="9" t="s">
        <v>220</v>
      </c>
      <c r="C67" s="9"/>
      <c r="D67" s="10"/>
      <c r="E67" s="1">
        <v>120150</v>
      </c>
      <c r="F67" s="11"/>
    </row>
    <row r="68" spans="1:6" ht="24" customHeight="1">
      <c r="A68" s="8">
        <v>55</v>
      </c>
      <c r="B68" s="9" t="s">
        <v>221</v>
      </c>
      <c r="C68" s="9"/>
      <c r="D68" s="10"/>
      <c r="E68" s="1">
        <v>16644</v>
      </c>
      <c r="F68" s="11"/>
    </row>
    <row r="69" spans="1:6" ht="24" customHeight="1">
      <c r="A69" s="8">
        <v>56</v>
      </c>
      <c r="B69" s="9" t="s">
        <v>222</v>
      </c>
      <c r="C69" s="9"/>
      <c r="D69" s="10"/>
      <c r="E69" s="1">
        <v>84100</v>
      </c>
      <c r="F69" s="11"/>
    </row>
    <row r="70" spans="1:6" ht="24" customHeight="1">
      <c r="A70" s="8">
        <v>57</v>
      </c>
      <c r="B70" s="9" t="s">
        <v>223</v>
      </c>
      <c r="C70" s="9"/>
      <c r="D70" s="10"/>
      <c r="E70" s="1">
        <v>118550</v>
      </c>
      <c r="F70" s="11"/>
    </row>
    <row r="71" spans="1:6" ht="24" customHeight="1">
      <c r="A71" s="8">
        <v>58</v>
      </c>
      <c r="B71" s="9" t="s">
        <v>223</v>
      </c>
      <c r="C71" s="9"/>
      <c r="D71" s="10"/>
      <c r="E71" s="1">
        <v>78550</v>
      </c>
      <c r="F71" s="11"/>
    </row>
    <row r="72" spans="1:6" ht="24" customHeight="1">
      <c r="A72" s="8">
        <v>59</v>
      </c>
      <c r="B72" s="9" t="s">
        <v>224</v>
      </c>
      <c r="C72" s="9"/>
      <c r="D72" s="10"/>
      <c r="E72" s="1">
        <v>469813.6</v>
      </c>
      <c r="F72" s="11"/>
    </row>
    <row r="73" spans="1:6" ht="24" customHeight="1">
      <c r="A73" s="8">
        <v>60</v>
      </c>
      <c r="B73" s="9" t="s">
        <v>224</v>
      </c>
      <c r="C73" s="9"/>
      <c r="D73" s="10"/>
      <c r="E73" s="1">
        <v>205996</v>
      </c>
      <c r="F73" s="11"/>
    </row>
    <row r="74" spans="1:6" ht="24" customHeight="1">
      <c r="A74" s="8">
        <v>61</v>
      </c>
      <c r="B74" s="9" t="s">
        <v>225</v>
      </c>
      <c r="C74" s="9"/>
      <c r="D74" s="10"/>
      <c r="E74" s="1">
        <v>24800</v>
      </c>
      <c r="F74" s="11"/>
    </row>
    <row r="75" spans="1:6" ht="24" customHeight="1">
      <c r="A75" s="8">
        <v>62</v>
      </c>
      <c r="B75" s="9" t="s">
        <v>226</v>
      </c>
      <c r="C75" s="9"/>
      <c r="D75" s="10"/>
      <c r="E75" s="1">
        <v>121584</v>
      </c>
      <c r="F75" s="11"/>
    </row>
    <row r="76" spans="1:6" ht="24" customHeight="1">
      <c r="A76" s="8">
        <v>63</v>
      </c>
      <c r="B76" s="9" t="s">
        <v>224</v>
      </c>
      <c r="C76" s="9"/>
      <c r="D76" s="10"/>
      <c r="E76" s="1">
        <v>434424</v>
      </c>
      <c r="F76" s="11"/>
    </row>
    <row r="77" spans="1:6" ht="24" customHeight="1">
      <c r="A77" s="8"/>
      <c r="B77" s="9"/>
      <c r="C77" s="9"/>
      <c r="D77" s="10"/>
      <c r="E77" s="1"/>
      <c r="F77" s="11"/>
    </row>
    <row r="78" spans="1:6" ht="24" customHeight="1">
      <c r="A78" s="8"/>
      <c r="B78" s="9"/>
      <c r="C78" s="9"/>
      <c r="D78" s="10"/>
      <c r="E78" s="1"/>
      <c r="F78" s="11"/>
    </row>
    <row r="79" spans="1:6" ht="24" customHeight="1">
      <c r="A79" s="8"/>
      <c r="B79" s="9"/>
      <c r="C79" s="9"/>
      <c r="D79" s="10"/>
      <c r="E79" s="1"/>
      <c r="F79" s="11"/>
    </row>
    <row r="80" spans="1:6" ht="24" customHeight="1">
      <c r="A80" s="8"/>
      <c r="B80" s="9"/>
      <c r="C80" s="9"/>
      <c r="D80" s="10"/>
      <c r="E80" s="1"/>
      <c r="F80" s="11"/>
    </row>
    <row r="81" spans="1:6" ht="24" customHeight="1">
      <c r="A81" s="8"/>
      <c r="B81" s="9"/>
      <c r="C81" s="9"/>
      <c r="D81" s="10"/>
      <c r="E81" s="1"/>
      <c r="F81" s="11"/>
    </row>
    <row r="82" spans="1:6" ht="24" customHeight="1">
      <c r="A82" s="8"/>
      <c r="B82" s="9"/>
      <c r="C82" s="9"/>
      <c r="D82" s="10"/>
      <c r="E82" s="1"/>
      <c r="F82" s="11"/>
    </row>
    <row r="83" spans="1:6" ht="24" customHeight="1">
      <c r="A83" s="8"/>
      <c r="B83" s="9"/>
      <c r="C83" s="9"/>
      <c r="D83" s="10"/>
      <c r="E83" s="1"/>
      <c r="F83" s="11"/>
    </row>
    <row r="84" spans="1:6" ht="24" customHeight="1">
      <c r="A84" s="8"/>
      <c r="B84" s="9"/>
      <c r="C84" s="9"/>
      <c r="D84" s="10"/>
      <c r="E84" s="1"/>
      <c r="F84" s="11"/>
    </row>
    <row r="85" spans="1:6" ht="24" customHeight="1">
      <c r="A85" s="8"/>
      <c r="B85" s="9"/>
      <c r="C85" s="9"/>
      <c r="D85" s="10"/>
      <c r="E85" s="1"/>
      <c r="F85" s="11"/>
    </row>
    <row r="86" spans="1:6" ht="24" customHeight="1">
      <c r="A86" s="8"/>
      <c r="B86" s="9"/>
      <c r="C86" s="9"/>
      <c r="D86" s="10"/>
      <c r="E86" s="1"/>
      <c r="F86" s="11"/>
    </row>
    <row r="87" spans="1:6" ht="24" customHeight="1">
      <c r="A87" s="8"/>
      <c r="B87" s="9"/>
      <c r="C87" s="9"/>
      <c r="D87" s="10"/>
      <c r="E87" s="1"/>
      <c r="F87" s="11"/>
    </row>
    <row r="88" spans="1:6" ht="24" customHeight="1">
      <c r="A88" s="8"/>
      <c r="B88" s="9"/>
      <c r="C88" s="9"/>
      <c r="D88" s="10"/>
      <c r="E88" s="1"/>
      <c r="F88" s="11"/>
    </row>
    <row r="89" spans="1:6" ht="24" customHeight="1">
      <c r="A89" s="8"/>
      <c r="B89" s="9"/>
      <c r="C89" s="9"/>
      <c r="D89" s="10"/>
      <c r="E89" s="1"/>
      <c r="F89" s="11"/>
    </row>
    <row r="90" spans="1:6" ht="24" customHeight="1">
      <c r="A90" s="8"/>
      <c r="B90" s="9"/>
      <c r="C90" s="9"/>
      <c r="D90" s="10"/>
      <c r="E90" s="1"/>
      <c r="F90" s="11"/>
    </row>
    <row r="91" spans="1:6" ht="24" customHeight="1">
      <c r="A91" s="8"/>
      <c r="B91" s="9"/>
      <c r="C91" s="9"/>
      <c r="D91" s="10"/>
      <c r="E91" s="1"/>
      <c r="F91" s="11"/>
    </row>
    <row r="92" spans="1:6" ht="24" customHeight="1" thickBot="1">
      <c r="A92" s="8"/>
      <c r="B92" s="9"/>
      <c r="C92" s="9"/>
      <c r="D92" s="10"/>
      <c r="E92" s="1"/>
      <c r="F92" s="11"/>
    </row>
    <row r="93" spans="1:6" ht="24" customHeight="1" thickBot="1">
      <c r="A93" s="12"/>
      <c r="B93" s="64" t="s">
        <v>155</v>
      </c>
      <c r="C93" s="65"/>
      <c r="D93" s="66"/>
      <c r="E93" s="18">
        <f>SUM(E66:E92)</f>
        <v>9881786.5999999996</v>
      </c>
      <c r="F93" s="12"/>
    </row>
    <row r="94" spans="1:6" ht="24" customHeight="1">
      <c r="A94" s="9"/>
      <c r="B94" s="25"/>
      <c r="C94" s="25"/>
      <c r="D94" s="25"/>
      <c r="E94" s="21"/>
      <c r="F94" s="9"/>
    </row>
    <row r="95" spans="1:6" ht="24" customHeight="1">
      <c r="A95" s="9"/>
      <c r="B95" s="25"/>
      <c r="C95" s="25"/>
      <c r="D95" s="26" t="s">
        <v>116</v>
      </c>
      <c r="E95" s="26"/>
      <c r="F95" s="26"/>
    </row>
    <row r="96" spans="1:6" ht="24" customHeight="1">
      <c r="A96" s="9"/>
      <c r="B96" s="25"/>
      <c r="C96" s="25"/>
      <c r="D96" s="25"/>
      <c r="E96" s="21"/>
      <c r="F96" s="9"/>
    </row>
    <row r="97" spans="1:7" ht="24" customHeight="1">
      <c r="A97" s="58" t="s">
        <v>119</v>
      </c>
      <c r="B97" s="58"/>
      <c r="C97" s="58"/>
      <c r="D97" s="58"/>
      <c r="E97" s="58"/>
      <c r="F97" s="58"/>
    </row>
    <row r="98" spans="1:7" ht="24" customHeight="1" thickBot="1">
      <c r="A98" s="59" t="s">
        <v>117</v>
      </c>
      <c r="B98" s="59"/>
      <c r="C98" s="59"/>
      <c r="D98" s="59"/>
      <c r="E98" s="59"/>
      <c r="F98" s="59"/>
    </row>
    <row r="99" spans="1:7" ht="24" customHeight="1" thickBot="1">
      <c r="A99" s="16" t="s">
        <v>2</v>
      </c>
      <c r="B99" s="60" t="s">
        <v>3</v>
      </c>
      <c r="C99" s="61"/>
      <c r="D99" s="62"/>
      <c r="E99" s="16" t="s">
        <v>0</v>
      </c>
      <c r="F99" s="16" t="s">
        <v>1</v>
      </c>
    </row>
    <row r="100" spans="1:7" ht="24" customHeight="1" thickBot="1">
      <c r="A100" s="16"/>
      <c r="B100" s="60" t="s">
        <v>30</v>
      </c>
      <c r="C100" s="61"/>
      <c r="D100" s="62"/>
      <c r="E100" s="13">
        <f>E95</f>
        <v>0</v>
      </c>
      <c r="F100" s="12"/>
    </row>
    <row r="101" spans="1:7" ht="24" customHeight="1">
      <c r="A101" s="8"/>
      <c r="B101" s="9"/>
      <c r="C101" s="9"/>
      <c r="D101" s="10"/>
      <c r="E101" s="1"/>
      <c r="F101" s="11"/>
    </row>
    <row r="102" spans="1:7" ht="24" customHeight="1">
      <c r="A102" s="8"/>
      <c r="B102" s="9"/>
      <c r="C102" s="9"/>
      <c r="D102" s="10"/>
      <c r="E102" s="1"/>
      <c r="F102" s="11"/>
    </row>
    <row r="103" spans="1:7" ht="24" customHeight="1">
      <c r="A103" s="8"/>
      <c r="B103" s="9"/>
      <c r="C103" s="9"/>
      <c r="D103" s="10"/>
      <c r="E103" s="1"/>
      <c r="F103" s="11"/>
    </row>
    <row r="104" spans="1:7" ht="24" customHeight="1">
      <c r="A104" s="8"/>
      <c r="B104" s="9"/>
      <c r="C104" s="9"/>
      <c r="D104" s="10"/>
      <c r="E104" s="1"/>
      <c r="F104" s="11"/>
    </row>
    <row r="105" spans="1:7" ht="24" customHeight="1">
      <c r="A105" s="8"/>
      <c r="B105" s="9"/>
      <c r="C105" s="9"/>
      <c r="D105" s="10"/>
      <c r="E105" s="1"/>
      <c r="F105" s="11"/>
      <c r="G105" s="14"/>
    </row>
    <row r="106" spans="1:7" ht="24" customHeight="1">
      <c r="A106" s="8"/>
      <c r="B106" s="9"/>
      <c r="C106" s="9"/>
      <c r="D106" s="10"/>
      <c r="E106" s="1"/>
      <c r="F106" s="11"/>
    </row>
    <row r="107" spans="1:7" ht="24" customHeight="1">
      <c r="A107" s="8"/>
      <c r="B107" s="9"/>
      <c r="C107" s="9"/>
      <c r="D107" s="10"/>
      <c r="E107" s="1"/>
      <c r="F107" s="11"/>
    </row>
    <row r="108" spans="1:7" ht="24" customHeight="1">
      <c r="A108" s="8"/>
      <c r="B108" s="9"/>
      <c r="C108" s="9"/>
      <c r="D108" s="10"/>
      <c r="E108" s="1"/>
      <c r="F108" s="11"/>
    </row>
    <row r="109" spans="1:7" ht="24" customHeight="1">
      <c r="A109" s="8"/>
      <c r="B109" s="9"/>
      <c r="C109" s="9"/>
      <c r="D109" s="10"/>
      <c r="E109" s="1"/>
      <c r="F109" s="11"/>
    </row>
    <row r="110" spans="1:7" ht="24" customHeight="1">
      <c r="A110" s="8"/>
      <c r="B110" s="9"/>
      <c r="C110" s="9"/>
      <c r="D110" s="10"/>
      <c r="E110" s="1"/>
      <c r="F110" s="11"/>
    </row>
    <row r="111" spans="1:7" ht="24" customHeight="1">
      <c r="A111" s="8"/>
      <c r="B111" s="9"/>
      <c r="C111" s="9"/>
      <c r="D111" s="10"/>
      <c r="E111" s="1"/>
      <c r="F111" s="11"/>
    </row>
    <row r="112" spans="1:7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"/>
      <c r="F116" s="11"/>
    </row>
    <row r="117" spans="1:6" ht="24" customHeight="1">
      <c r="A117" s="8"/>
      <c r="B117" s="9"/>
      <c r="C117" s="9"/>
      <c r="D117" s="10"/>
      <c r="E117" s="1"/>
      <c r="F117" s="11"/>
    </row>
    <row r="118" spans="1:6" ht="24" customHeight="1">
      <c r="A118" s="8"/>
      <c r="B118" s="9"/>
      <c r="C118" s="9"/>
      <c r="D118" s="10"/>
      <c r="E118" s="1"/>
      <c r="F118" s="11"/>
    </row>
    <row r="119" spans="1:6" ht="24" customHeight="1">
      <c r="A119" s="8"/>
      <c r="B119" s="9"/>
      <c r="C119" s="9"/>
      <c r="D119" s="10"/>
      <c r="E119" s="1"/>
      <c r="F119" s="11"/>
    </row>
    <row r="120" spans="1:6" ht="24" customHeight="1">
      <c r="A120" s="8"/>
      <c r="B120" s="9"/>
      <c r="C120" s="9"/>
      <c r="D120" s="10"/>
      <c r="E120" s="1"/>
      <c r="F120" s="11"/>
    </row>
    <row r="121" spans="1:6" ht="24" customHeight="1">
      <c r="A121" s="8"/>
      <c r="B121" s="9"/>
      <c r="C121" s="9"/>
      <c r="D121" s="10"/>
      <c r="E121" s="1"/>
      <c r="F121" s="11"/>
    </row>
    <row r="122" spans="1:6" ht="24" customHeight="1">
      <c r="A122" s="8"/>
      <c r="B122" s="9"/>
      <c r="C122" s="9"/>
      <c r="D122" s="10"/>
      <c r="E122" s="1"/>
      <c r="F122" s="11"/>
    </row>
    <row r="123" spans="1:6" ht="24" customHeight="1">
      <c r="A123" s="8"/>
      <c r="B123" s="9"/>
      <c r="C123" s="9"/>
      <c r="D123" s="10"/>
      <c r="E123" s="1"/>
      <c r="F123" s="11"/>
    </row>
    <row r="124" spans="1:6" ht="24" customHeight="1">
      <c r="A124" s="8"/>
      <c r="B124" s="9"/>
      <c r="C124" s="9"/>
      <c r="D124" s="10"/>
      <c r="E124" s="1"/>
      <c r="F124" s="11"/>
    </row>
    <row r="125" spans="1:6" ht="24" customHeight="1" thickBot="1">
      <c r="A125" s="8"/>
      <c r="B125" s="9"/>
      <c r="C125" s="9"/>
      <c r="D125" s="10"/>
      <c r="E125" s="1"/>
      <c r="F125" s="11"/>
    </row>
    <row r="126" spans="1:6" ht="24" customHeight="1" thickBot="1">
      <c r="A126" s="12"/>
      <c r="B126" s="60" t="s">
        <v>100</v>
      </c>
      <c r="C126" s="61"/>
      <c r="D126" s="62"/>
      <c r="E126" s="13">
        <f>SUM(E100:E125)</f>
        <v>0</v>
      </c>
      <c r="F126" s="12"/>
    </row>
    <row r="127" spans="1:6" ht="24" customHeight="1">
      <c r="A127" s="58" t="s">
        <v>120</v>
      </c>
      <c r="B127" s="58"/>
      <c r="C127" s="58"/>
      <c r="D127" s="58"/>
      <c r="E127" s="58"/>
      <c r="F127" s="58"/>
    </row>
    <row r="128" spans="1:6" ht="24" customHeight="1" thickBot="1">
      <c r="A128" s="59" t="s">
        <v>117</v>
      </c>
      <c r="B128" s="59"/>
      <c r="C128" s="59"/>
      <c r="D128" s="59"/>
      <c r="E128" s="59"/>
      <c r="F128" s="59"/>
    </row>
    <row r="129" spans="1:7" ht="24" customHeight="1" thickBot="1">
      <c r="A129" s="16" t="s">
        <v>2</v>
      </c>
      <c r="B129" s="60" t="s">
        <v>3</v>
      </c>
      <c r="C129" s="61"/>
      <c r="D129" s="62"/>
      <c r="E129" s="16" t="s">
        <v>0</v>
      </c>
      <c r="F129" s="16" t="s">
        <v>1</v>
      </c>
    </row>
    <row r="130" spans="1:7" ht="24" customHeight="1" thickBot="1">
      <c r="A130" s="16"/>
      <c r="B130" s="60" t="s">
        <v>30</v>
      </c>
      <c r="C130" s="61"/>
      <c r="D130" s="62"/>
      <c r="E130" s="13">
        <f>E126</f>
        <v>0</v>
      </c>
      <c r="F130" s="12"/>
    </row>
    <row r="131" spans="1:7" ht="24" customHeight="1">
      <c r="A131" s="8"/>
      <c r="B131" s="9"/>
      <c r="C131" s="9"/>
      <c r="D131" s="10"/>
      <c r="E131" s="1"/>
      <c r="F131" s="11"/>
    </row>
    <row r="132" spans="1:7" ht="24" customHeight="1">
      <c r="A132" s="8"/>
      <c r="B132" s="9"/>
      <c r="C132" s="9"/>
      <c r="D132" s="10"/>
      <c r="E132" s="1"/>
      <c r="F132" s="11"/>
    </row>
    <row r="133" spans="1:7" ht="24" customHeight="1">
      <c r="A133" s="8"/>
      <c r="B133" s="9"/>
      <c r="C133" s="9"/>
      <c r="D133" s="10"/>
      <c r="E133" s="1"/>
      <c r="F133" s="11"/>
    </row>
    <row r="134" spans="1:7" ht="24" customHeight="1">
      <c r="A134" s="8"/>
      <c r="B134" s="9"/>
      <c r="C134" s="9"/>
      <c r="D134" s="10"/>
      <c r="E134" s="1"/>
      <c r="F134" s="11"/>
    </row>
    <row r="135" spans="1:7" ht="24" customHeight="1">
      <c r="A135" s="8"/>
      <c r="B135" s="9"/>
      <c r="C135" s="9"/>
      <c r="D135" s="10"/>
      <c r="E135" s="1"/>
      <c r="F135" s="11"/>
      <c r="G135" s="14"/>
    </row>
    <row r="136" spans="1:7" ht="24" customHeight="1">
      <c r="A136" s="8"/>
      <c r="B136" s="9"/>
      <c r="C136" s="9"/>
      <c r="D136" s="10"/>
      <c r="E136" s="1"/>
      <c r="F136" s="11"/>
    </row>
    <row r="137" spans="1:7" ht="24" customHeight="1">
      <c r="A137" s="8"/>
      <c r="B137" s="9"/>
      <c r="C137" s="9"/>
      <c r="D137" s="10"/>
      <c r="E137" s="1"/>
      <c r="F137" s="11"/>
    </row>
    <row r="138" spans="1:7" ht="24" customHeight="1">
      <c r="A138" s="8"/>
      <c r="B138" s="9"/>
      <c r="C138" s="9"/>
      <c r="D138" s="10"/>
      <c r="E138" s="1"/>
      <c r="F138" s="11"/>
    </row>
    <row r="139" spans="1:7" ht="24" customHeight="1">
      <c r="A139" s="8"/>
      <c r="B139" s="9"/>
      <c r="C139" s="9"/>
      <c r="D139" s="10"/>
      <c r="E139" s="1"/>
      <c r="F139" s="11"/>
    </row>
    <row r="140" spans="1:7" ht="24" customHeight="1">
      <c r="A140" s="8"/>
      <c r="B140" s="9"/>
      <c r="C140" s="9"/>
      <c r="D140" s="10"/>
      <c r="E140" s="1"/>
      <c r="F140" s="11"/>
    </row>
    <row r="141" spans="1:7" ht="24" customHeight="1">
      <c r="A141" s="8"/>
      <c r="B141" s="9"/>
      <c r="C141" s="9"/>
      <c r="D141" s="10"/>
      <c r="E141" s="15"/>
      <c r="F141" s="11"/>
    </row>
    <row r="142" spans="1:7" ht="24" customHeight="1">
      <c r="A142" s="8"/>
      <c r="B142" s="9"/>
      <c r="C142" s="9"/>
      <c r="D142" s="10"/>
      <c r="E142" s="1"/>
      <c r="F142" s="11"/>
    </row>
    <row r="143" spans="1:7" ht="24" customHeight="1">
      <c r="A143" s="8"/>
      <c r="B143" s="9"/>
      <c r="C143" s="9"/>
      <c r="D143" s="10"/>
      <c r="E143" s="1"/>
      <c r="F143" s="11"/>
    </row>
    <row r="144" spans="1:7" ht="24" customHeight="1">
      <c r="A144" s="8"/>
      <c r="B144" s="9"/>
      <c r="C144" s="9"/>
      <c r="D144" s="10"/>
      <c r="E144" s="1"/>
      <c r="F144" s="11"/>
    </row>
    <row r="145" spans="1:13" ht="24" customHeight="1">
      <c r="A145" s="8"/>
      <c r="B145" s="9"/>
      <c r="C145" s="9"/>
      <c r="D145" s="10"/>
      <c r="E145" s="1"/>
      <c r="F145" s="11"/>
    </row>
    <row r="146" spans="1:13" ht="24" customHeight="1">
      <c r="A146" s="8"/>
      <c r="B146" s="9"/>
      <c r="C146" s="9"/>
      <c r="D146" s="10"/>
      <c r="E146" s="1"/>
      <c r="F146" s="11"/>
    </row>
    <row r="147" spans="1:13" ht="24" customHeight="1">
      <c r="A147" s="8"/>
      <c r="B147" s="9"/>
      <c r="C147" s="9"/>
      <c r="D147" s="10"/>
      <c r="E147" s="1"/>
      <c r="F147" s="11"/>
    </row>
    <row r="148" spans="1:13" ht="24" customHeight="1">
      <c r="A148" s="8"/>
      <c r="B148" s="9"/>
      <c r="C148" s="9"/>
      <c r="D148" s="10"/>
      <c r="E148" s="1"/>
      <c r="F148" s="11"/>
    </row>
    <row r="149" spans="1:13" ht="24" customHeight="1">
      <c r="A149" s="8"/>
      <c r="B149" s="9"/>
      <c r="C149" s="9"/>
      <c r="D149" s="10"/>
      <c r="E149" s="1"/>
      <c r="F149" s="11"/>
      <c r="K149" s="14"/>
      <c r="M149" s="14"/>
    </row>
    <row r="150" spans="1:13" ht="24" customHeight="1">
      <c r="A150" s="8"/>
      <c r="B150" s="9"/>
      <c r="C150" s="9"/>
      <c r="D150" s="10"/>
      <c r="E150" s="1"/>
      <c r="F150" s="11"/>
    </row>
    <row r="151" spans="1:13" ht="24" customHeight="1">
      <c r="A151" s="8"/>
      <c r="B151" s="9"/>
      <c r="C151" s="9"/>
      <c r="D151" s="10"/>
      <c r="E151" s="1"/>
      <c r="F151" s="11"/>
      <c r="K151" s="14"/>
      <c r="M151" s="14"/>
    </row>
    <row r="152" spans="1:13" ht="24" customHeight="1" thickBot="1">
      <c r="A152" s="8"/>
      <c r="B152" s="9"/>
      <c r="C152" s="9"/>
      <c r="D152" s="10"/>
      <c r="E152" s="1"/>
      <c r="F152" s="11"/>
    </row>
    <row r="153" spans="1:13" ht="24" customHeight="1" thickBot="1">
      <c r="A153" s="12"/>
      <c r="B153" s="60" t="s">
        <v>4</v>
      </c>
      <c r="C153" s="61"/>
      <c r="D153" s="62"/>
      <c r="E153" s="18"/>
      <c r="F153" s="12"/>
    </row>
    <row r="156" spans="1:13" ht="24" customHeight="1">
      <c r="D156" s="63" t="s">
        <v>116</v>
      </c>
      <c r="E156" s="63"/>
      <c r="F156" s="63"/>
    </row>
  </sheetData>
  <mergeCells count="25">
    <mergeCell ref="B99:D99"/>
    <mergeCell ref="B153:D153"/>
    <mergeCell ref="D156:F156"/>
    <mergeCell ref="B100:D100"/>
    <mergeCell ref="B126:D126"/>
    <mergeCell ref="A127:F127"/>
    <mergeCell ref="A128:F128"/>
    <mergeCell ref="B129:D129"/>
    <mergeCell ref="B130:D130"/>
    <mergeCell ref="B34:D34"/>
    <mergeCell ref="B35:D35"/>
    <mergeCell ref="B62:D62"/>
    <mergeCell ref="A97:F97"/>
    <mergeCell ref="A98:F98"/>
    <mergeCell ref="B93:D93"/>
    <mergeCell ref="B66:D66"/>
    <mergeCell ref="B65:D65"/>
    <mergeCell ref="A64:F64"/>
    <mergeCell ref="A63:F63"/>
    <mergeCell ref="A33:F33"/>
    <mergeCell ref="A1:F1"/>
    <mergeCell ref="A2:F2"/>
    <mergeCell ref="B3:D3"/>
    <mergeCell ref="B31:D31"/>
    <mergeCell ref="A32:F3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2"/>
  <sheetViews>
    <sheetView workbookViewId="0">
      <selection activeCell="B51" sqref="B51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190</v>
      </c>
      <c r="B1" s="58"/>
      <c r="C1" s="58"/>
      <c r="D1" s="58"/>
      <c r="E1" s="58"/>
      <c r="F1" s="58"/>
    </row>
    <row r="2" spans="1:6" ht="24" customHeight="1" thickBot="1">
      <c r="A2" s="59" t="s">
        <v>117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47</v>
      </c>
      <c r="C4" s="4"/>
      <c r="D4" s="5"/>
      <c r="E4" s="6">
        <v>18710</v>
      </c>
      <c r="F4" s="7"/>
    </row>
    <row r="5" spans="1:6" ht="24" customHeight="1">
      <c r="A5" s="8">
        <v>2</v>
      </c>
      <c r="B5" s="9" t="s">
        <v>48</v>
      </c>
      <c r="C5" s="9"/>
      <c r="D5" s="10"/>
      <c r="E5" s="1">
        <v>78789</v>
      </c>
      <c r="F5" s="11"/>
    </row>
    <row r="6" spans="1:6" ht="24" customHeight="1">
      <c r="A6" s="8">
        <v>3</v>
      </c>
      <c r="B6" s="9" t="s">
        <v>15</v>
      </c>
      <c r="C6" s="9"/>
      <c r="D6" s="10"/>
      <c r="E6" s="1">
        <v>7051</v>
      </c>
      <c r="F6" s="11"/>
    </row>
    <row r="7" spans="1:6" ht="24" customHeight="1">
      <c r="A7" s="8">
        <v>4</v>
      </c>
      <c r="B7" s="9" t="s">
        <v>99</v>
      </c>
      <c r="C7" s="9"/>
      <c r="D7" s="10"/>
      <c r="E7" s="1">
        <v>9057</v>
      </c>
      <c r="F7" s="11"/>
    </row>
    <row r="8" spans="1:6" ht="24" customHeight="1">
      <c r="A8" s="8">
        <v>5</v>
      </c>
      <c r="B8" s="9" t="s">
        <v>192</v>
      </c>
      <c r="C8" s="9"/>
      <c r="D8" s="10"/>
      <c r="E8" s="1">
        <v>21006</v>
      </c>
      <c r="F8" s="11"/>
    </row>
    <row r="9" spans="1:6" ht="24" customHeight="1">
      <c r="A9" s="8">
        <v>6</v>
      </c>
      <c r="B9" s="9" t="s">
        <v>193</v>
      </c>
      <c r="C9" s="9"/>
      <c r="D9" s="10"/>
      <c r="E9" s="1">
        <v>16972</v>
      </c>
      <c r="F9" s="11"/>
    </row>
    <row r="10" spans="1:6" ht="24" customHeight="1">
      <c r="A10" s="8">
        <v>7</v>
      </c>
      <c r="B10" s="9" t="s">
        <v>194</v>
      </c>
      <c r="C10" s="9"/>
      <c r="D10" s="10"/>
      <c r="E10" s="1">
        <v>4891</v>
      </c>
      <c r="F10" s="11"/>
    </row>
    <row r="11" spans="1:6" ht="24" customHeight="1">
      <c r="A11" s="8">
        <v>8</v>
      </c>
      <c r="B11" s="9" t="s">
        <v>195</v>
      </c>
      <c r="C11" s="9"/>
      <c r="D11" s="10"/>
      <c r="E11" s="1">
        <v>18598</v>
      </c>
      <c r="F11" s="11"/>
    </row>
    <row r="12" spans="1:6" ht="24" customHeight="1">
      <c r="A12" s="8">
        <v>9</v>
      </c>
      <c r="B12" s="9" t="s">
        <v>196</v>
      </c>
      <c r="C12" s="9"/>
      <c r="D12" s="10"/>
      <c r="E12" s="1">
        <v>39147</v>
      </c>
      <c r="F12" s="11"/>
    </row>
    <row r="13" spans="1:6" ht="24" customHeight="1">
      <c r="A13" s="8">
        <v>10</v>
      </c>
      <c r="B13" s="9" t="s">
        <v>197</v>
      </c>
      <c r="C13" s="9"/>
      <c r="D13" s="10"/>
      <c r="E13" s="1">
        <v>6117</v>
      </c>
      <c r="F13" s="11"/>
    </row>
    <row r="14" spans="1:6" ht="24" customHeight="1">
      <c r="A14" s="8">
        <v>11</v>
      </c>
      <c r="B14" s="9" t="s">
        <v>111</v>
      </c>
      <c r="C14" s="9"/>
      <c r="D14" s="10"/>
      <c r="E14" s="1">
        <v>979</v>
      </c>
      <c r="F14" s="11"/>
    </row>
    <row r="15" spans="1:6" ht="24" customHeight="1">
      <c r="A15" s="8">
        <v>12</v>
      </c>
      <c r="B15" s="9" t="s">
        <v>19</v>
      </c>
      <c r="C15" s="9"/>
      <c r="D15" s="10"/>
      <c r="E15" s="1">
        <v>3658</v>
      </c>
      <c r="F15" s="11"/>
    </row>
    <row r="16" spans="1:6" ht="24" customHeight="1">
      <c r="A16" s="8">
        <v>13</v>
      </c>
      <c r="B16" s="9" t="s">
        <v>42</v>
      </c>
      <c r="C16" s="9"/>
      <c r="D16" s="10"/>
      <c r="E16" s="1">
        <v>29954</v>
      </c>
      <c r="F16" s="11"/>
    </row>
    <row r="17" spans="1:6" ht="24" customHeight="1">
      <c r="A17" s="8">
        <v>14</v>
      </c>
      <c r="B17" s="9" t="s">
        <v>205</v>
      </c>
      <c r="C17" s="9"/>
      <c r="D17" s="10"/>
      <c r="E17" s="1">
        <v>487</v>
      </c>
      <c r="F17" s="11"/>
    </row>
    <row r="18" spans="1:6" ht="24" customHeight="1">
      <c r="A18" s="8">
        <v>15</v>
      </c>
      <c r="B18" s="9" t="s">
        <v>198</v>
      </c>
      <c r="C18" s="9"/>
      <c r="D18" s="10"/>
      <c r="E18" s="1">
        <v>6584</v>
      </c>
      <c r="F18" s="11"/>
    </row>
    <row r="19" spans="1:6" ht="24" customHeight="1">
      <c r="A19" s="8">
        <v>16</v>
      </c>
      <c r="B19" s="9" t="s">
        <v>14</v>
      </c>
      <c r="C19" s="9"/>
      <c r="D19" s="10"/>
      <c r="E19" s="1">
        <v>9788</v>
      </c>
      <c r="F19" s="11"/>
    </row>
    <row r="20" spans="1:6" ht="24" customHeight="1">
      <c r="A20" s="8">
        <v>17</v>
      </c>
      <c r="B20" s="9" t="s">
        <v>200</v>
      </c>
      <c r="C20" s="9"/>
      <c r="D20" s="10"/>
      <c r="E20" s="1">
        <v>5374</v>
      </c>
      <c r="F20" s="11"/>
    </row>
    <row r="21" spans="1:6" ht="24" customHeight="1">
      <c r="A21" s="8">
        <v>18</v>
      </c>
      <c r="B21" s="9" t="s">
        <v>201</v>
      </c>
      <c r="C21" s="9"/>
      <c r="D21" s="10"/>
      <c r="E21" s="1">
        <v>2940</v>
      </c>
      <c r="F21" s="11"/>
    </row>
    <row r="22" spans="1:6" ht="24" customHeight="1">
      <c r="A22" s="8">
        <v>19</v>
      </c>
      <c r="B22" s="9" t="s">
        <v>202</v>
      </c>
      <c r="C22" s="9"/>
      <c r="D22" s="10"/>
      <c r="E22" s="1">
        <v>12250</v>
      </c>
      <c r="F22" s="11"/>
    </row>
    <row r="23" spans="1:6" ht="24" customHeight="1">
      <c r="A23" s="8">
        <v>20</v>
      </c>
      <c r="B23" s="9" t="s">
        <v>203</v>
      </c>
      <c r="C23" s="9"/>
      <c r="D23" s="10"/>
      <c r="E23" s="1">
        <v>1470</v>
      </c>
      <c r="F23" s="11"/>
    </row>
    <row r="24" spans="1:6" ht="24" customHeight="1">
      <c r="A24" s="8">
        <v>21</v>
      </c>
      <c r="B24" s="9" t="s">
        <v>204</v>
      </c>
      <c r="C24" s="9"/>
      <c r="D24" s="10"/>
      <c r="E24" s="1">
        <v>15198</v>
      </c>
      <c r="F24" s="11"/>
    </row>
    <row r="25" spans="1:6" ht="24" customHeight="1">
      <c r="A25" s="8">
        <v>22</v>
      </c>
      <c r="B25" s="9" t="s">
        <v>21</v>
      </c>
      <c r="C25" s="9"/>
      <c r="D25" s="10"/>
      <c r="E25" s="1">
        <v>13712</v>
      </c>
      <c r="F25" s="11"/>
    </row>
    <row r="26" spans="1:6" ht="24" customHeight="1">
      <c r="A26" s="8">
        <v>23</v>
      </c>
      <c r="B26" s="9" t="s">
        <v>205</v>
      </c>
      <c r="C26" s="9"/>
      <c r="D26" s="10"/>
      <c r="E26" s="1">
        <v>2937</v>
      </c>
      <c r="F26" s="11"/>
    </row>
    <row r="27" spans="1:6" ht="24" customHeight="1">
      <c r="A27" s="8">
        <v>24</v>
      </c>
      <c r="B27" s="9" t="s">
        <v>43</v>
      </c>
      <c r="C27" s="9"/>
      <c r="D27" s="10"/>
      <c r="E27" s="1">
        <v>101775</v>
      </c>
      <c r="F27" s="11"/>
    </row>
    <row r="28" spans="1:6" ht="24" customHeight="1">
      <c r="A28" s="8">
        <v>25</v>
      </c>
      <c r="B28" s="9" t="s">
        <v>43</v>
      </c>
      <c r="C28" s="9"/>
      <c r="D28" s="10"/>
      <c r="E28" s="1">
        <v>20540</v>
      </c>
      <c r="F28" s="11"/>
    </row>
    <row r="29" spans="1:6" ht="24" customHeight="1">
      <c r="A29" s="8">
        <v>26</v>
      </c>
      <c r="B29" s="9" t="s">
        <v>206</v>
      </c>
      <c r="C29" s="9"/>
      <c r="D29" s="10"/>
      <c r="E29" s="1">
        <v>10225</v>
      </c>
      <c r="F29" s="11"/>
    </row>
    <row r="30" spans="1:6" ht="24" customHeight="1" thickBot="1">
      <c r="A30" s="8">
        <v>27</v>
      </c>
      <c r="B30" s="9" t="s">
        <v>199</v>
      </c>
      <c r="C30" s="9"/>
      <c r="D30" s="10"/>
      <c r="E30" s="1">
        <v>5000</v>
      </c>
      <c r="F30" s="11"/>
    </row>
    <row r="31" spans="1:6" ht="24" customHeight="1" thickBot="1">
      <c r="A31" s="12"/>
      <c r="B31" s="60" t="s">
        <v>100</v>
      </c>
      <c r="C31" s="61"/>
      <c r="D31" s="62"/>
      <c r="E31" s="13">
        <f>SUM(E4:E30)</f>
        <v>463209</v>
      </c>
      <c r="F31" s="12"/>
    </row>
    <row r="32" spans="1:6" ht="24" customHeight="1">
      <c r="A32" s="58" t="s">
        <v>191</v>
      </c>
      <c r="B32" s="58"/>
      <c r="C32" s="58"/>
      <c r="D32" s="58"/>
      <c r="E32" s="58"/>
      <c r="F32" s="58"/>
    </row>
    <row r="33" spans="1:6" ht="24" customHeight="1" thickBot="1">
      <c r="A33" s="59" t="s">
        <v>117</v>
      </c>
      <c r="B33" s="59"/>
      <c r="C33" s="59"/>
      <c r="D33" s="59"/>
      <c r="E33" s="59"/>
      <c r="F33" s="59"/>
    </row>
    <row r="34" spans="1:6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6" ht="24" customHeight="1" thickBot="1">
      <c r="A35" s="16"/>
      <c r="B35" s="60" t="s">
        <v>30</v>
      </c>
      <c r="C35" s="61"/>
      <c r="D35" s="62"/>
      <c r="E35" s="13">
        <f>E31</f>
        <v>463209</v>
      </c>
      <c r="F35" s="12"/>
    </row>
    <row r="36" spans="1:6" ht="24" customHeight="1">
      <c r="A36" s="8">
        <v>28</v>
      </c>
      <c r="B36" s="9" t="s">
        <v>207</v>
      </c>
      <c r="C36" s="9"/>
      <c r="D36" s="10"/>
      <c r="E36" s="1">
        <v>6363</v>
      </c>
      <c r="F36" s="11"/>
    </row>
    <row r="37" spans="1:6" ht="24" customHeight="1">
      <c r="A37" s="8">
        <v>29</v>
      </c>
      <c r="B37" s="9" t="s">
        <v>48</v>
      </c>
      <c r="C37" s="9"/>
      <c r="D37" s="10"/>
      <c r="E37" s="15">
        <v>118297</v>
      </c>
      <c r="F37" s="11"/>
    </row>
    <row r="38" spans="1:6" ht="24" customHeight="1">
      <c r="A38" s="8">
        <v>30</v>
      </c>
      <c r="B38" s="9" t="s">
        <v>208</v>
      </c>
      <c r="C38" s="9"/>
      <c r="D38" s="10"/>
      <c r="E38" s="1">
        <v>16152</v>
      </c>
      <c r="F38" s="11"/>
    </row>
    <row r="39" spans="1:6" ht="24" customHeight="1">
      <c r="A39" s="8">
        <v>31</v>
      </c>
      <c r="B39" s="9" t="s">
        <v>209</v>
      </c>
      <c r="C39" s="9"/>
      <c r="D39" s="10"/>
      <c r="E39" s="1">
        <v>14674</v>
      </c>
      <c r="F39" s="11"/>
    </row>
    <row r="40" spans="1:6" ht="24" customHeight="1">
      <c r="A40" s="8">
        <v>32</v>
      </c>
      <c r="B40" s="9" t="s">
        <v>210</v>
      </c>
      <c r="C40" s="9"/>
      <c r="D40" s="10"/>
      <c r="E40" s="1">
        <v>14673</v>
      </c>
      <c r="F40" s="11"/>
    </row>
    <row r="41" spans="1:6" ht="24" customHeight="1">
      <c r="A41" s="8">
        <v>33</v>
      </c>
      <c r="B41" s="9" t="s">
        <v>98</v>
      </c>
      <c r="C41" s="9"/>
      <c r="D41" s="10"/>
      <c r="E41" s="1">
        <v>70998</v>
      </c>
      <c r="F41" s="11"/>
    </row>
    <row r="42" spans="1:6" ht="24" customHeight="1">
      <c r="A42" s="8">
        <v>34</v>
      </c>
      <c r="B42" s="9" t="s">
        <v>211</v>
      </c>
      <c r="C42" s="9"/>
      <c r="D42" s="10"/>
      <c r="E42" s="1">
        <v>42561</v>
      </c>
      <c r="F42" s="11"/>
    </row>
    <row r="43" spans="1:6" ht="24" customHeight="1">
      <c r="A43" s="8">
        <v>35</v>
      </c>
      <c r="B43" s="9" t="s">
        <v>212</v>
      </c>
      <c r="C43" s="9"/>
      <c r="D43" s="10"/>
      <c r="E43" s="1">
        <v>21136</v>
      </c>
      <c r="F43" s="11"/>
    </row>
    <row r="44" spans="1:6" ht="24" customHeight="1">
      <c r="A44" s="8">
        <v>36</v>
      </c>
      <c r="B44" s="9" t="s">
        <v>96</v>
      </c>
      <c r="C44" s="9"/>
      <c r="D44" s="10"/>
      <c r="E44" s="1">
        <v>24462</v>
      </c>
      <c r="F44" s="11"/>
    </row>
    <row r="45" spans="1:6" ht="24" customHeight="1">
      <c r="A45" s="8">
        <v>37</v>
      </c>
      <c r="B45" s="9" t="s">
        <v>213</v>
      </c>
      <c r="C45" s="9"/>
      <c r="D45" s="10"/>
      <c r="E45" s="1">
        <v>1461</v>
      </c>
      <c r="F45" s="11"/>
    </row>
    <row r="46" spans="1:6" ht="24" customHeight="1">
      <c r="A46" s="8">
        <v>38</v>
      </c>
      <c r="B46" s="9" t="s">
        <v>214</v>
      </c>
      <c r="C46" s="9"/>
      <c r="D46" s="10"/>
      <c r="E46" s="1">
        <v>8811</v>
      </c>
      <c r="F46" s="11"/>
    </row>
    <row r="47" spans="1:6" ht="24" customHeight="1">
      <c r="A47" s="8">
        <v>39</v>
      </c>
      <c r="B47" s="9" t="s">
        <v>45</v>
      </c>
      <c r="C47" s="9"/>
      <c r="D47" s="10"/>
      <c r="E47" s="1">
        <v>23486</v>
      </c>
      <c r="F47" s="11"/>
    </row>
    <row r="48" spans="1:6" ht="24" customHeight="1">
      <c r="A48" s="8">
        <v>40</v>
      </c>
      <c r="B48" s="9" t="s">
        <v>79</v>
      </c>
      <c r="C48" s="9"/>
      <c r="D48" s="10"/>
      <c r="E48" s="1">
        <v>126224</v>
      </c>
      <c r="F48" s="11"/>
    </row>
    <row r="49" spans="1:6" ht="24" customHeight="1">
      <c r="A49" s="8">
        <v>41</v>
      </c>
      <c r="B49" s="9" t="s">
        <v>215</v>
      </c>
      <c r="C49" s="9"/>
      <c r="D49" s="10"/>
      <c r="E49" s="1">
        <v>8808</v>
      </c>
      <c r="F49" s="11"/>
    </row>
    <row r="50" spans="1:6" ht="24" customHeight="1">
      <c r="A50" s="8">
        <v>42</v>
      </c>
      <c r="B50" s="9" t="s">
        <v>74</v>
      </c>
      <c r="C50" s="9"/>
      <c r="D50" s="10"/>
      <c r="E50" s="1">
        <v>19260</v>
      </c>
      <c r="F50" s="11"/>
    </row>
    <row r="51" spans="1:6" ht="24" customHeight="1">
      <c r="A51" s="8">
        <v>43</v>
      </c>
      <c r="B51" s="9"/>
      <c r="C51" s="9"/>
      <c r="D51" s="10"/>
      <c r="E51" s="1"/>
      <c r="F51" s="11"/>
    </row>
    <row r="52" spans="1:6" ht="24" customHeight="1">
      <c r="A52" s="8">
        <v>44</v>
      </c>
      <c r="B52" s="9"/>
      <c r="C52" s="9"/>
      <c r="D52" s="10"/>
      <c r="E52" s="1"/>
      <c r="F52" s="11"/>
    </row>
    <row r="53" spans="1:6" ht="24" customHeight="1">
      <c r="A53" s="8">
        <v>45</v>
      </c>
      <c r="B53" s="9"/>
      <c r="C53" s="9"/>
      <c r="D53" s="10"/>
      <c r="E53" s="1"/>
      <c r="F53" s="11"/>
    </row>
    <row r="54" spans="1:6" ht="24" customHeight="1">
      <c r="A54" s="8">
        <v>46</v>
      </c>
      <c r="B54" s="9"/>
      <c r="C54" s="9"/>
      <c r="D54" s="10"/>
      <c r="E54" s="1"/>
      <c r="F54" s="11"/>
    </row>
    <row r="55" spans="1:6" ht="24" customHeight="1">
      <c r="A55" s="8">
        <v>47</v>
      </c>
      <c r="B55" s="9"/>
      <c r="C55" s="9"/>
      <c r="D55" s="10"/>
      <c r="E55" s="1"/>
      <c r="F55" s="11"/>
    </row>
    <row r="56" spans="1:6" ht="24" customHeight="1">
      <c r="A56" s="8">
        <v>48</v>
      </c>
      <c r="B56" s="9"/>
      <c r="C56" s="9"/>
      <c r="D56" s="10"/>
      <c r="E56" s="1"/>
      <c r="F56" s="11"/>
    </row>
    <row r="57" spans="1:6" ht="24" customHeight="1">
      <c r="A57" s="8"/>
      <c r="B57" s="9"/>
      <c r="C57" s="9"/>
      <c r="D57" s="10"/>
      <c r="E57" s="1"/>
      <c r="F57" s="11"/>
    </row>
    <row r="58" spans="1:6" ht="24" customHeight="1" thickBot="1">
      <c r="A58" s="8"/>
      <c r="B58" s="9"/>
      <c r="C58" s="9"/>
      <c r="D58" s="10"/>
      <c r="E58" s="1"/>
      <c r="F58" s="11"/>
    </row>
    <row r="59" spans="1:6" ht="24" customHeight="1" thickBot="1">
      <c r="A59" s="12"/>
      <c r="B59" s="64" t="s">
        <v>155</v>
      </c>
      <c r="C59" s="65"/>
      <c r="D59" s="66"/>
      <c r="E59" s="18">
        <f>SUM(E35:E58)</f>
        <v>980575</v>
      </c>
      <c r="F59" s="12"/>
    </row>
    <row r="60" spans="1:6" ht="24" customHeight="1">
      <c r="A60" s="9"/>
      <c r="B60" s="23"/>
      <c r="C60" s="23"/>
      <c r="D60" s="23"/>
      <c r="E60" s="21"/>
      <c r="F60" s="9"/>
    </row>
    <row r="61" spans="1:6" ht="24" customHeight="1">
      <c r="A61" s="9"/>
      <c r="B61" s="23"/>
      <c r="C61" s="23"/>
      <c r="D61" s="63" t="s">
        <v>116</v>
      </c>
      <c r="E61" s="63"/>
      <c r="F61" s="63"/>
    </row>
    <row r="62" spans="1:6" ht="24" customHeight="1">
      <c r="A62" s="9"/>
      <c r="B62" s="23"/>
      <c r="C62" s="23"/>
      <c r="D62" s="22"/>
      <c r="E62" s="22"/>
      <c r="F62" s="22"/>
    </row>
    <row r="63" spans="1:6" ht="24" customHeight="1">
      <c r="A63" s="58" t="s">
        <v>119</v>
      </c>
      <c r="B63" s="58"/>
      <c r="C63" s="58"/>
      <c r="D63" s="58"/>
      <c r="E63" s="58"/>
      <c r="F63" s="58"/>
    </row>
    <row r="64" spans="1:6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24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E59</f>
        <v>980575</v>
      </c>
      <c r="F66" s="12"/>
    </row>
    <row r="67" spans="1:7" ht="24" customHeight="1">
      <c r="A67" s="8"/>
      <c r="B67" s="9"/>
      <c r="C67" s="9"/>
      <c r="D67" s="10"/>
      <c r="E67" s="1"/>
      <c r="F67" s="11"/>
    </row>
    <row r="68" spans="1:7" ht="24" customHeight="1">
      <c r="A68" s="8"/>
      <c r="B68" s="9"/>
      <c r="C68" s="9"/>
      <c r="D68" s="10"/>
      <c r="E68" s="1"/>
      <c r="F68" s="11"/>
    </row>
    <row r="69" spans="1:7" ht="24" customHeight="1">
      <c r="A69" s="8"/>
      <c r="B69" s="9"/>
      <c r="C69" s="9"/>
      <c r="D69" s="10"/>
      <c r="E69" s="1"/>
      <c r="F69" s="11"/>
    </row>
    <row r="70" spans="1:7" ht="24" customHeight="1">
      <c r="A70" s="8"/>
      <c r="B70" s="9"/>
      <c r="C70" s="9"/>
      <c r="D70" s="10"/>
      <c r="E70" s="1"/>
      <c r="F70" s="11"/>
    </row>
    <row r="71" spans="1:7" ht="24" customHeight="1">
      <c r="A71" s="8"/>
      <c r="B71" s="9"/>
      <c r="C71" s="9"/>
      <c r="D71" s="10"/>
      <c r="E71" s="1"/>
      <c r="F71" s="11"/>
      <c r="G71" s="14"/>
    </row>
    <row r="72" spans="1:7" ht="24" customHeight="1">
      <c r="A72" s="8"/>
      <c r="B72" s="9"/>
      <c r="C72" s="9"/>
      <c r="D72" s="10"/>
      <c r="E72" s="1"/>
      <c r="F72" s="11"/>
    </row>
    <row r="73" spans="1:7" ht="24" customHeight="1">
      <c r="A73" s="8"/>
      <c r="B73" s="9"/>
      <c r="C73" s="9"/>
      <c r="D73" s="10"/>
      <c r="E73" s="1"/>
      <c r="F73" s="11"/>
    </row>
    <row r="74" spans="1:7" ht="24" customHeight="1">
      <c r="A74" s="8"/>
      <c r="B74" s="9"/>
      <c r="C74" s="9"/>
      <c r="D74" s="10"/>
      <c r="E74" s="1"/>
      <c r="F74" s="11"/>
    </row>
    <row r="75" spans="1:7" ht="24" customHeight="1">
      <c r="A75" s="8"/>
      <c r="B75" s="9"/>
      <c r="C75" s="9"/>
      <c r="D75" s="10"/>
      <c r="E75" s="1"/>
      <c r="F75" s="11"/>
    </row>
    <row r="76" spans="1:7" ht="24" customHeight="1">
      <c r="A76" s="8"/>
      <c r="B76" s="9"/>
      <c r="C76" s="9"/>
      <c r="D76" s="10"/>
      <c r="E76" s="1"/>
      <c r="F76" s="11"/>
    </row>
    <row r="77" spans="1:7" ht="24" customHeight="1">
      <c r="A77" s="8"/>
      <c r="B77" s="9"/>
      <c r="C77" s="9"/>
      <c r="D77" s="10"/>
      <c r="E77" s="1"/>
      <c r="F77" s="11"/>
    </row>
    <row r="78" spans="1:7" ht="24" customHeight="1">
      <c r="A78" s="8"/>
      <c r="B78" s="9"/>
      <c r="C78" s="9"/>
      <c r="D78" s="10"/>
      <c r="E78" s="1"/>
      <c r="F78" s="11"/>
    </row>
    <row r="79" spans="1:7" ht="24" customHeight="1">
      <c r="A79" s="8"/>
      <c r="B79" s="9"/>
      <c r="C79" s="9"/>
      <c r="D79" s="10"/>
      <c r="E79" s="1"/>
      <c r="F79" s="11"/>
    </row>
    <row r="80" spans="1:7" ht="24" customHeight="1">
      <c r="A80" s="8"/>
      <c r="B80" s="9"/>
      <c r="C80" s="9"/>
      <c r="D80" s="10"/>
      <c r="E80" s="1"/>
      <c r="F80" s="11"/>
    </row>
    <row r="81" spans="1:6" ht="24" customHeight="1">
      <c r="A81" s="8"/>
      <c r="B81" s="9"/>
      <c r="C81" s="9"/>
      <c r="D81" s="10"/>
      <c r="E81" s="1"/>
      <c r="F81" s="11"/>
    </row>
    <row r="82" spans="1:6" ht="24" customHeight="1">
      <c r="A82" s="8"/>
      <c r="B82" s="9"/>
      <c r="C82" s="9"/>
      <c r="D82" s="10"/>
      <c r="E82" s="1"/>
      <c r="F82" s="11"/>
    </row>
    <row r="83" spans="1:6" ht="24" customHeight="1">
      <c r="A83" s="8"/>
      <c r="B83" s="9"/>
      <c r="C83" s="9"/>
      <c r="D83" s="10"/>
      <c r="E83" s="1"/>
      <c r="F83" s="11"/>
    </row>
    <row r="84" spans="1:6" ht="24" customHeight="1">
      <c r="A84" s="8"/>
      <c r="B84" s="9"/>
      <c r="C84" s="9"/>
      <c r="D84" s="10"/>
      <c r="E84" s="1"/>
      <c r="F84" s="11"/>
    </row>
    <row r="85" spans="1:6" ht="24" customHeight="1">
      <c r="A85" s="8"/>
      <c r="B85" s="9"/>
      <c r="C85" s="9"/>
      <c r="D85" s="10"/>
      <c r="E85" s="1"/>
      <c r="F85" s="11"/>
    </row>
    <row r="86" spans="1:6" ht="24" customHeight="1">
      <c r="A86" s="8"/>
      <c r="B86" s="9"/>
      <c r="C86" s="9"/>
      <c r="D86" s="10"/>
      <c r="E86" s="1"/>
      <c r="F86" s="11"/>
    </row>
    <row r="87" spans="1:6" ht="24" customHeight="1">
      <c r="A87" s="8"/>
      <c r="B87" s="9"/>
      <c r="C87" s="9"/>
      <c r="D87" s="10"/>
      <c r="E87" s="1"/>
      <c r="F87" s="11"/>
    </row>
    <row r="88" spans="1:6" ht="24" customHeight="1">
      <c r="A88" s="8"/>
      <c r="B88" s="9"/>
      <c r="C88" s="9"/>
      <c r="D88" s="10"/>
      <c r="E88" s="1"/>
      <c r="F88" s="11"/>
    </row>
    <row r="89" spans="1:6" ht="24" customHeight="1">
      <c r="A89" s="8"/>
      <c r="B89" s="9"/>
      <c r="C89" s="9"/>
      <c r="D89" s="10"/>
      <c r="E89" s="1"/>
      <c r="F89" s="11"/>
    </row>
    <row r="90" spans="1:6" ht="24" customHeight="1">
      <c r="A90" s="8"/>
      <c r="B90" s="9"/>
      <c r="C90" s="9"/>
      <c r="D90" s="10"/>
      <c r="E90" s="1"/>
      <c r="F90" s="11"/>
    </row>
    <row r="91" spans="1:6" ht="24" customHeight="1" thickBot="1">
      <c r="A91" s="8"/>
      <c r="B91" s="9"/>
      <c r="C91" s="9"/>
      <c r="D91" s="10"/>
      <c r="E91" s="1"/>
      <c r="F91" s="11"/>
    </row>
    <row r="92" spans="1:6" ht="24" customHeight="1" thickBot="1">
      <c r="A92" s="12"/>
      <c r="B92" s="60" t="s">
        <v>100</v>
      </c>
      <c r="C92" s="61"/>
      <c r="D92" s="62"/>
      <c r="E92" s="13">
        <f>SUM(E66:E91)</f>
        <v>980575</v>
      </c>
      <c r="F92" s="12"/>
    </row>
    <row r="93" spans="1:6" ht="24" customHeight="1">
      <c r="A93" s="58" t="s">
        <v>119</v>
      </c>
      <c r="B93" s="58"/>
      <c r="C93" s="58"/>
      <c r="D93" s="58"/>
      <c r="E93" s="58"/>
      <c r="F93" s="58"/>
    </row>
    <row r="94" spans="1:6" ht="24" customHeight="1" thickBot="1">
      <c r="A94" s="59" t="s">
        <v>117</v>
      </c>
      <c r="B94" s="59"/>
      <c r="C94" s="59"/>
      <c r="D94" s="59"/>
      <c r="E94" s="59"/>
      <c r="F94" s="59"/>
    </row>
    <row r="95" spans="1:6" ht="24" customHeight="1" thickBot="1">
      <c r="A95" s="16" t="s">
        <v>2</v>
      </c>
      <c r="B95" s="60" t="s">
        <v>3</v>
      </c>
      <c r="C95" s="61"/>
      <c r="D95" s="62"/>
      <c r="E95" s="16" t="s">
        <v>0</v>
      </c>
      <c r="F95" s="16" t="s">
        <v>1</v>
      </c>
    </row>
    <row r="96" spans="1:6" ht="24" customHeight="1" thickBot="1">
      <c r="A96" s="16"/>
      <c r="B96" s="60" t="s">
        <v>30</v>
      </c>
      <c r="C96" s="61"/>
      <c r="D96" s="62"/>
      <c r="E96" s="13">
        <f>E92</f>
        <v>980575</v>
      </c>
      <c r="F96" s="12"/>
    </row>
    <row r="97" spans="1:7" ht="24" customHeight="1">
      <c r="A97" s="8"/>
      <c r="B97" s="9"/>
      <c r="C97" s="9"/>
      <c r="D97" s="10"/>
      <c r="E97" s="1"/>
      <c r="F97" s="11"/>
    </row>
    <row r="98" spans="1:7" ht="24" customHeight="1">
      <c r="A98" s="8"/>
      <c r="B98" s="9"/>
      <c r="C98" s="9"/>
      <c r="D98" s="10"/>
      <c r="E98" s="1"/>
      <c r="F98" s="11"/>
    </row>
    <row r="99" spans="1:7" ht="24" customHeight="1">
      <c r="A99" s="8"/>
      <c r="B99" s="9"/>
      <c r="C99" s="9"/>
      <c r="D99" s="10"/>
      <c r="E99" s="1"/>
      <c r="F99" s="11"/>
    </row>
    <row r="100" spans="1:7" ht="24" customHeight="1">
      <c r="A100" s="8"/>
      <c r="B100" s="9"/>
      <c r="C100" s="9"/>
      <c r="D100" s="10"/>
      <c r="E100" s="1"/>
      <c r="F100" s="11"/>
    </row>
    <row r="101" spans="1:7" ht="24" customHeight="1">
      <c r="A101" s="8"/>
      <c r="B101" s="9"/>
      <c r="C101" s="9"/>
      <c r="D101" s="10"/>
      <c r="E101" s="1"/>
      <c r="F101" s="11"/>
      <c r="G101" s="14"/>
    </row>
    <row r="102" spans="1:7" ht="24" customHeight="1">
      <c r="A102" s="8"/>
      <c r="B102" s="9"/>
      <c r="C102" s="9"/>
      <c r="D102" s="10"/>
      <c r="E102" s="1"/>
      <c r="F102" s="11"/>
    </row>
    <row r="103" spans="1:7" ht="24" customHeight="1">
      <c r="A103" s="8"/>
      <c r="B103" s="9"/>
      <c r="C103" s="9"/>
      <c r="D103" s="10"/>
      <c r="E103" s="1"/>
      <c r="F103" s="11"/>
    </row>
    <row r="104" spans="1:7" ht="24" customHeight="1">
      <c r="A104" s="8"/>
      <c r="B104" s="9"/>
      <c r="C104" s="9"/>
      <c r="D104" s="10"/>
      <c r="E104" s="1"/>
      <c r="F104" s="11"/>
    </row>
    <row r="105" spans="1:7" ht="24" customHeight="1">
      <c r="A105" s="8"/>
      <c r="B105" s="9"/>
      <c r="C105" s="9"/>
      <c r="D105" s="10"/>
      <c r="E105" s="1"/>
      <c r="F105" s="11"/>
    </row>
    <row r="106" spans="1:7" ht="24" customHeight="1">
      <c r="A106" s="8"/>
      <c r="B106" s="9"/>
      <c r="C106" s="9"/>
      <c r="D106" s="10"/>
      <c r="E106" s="1"/>
      <c r="F106" s="11"/>
    </row>
    <row r="107" spans="1:7" ht="24" customHeight="1">
      <c r="A107" s="8"/>
      <c r="B107" s="9"/>
      <c r="C107" s="9"/>
      <c r="D107" s="10"/>
      <c r="E107" s="1"/>
      <c r="F107" s="11"/>
    </row>
    <row r="108" spans="1:7" ht="24" customHeight="1">
      <c r="A108" s="8"/>
      <c r="B108" s="9"/>
      <c r="C108" s="9"/>
      <c r="D108" s="10"/>
      <c r="E108" s="1"/>
      <c r="F108" s="11"/>
    </row>
    <row r="109" spans="1:7" ht="24" customHeight="1">
      <c r="A109" s="8"/>
      <c r="B109" s="9"/>
      <c r="C109" s="9"/>
      <c r="D109" s="10"/>
      <c r="E109" s="1"/>
      <c r="F109" s="11"/>
    </row>
    <row r="110" spans="1:7" ht="24" customHeight="1">
      <c r="A110" s="8"/>
      <c r="B110" s="9"/>
      <c r="C110" s="9"/>
      <c r="D110" s="10"/>
      <c r="E110" s="1"/>
      <c r="F110" s="11"/>
    </row>
    <row r="111" spans="1:7" ht="24" customHeight="1">
      <c r="A111" s="8"/>
      <c r="B111" s="9"/>
      <c r="C111" s="9"/>
      <c r="D111" s="10"/>
      <c r="E111" s="1"/>
      <c r="F111" s="11"/>
    </row>
    <row r="112" spans="1:7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"/>
      <c r="F116" s="11"/>
    </row>
    <row r="117" spans="1:6" ht="24" customHeight="1">
      <c r="A117" s="8"/>
      <c r="B117" s="9"/>
      <c r="C117" s="9"/>
      <c r="D117" s="10"/>
      <c r="E117" s="1"/>
      <c r="F117" s="11"/>
    </row>
    <row r="118" spans="1:6" ht="24" customHeight="1">
      <c r="A118" s="8"/>
      <c r="B118" s="9"/>
      <c r="C118" s="9"/>
      <c r="D118" s="10"/>
      <c r="E118" s="1"/>
      <c r="F118" s="11"/>
    </row>
    <row r="119" spans="1:6" ht="24" customHeight="1">
      <c r="A119" s="8"/>
      <c r="B119" s="9"/>
      <c r="C119" s="9"/>
      <c r="D119" s="10"/>
      <c r="E119" s="1"/>
      <c r="F119" s="11"/>
    </row>
    <row r="120" spans="1:6" ht="24" customHeight="1">
      <c r="A120" s="8"/>
      <c r="B120" s="9"/>
      <c r="C120" s="9"/>
      <c r="D120" s="10"/>
      <c r="E120" s="1"/>
      <c r="F120" s="11"/>
    </row>
    <row r="121" spans="1:6" ht="24" customHeight="1" thickBot="1">
      <c r="A121" s="8"/>
      <c r="B121" s="9"/>
      <c r="C121" s="9"/>
      <c r="D121" s="10"/>
      <c r="E121" s="1"/>
      <c r="F121" s="11"/>
    </row>
    <row r="122" spans="1:6" ht="24" customHeight="1" thickBot="1">
      <c r="A122" s="12"/>
      <c r="B122" s="60" t="s">
        <v>100</v>
      </c>
      <c r="C122" s="61"/>
      <c r="D122" s="62"/>
      <c r="E122" s="13">
        <f>SUM(E96:E121)</f>
        <v>980575</v>
      </c>
      <c r="F122" s="12"/>
    </row>
    <row r="123" spans="1:6" ht="24" customHeight="1">
      <c r="A123" s="58" t="s">
        <v>120</v>
      </c>
      <c r="B123" s="58"/>
      <c r="C123" s="58"/>
      <c r="D123" s="58"/>
      <c r="E123" s="58"/>
      <c r="F123" s="58"/>
    </row>
    <row r="124" spans="1:6" ht="24" customHeight="1" thickBot="1">
      <c r="A124" s="59" t="s">
        <v>117</v>
      </c>
      <c r="B124" s="59"/>
      <c r="C124" s="59"/>
      <c r="D124" s="59"/>
      <c r="E124" s="59"/>
      <c r="F124" s="59"/>
    </row>
    <row r="125" spans="1:6" ht="24" customHeight="1" thickBot="1">
      <c r="A125" s="16" t="s">
        <v>2</v>
      </c>
      <c r="B125" s="60" t="s">
        <v>3</v>
      </c>
      <c r="C125" s="61"/>
      <c r="D125" s="62"/>
      <c r="E125" s="16" t="s">
        <v>0</v>
      </c>
      <c r="F125" s="16" t="s">
        <v>1</v>
      </c>
    </row>
    <row r="126" spans="1:6" ht="24" customHeight="1" thickBot="1">
      <c r="A126" s="16"/>
      <c r="B126" s="60" t="s">
        <v>30</v>
      </c>
      <c r="C126" s="61"/>
      <c r="D126" s="62"/>
      <c r="E126" s="13">
        <f>E122</f>
        <v>980575</v>
      </c>
      <c r="F126" s="12"/>
    </row>
    <row r="127" spans="1:6" ht="24" customHeight="1">
      <c r="A127" s="8"/>
      <c r="B127" s="9"/>
      <c r="C127" s="9"/>
      <c r="D127" s="10"/>
      <c r="E127" s="1"/>
      <c r="F127" s="11"/>
    </row>
    <row r="128" spans="1:6" ht="24" customHeight="1">
      <c r="A128" s="8"/>
      <c r="B128" s="9"/>
      <c r="C128" s="9"/>
      <c r="D128" s="10"/>
      <c r="E128" s="1"/>
      <c r="F128" s="11"/>
    </row>
    <row r="129" spans="1:7" ht="24" customHeight="1">
      <c r="A129" s="8"/>
      <c r="B129" s="9"/>
      <c r="C129" s="9"/>
      <c r="D129" s="10"/>
      <c r="E129" s="1"/>
      <c r="F129" s="11"/>
    </row>
    <row r="130" spans="1:7" ht="24" customHeight="1">
      <c r="A130" s="8"/>
      <c r="B130" s="9"/>
      <c r="C130" s="9"/>
      <c r="D130" s="10"/>
      <c r="E130" s="1"/>
      <c r="F130" s="11"/>
    </row>
    <row r="131" spans="1:7" ht="24" customHeight="1">
      <c r="A131" s="8"/>
      <c r="B131" s="9"/>
      <c r="C131" s="9"/>
      <c r="D131" s="10"/>
      <c r="E131" s="1"/>
      <c r="F131" s="11"/>
      <c r="G131" s="14"/>
    </row>
    <row r="132" spans="1:7" ht="24" customHeight="1">
      <c r="A132" s="8"/>
      <c r="B132" s="9"/>
      <c r="C132" s="9"/>
      <c r="D132" s="10"/>
      <c r="E132" s="1"/>
      <c r="F132" s="11"/>
    </row>
    <row r="133" spans="1:7" ht="24" customHeight="1">
      <c r="A133" s="8"/>
      <c r="B133" s="9"/>
      <c r="C133" s="9"/>
      <c r="D133" s="10"/>
      <c r="E133" s="1"/>
      <c r="F133" s="11"/>
    </row>
    <row r="134" spans="1:7" ht="24" customHeight="1">
      <c r="A134" s="8"/>
      <c r="B134" s="9"/>
      <c r="C134" s="9"/>
      <c r="D134" s="10"/>
      <c r="E134" s="1"/>
      <c r="F134" s="11"/>
    </row>
    <row r="135" spans="1:7" ht="24" customHeight="1">
      <c r="A135" s="8"/>
      <c r="B135" s="9"/>
      <c r="C135" s="9"/>
      <c r="D135" s="10"/>
      <c r="E135" s="1"/>
      <c r="F135" s="11"/>
    </row>
    <row r="136" spans="1:7" ht="24" customHeight="1">
      <c r="A136" s="8"/>
      <c r="B136" s="9"/>
      <c r="C136" s="9"/>
      <c r="D136" s="10"/>
      <c r="E136" s="1"/>
      <c r="F136" s="11"/>
    </row>
    <row r="137" spans="1:7" ht="24" customHeight="1">
      <c r="A137" s="8"/>
      <c r="B137" s="9"/>
      <c r="C137" s="9"/>
      <c r="D137" s="10"/>
      <c r="E137" s="15"/>
      <c r="F137" s="11"/>
    </row>
    <row r="138" spans="1:7" ht="24" customHeight="1">
      <c r="A138" s="8"/>
      <c r="B138" s="9"/>
      <c r="C138" s="9"/>
      <c r="D138" s="10"/>
      <c r="E138" s="1"/>
      <c r="F138" s="11"/>
    </row>
    <row r="139" spans="1:7" ht="24" customHeight="1">
      <c r="A139" s="8"/>
      <c r="B139" s="9"/>
      <c r="C139" s="9"/>
      <c r="D139" s="10"/>
      <c r="E139" s="1"/>
      <c r="F139" s="11"/>
    </row>
    <row r="140" spans="1:7" ht="24" customHeight="1">
      <c r="A140" s="8"/>
      <c r="B140" s="9"/>
      <c r="C140" s="9"/>
      <c r="D140" s="10"/>
      <c r="E140" s="1"/>
      <c r="F140" s="11"/>
    </row>
    <row r="141" spans="1:7" ht="24" customHeight="1">
      <c r="A141" s="8"/>
      <c r="B141" s="9"/>
      <c r="C141" s="9"/>
      <c r="D141" s="10"/>
      <c r="E141" s="1"/>
      <c r="F141" s="11"/>
    </row>
    <row r="142" spans="1:7" ht="24" customHeight="1">
      <c r="A142" s="8"/>
      <c r="B142" s="9"/>
      <c r="C142" s="9"/>
      <c r="D142" s="10"/>
      <c r="E142" s="1"/>
      <c r="F142" s="11"/>
    </row>
    <row r="143" spans="1:7" ht="24" customHeight="1">
      <c r="A143" s="8"/>
      <c r="B143" s="9"/>
      <c r="C143" s="9"/>
      <c r="D143" s="10"/>
      <c r="E143" s="1"/>
      <c r="F143" s="11"/>
    </row>
    <row r="144" spans="1:7" ht="24" customHeight="1">
      <c r="A144" s="8"/>
      <c r="B144" s="9"/>
      <c r="C144" s="9"/>
      <c r="D144" s="10"/>
      <c r="E144" s="1"/>
      <c r="F144" s="11"/>
    </row>
    <row r="145" spans="1:13" ht="24" customHeight="1">
      <c r="A145" s="8"/>
      <c r="B145" s="9"/>
      <c r="C145" s="9"/>
      <c r="D145" s="10"/>
      <c r="E145" s="1"/>
      <c r="F145" s="11"/>
      <c r="K145" s="14"/>
      <c r="M145" s="14"/>
    </row>
    <row r="146" spans="1:13" ht="24" customHeight="1">
      <c r="A146" s="8"/>
      <c r="B146" s="9"/>
      <c r="C146" s="9"/>
      <c r="D146" s="10"/>
      <c r="E146" s="1"/>
      <c r="F146" s="11"/>
    </row>
    <row r="147" spans="1:13" ht="24" customHeight="1">
      <c r="A147" s="8"/>
      <c r="B147" s="9"/>
      <c r="C147" s="9"/>
      <c r="D147" s="10"/>
      <c r="E147" s="1"/>
      <c r="F147" s="11"/>
      <c r="K147" s="14"/>
      <c r="M147" s="14"/>
    </row>
    <row r="148" spans="1:13" ht="24" customHeight="1" thickBot="1">
      <c r="A148" s="8"/>
      <c r="B148" s="9"/>
      <c r="C148" s="9"/>
      <c r="D148" s="10"/>
      <c r="E148" s="1"/>
      <c r="F148" s="11"/>
    </row>
    <row r="149" spans="1:13" ht="24" customHeight="1" thickBot="1">
      <c r="A149" s="12"/>
      <c r="B149" s="60" t="s">
        <v>4</v>
      </c>
      <c r="C149" s="61"/>
      <c r="D149" s="62"/>
      <c r="E149" s="18"/>
      <c r="F149" s="12"/>
    </row>
    <row r="152" spans="1:13" ht="24" customHeight="1">
      <c r="D152" s="63" t="s">
        <v>116</v>
      </c>
      <c r="E152" s="63"/>
      <c r="F152" s="63"/>
    </row>
  </sheetData>
  <mergeCells count="26">
    <mergeCell ref="A33:F33"/>
    <mergeCell ref="A1:F1"/>
    <mergeCell ref="A2:F2"/>
    <mergeCell ref="B3:D3"/>
    <mergeCell ref="B31:D31"/>
    <mergeCell ref="A32:F32"/>
    <mergeCell ref="B95:D95"/>
    <mergeCell ref="B34:D34"/>
    <mergeCell ref="B35:D35"/>
    <mergeCell ref="B59:D59"/>
    <mergeCell ref="D61:F61"/>
    <mergeCell ref="A63:F63"/>
    <mergeCell ref="A64:F64"/>
    <mergeCell ref="B65:D65"/>
    <mergeCell ref="B66:D66"/>
    <mergeCell ref="B92:D92"/>
    <mergeCell ref="A93:F93"/>
    <mergeCell ref="A94:F94"/>
    <mergeCell ref="B149:D149"/>
    <mergeCell ref="D152:F152"/>
    <mergeCell ref="B96:D96"/>
    <mergeCell ref="B122:D122"/>
    <mergeCell ref="A123:F123"/>
    <mergeCell ref="A124:F124"/>
    <mergeCell ref="B125:D125"/>
    <mergeCell ref="B126:D126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3"/>
  <sheetViews>
    <sheetView workbookViewId="0">
      <selection activeCell="D7" sqref="D7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293</v>
      </c>
      <c r="B1" s="58"/>
      <c r="C1" s="58"/>
      <c r="D1" s="58"/>
      <c r="E1" s="58"/>
      <c r="F1" s="58"/>
    </row>
    <row r="2" spans="1:6" ht="24" customHeight="1" thickBot="1">
      <c r="A2" s="59" t="s">
        <v>117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227</v>
      </c>
      <c r="C4" s="4"/>
      <c r="D4" s="5"/>
      <c r="E4" s="6">
        <v>73000</v>
      </c>
      <c r="F4" s="7"/>
    </row>
    <row r="5" spans="1:6" ht="24" customHeight="1">
      <c r="A5" s="8">
        <v>2</v>
      </c>
      <c r="B5" s="9" t="s">
        <v>73</v>
      </c>
      <c r="C5" s="9"/>
      <c r="D5" s="10"/>
      <c r="E5" s="1">
        <v>13520</v>
      </c>
      <c r="F5" s="11"/>
    </row>
    <row r="6" spans="1:6" ht="24" customHeight="1">
      <c r="A6" s="8">
        <v>3</v>
      </c>
      <c r="B6" s="9" t="s">
        <v>228</v>
      </c>
      <c r="C6" s="9"/>
      <c r="D6" s="10"/>
      <c r="E6" s="1">
        <v>1295</v>
      </c>
      <c r="F6" s="11"/>
    </row>
    <row r="7" spans="1:6" ht="24" customHeight="1">
      <c r="A7" s="8">
        <v>4</v>
      </c>
      <c r="B7" s="9" t="s">
        <v>6</v>
      </c>
      <c r="C7" s="9"/>
      <c r="D7" s="10"/>
      <c r="E7" s="1">
        <v>441600</v>
      </c>
      <c r="F7" s="11"/>
    </row>
    <row r="8" spans="1:6" ht="24" customHeight="1">
      <c r="A8" s="8">
        <v>5</v>
      </c>
      <c r="B8" s="9" t="s">
        <v>199</v>
      </c>
      <c r="C8" s="9"/>
      <c r="D8" s="10"/>
      <c r="E8" s="1">
        <v>1200</v>
      </c>
      <c r="F8" s="11"/>
    </row>
    <row r="9" spans="1:6" ht="24" customHeight="1">
      <c r="A9" s="8">
        <v>6</v>
      </c>
      <c r="B9" s="9" t="s">
        <v>229</v>
      </c>
      <c r="C9" s="9"/>
      <c r="D9" s="10"/>
      <c r="E9" s="1">
        <v>2800</v>
      </c>
      <c r="F9" s="11"/>
    </row>
    <row r="10" spans="1:6" ht="24" customHeight="1">
      <c r="A10" s="8">
        <v>7</v>
      </c>
      <c r="B10" s="9" t="s">
        <v>230</v>
      </c>
      <c r="C10" s="9"/>
      <c r="D10" s="10"/>
      <c r="E10" s="1">
        <v>77280</v>
      </c>
      <c r="F10" s="11"/>
    </row>
    <row r="11" spans="1:6" ht="24" customHeight="1">
      <c r="A11" s="8">
        <v>8</v>
      </c>
      <c r="B11" s="9" t="s">
        <v>231</v>
      </c>
      <c r="C11" s="9"/>
      <c r="D11" s="10"/>
      <c r="E11" s="1">
        <v>45390</v>
      </c>
      <c r="F11" s="11"/>
    </row>
    <row r="12" spans="1:6" ht="24" customHeight="1">
      <c r="A12" s="8">
        <v>9</v>
      </c>
      <c r="B12" s="9" t="s">
        <v>231</v>
      </c>
      <c r="C12" s="9"/>
      <c r="D12" s="10"/>
      <c r="E12" s="1">
        <v>57000</v>
      </c>
      <c r="F12" s="11"/>
    </row>
    <row r="13" spans="1:6" ht="24" customHeight="1">
      <c r="A13" s="8">
        <v>10</v>
      </c>
      <c r="B13" s="9" t="s">
        <v>73</v>
      </c>
      <c r="C13" s="9"/>
      <c r="D13" s="10"/>
      <c r="E13" s="1">
        <v>1920</v>
      </c>
      <c r="F13" s="11"/>
    </row>
    <row r="14" spans="1:6" ht="24" customHeight="1">
      <c r="A14" s="8">
        <v>11</v>
      </c>
      <c r="B14" s="9" t="s">
        <v>47</v>
      </c>
      <c r="C14" s="9"/>
      <c r="D14" s="10"/>
      <c r="E14" s="1">
        <v>198680</v>
      </c>
      <c r="F14" s="11"/>
    </row>
    <row r="15" spans="1:6" ht="24" customHeight="1">
      <c r="A15" s="8">
        <v>12</v>
      </c>
      <c r="B15" s="9" t="s">
        <v>81</v>
      </c>
      <c r="C15" s="9"/>
      <c r="D15" s="10"/>
      <c r="E15" s="1">
        <v>35700</v>
      </c>
      <c r="F15" s="11"/>
    </row>
    <row r="16" spans="1:6" ht="24" customHeight="1">
      <c r="A16" s="8">
        <v>13</v>
      </c>
      <c r="B16" s="9" t="s">
        <v>87</v>
      </c>
      <c r="C16" s="9"/>
      <c r="D16" s="10"/>
      <c r="E16" s="1">
        <v>117940</v>
      </c>
      <c r="F16" s="11"/>
    </row>
    <row r="17" spans="1:7" ht="24" customHeight="1">
      <c r="A17" s="8">
        <v>14</v>
      </c>
      <c r="B17" s="9" t="s">
        <v>232</v>
      </c>
      <c r="C17" s="9"/>
      <c r="D17" s="10"/>
      <c r="E17" s="1">
        <v>26376</v>
      </c>
      <c r="F17" s="11"/>
    </row>
    <row r="18" spans="1:7" ht="24" customHeight="1">
      <c r="A18" s="8">
        <v>15</v>
      </c>
      <c r="B18" s="9" t="s">
        <v>231</v>
      </c>
      <c r="C18" s="9"/>
      <c r="D18" s="10"/>
      <c r="E18" s="1">
        <v>59625</v>
      </c>
      <c r="F18" s="11"/>
      <c r="G18" s="2">
        <v>442041</v>
      </c>
    </row>
    <row r="19" spans="1:7" ht="24" customHeight="1">
      <c r="A19" s="8">
        <v>16</v>
      </c>
      <c r="B19" s="9" t="s">
        <v>233</v>
      </c>
      <c r="C19" s="9"/>
      <c r="D19" s="10"/>
      <c r="E19" s="1">
        <v>62560</v>
      </c>
      <c r="F19" s="11"/>
    </row>
    <row r="20" spans="1:7" ht="24" customHeight="1">
      <c r="A20" s="8">
        <v>17</v>
      </c>
      <c r="B20" s="9" t="s">
        <v>105</v>
      </c>
      <c r="C20" s="9"/>
      <c r="D20" s="10"/>
      <c r="E20" s="1">
        <v>41700</v>
      </c>
      <c r="F20" s="11"/>
    </row>
    <row r="21" spans="1:7" ht="24" customHeight="1">
      <c r="A21" s="8">
        <v>18</v>
      </c>
      <c r="B21" s="9" t="s">
        <v>234</v>
      </c>
      <c r="C21" s="9"/>
      <c r="D21" s="10"/>
      <c r="E21" s="1">
        <v>17700</v>
      </c>
      <c r="F21" s="11"/>
    </row>
    <row r="22" spans="1:7" ht="24" customHeight="1">
      <c r="A22" s="8">
        <v>19</v>
      </c>
      <c r="B22" s="9" t="s">
        <v>98</v>
      </c>
      <c r="C22" s="9"/>
      <c r="D22" s="10"/>
      <c r="E22" s="1">
        <f>7080+252990</f>
        <v>260070</v>
      </c>
      <c r="F22" s="11"/>
    </row>
    <row r="23" spans="1:7" ht="24" customHeight="1">
      <c r="A23" s="8">
        <v>20</v>
      </c>
      <c r="B23" s="9" t="s">
        <v>20</v>
      </c>
      <c r="C23" s="9"/>
      <c r="D23" s="10"/>
      <c r="E23" s="1">
        <v>12360</v>
      </c>
      <c r="F23" s="11"/>
    </row>
    <row r="24" spans="1:7" ht="24" customHeight="1">
      <c r="A24" s="8">
        <v>21</v>
      </c>
      <c r="B24" s="9" t="s">
        <v>15</v>
      </c>
      <c r="C24" s="9"/>
      <c r="D24" s="10"/>
      <c r="E24" s="1">
        <v>53280</v>
      </c>
      <c r="F24" s="11"/>
    </row>
    <row r="25" spans="1:7" ht="24" customHeight="1">
      <c r="A25" s="8">
        <v>22</v>
      </c>
      <c r="B25" s="9" t="s">
        <v>108</v>
      </c>
      <c r="C25" s="9"/>
      <c r="D25" s="10"/>
      <c r="E25" s="1">
        <v>145200</v>
      </c>
      <c r="F25" s="11"/>
    </row>
    <row r="26" spans="1:7" ht="24" customHeight="1">
      <c r="A26" s="8">
        <v>23</v>
      </c>
      <c r="B26" s="9" t="s">
        <v>79</v>
      </c>
      <c r="C26" s="9"/>
      <c r="D26" s="10"/>
      <c r="E26" s="1">
        <v>97592</v>
      </c>
      <c r="F26" s="11"/>
    </row>
    <row r="27" spans="1:7" ht="24" customHeight="1">
      <c r="A27" s="8">
        <v>24</v>
      </c>
      <c r="B27" s="9" t="s">
        <v>194</v>
      </c>
      <c r="C27" s="9"/>
      <c r="D27" s="10"/>
      <c r="E27" s="1">
        <v>5700</v>
      </c>
      <c r="F27" s="11"/>
    </row>
    <row r="28" spans="1:7" ht="24" customHeight="1">
      <c r="A28" s="8">
        <v>25</v>
      </c>
      <c r="B28" s="9" t="s">
        <v>22</v>
      </c>
      <c r="C28" s="9"/>
      <c r="D28" s="10"/>
      <c r="E28" s="1">
        <v>13200</v>
      </c>
      <c r="F28" s="11"/>
    </row>
    <row r="29" spans="1:7" ht="24" customHeight="1">
      <c r="A29" s="8">
        <v>26</v>
      </c>
      <c r="B29" s="9" t="s">
        <v>55</v>
      </c>
      <c r="C29" s="9"/>
      <c r="D29" s="10"/>
      <c r="E29" s="1">
        <v>190480</v>
      </c>
      <c r="F29" s="11"/>
    </row>
    <row r="30" spans="1:7" ht="24" customHeight="1" thickBot="1">
      <c r="A30" s="8">
        <v>27</v>
      </c>
      <c r="B30" s="9" t="s">
        <v>235</v>
      </c>
      <c r="C30" s="9"/>
      <c r="D30" s="10"/>
      <c r="E30" s="1">
        <v>532000</v>
      </c>
      <c r="F30" s="11"/>
      <c r="G30" s="2">
        <v>1431842</v>
      </c>
    </row>
    <row r="31" spans="1:7" ht="24" customHeight="1" thickBot="1">
      <c r="A31" s="12"/>
      <c r="B31" s="60" t="s">
        <v>100</v>
      </c>
      <c r="C31" s="61"/>
      <c r="D31" s="62"/>
      <c r="E31" s="13">
        <f>SUM(E4:E30)</f>
        <v>2585168</v>
      </c>
      <c r="F31" s="12"/>
    </row>
    <row r="32" spans="1:7" ht="24" customHeight="1">
      <c r="A32" s="58" t="s">
        <v>294</v>
      </c>
      <c r="B32" s="58"/>
      <c r="C32" s="58"/>
      <c r="D32" s="58"/>
      <c r="E32" s="58"/>
      <c r="F32" s="58"/>
    </row>
    <row r="33" spans="1:7" ht="24" customHeight="1" thickBot="1">
      <c r="A33" s="59" t="s">
        <v>117</v>
      </c>
      <c r="B33" s="59"/>
      <c r="C33" s="59"/>
      <c r="D33" s="59"/>
      <c r="E33" s="59"/>
      <c r="F33" s="59"/>
    </row>
    <row r="34" spans="1:7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7" ht="24" customHeight="1" thickBot="1">
      <c r="A35" s="16"/>
      <c r="B35" s="60" t="s">
        <v>30</v>
      </c>
      <c r="C35" s="61"/>
      <c r="D35" s="62"/>
      <c r="E35" s="13">
        <f>E31</f>
        <v>2585168</v>
      </c>
      <c r="F35" s="12"/>
    </row>
    <row r="36" spans="1:7" ht="24" customHeight="1">
      <c r="A36" s="8">
        <v>28</v>
      </c>
      <c r="B36" s="9" t="s">
        <v>236</v>
      </c>
      <c r="C36" s="9"/>
      <c r="D36" s="10"/>
      <c r="E36" s="1">
        <v>69370</v>
      </c>
      <c r="F36" s="11"/>
    </row>
    <row r="37" spans="1:7" ht="24" customHeight="1">
      <c r="A37" s="8">
        <v>29</v>
      </c>
      <c r="B37" s="9" t="s">
        <v>16</v>
      </c>
      <c r="C37" s="9"/>
      <c r="D37" s="10"/>
      <c r="E37" s="15">
        <v>14700</v>
      </c>
      <c r="F37" s="11"/>
    </row>
    <row r="38" spans="1:7" ht="24" customHeight="1">
      <c r="A38" s="8">
        <v>30</v>
      </c>
      <c r="B38" s="9" t="s">
        <v>237</v>
      </c>
      <c r="C38" s="9"/>
      <c r="D38" s="10"/>
      <c r="E38" s="1">
        <v>29920</v>
      </c>
      <c r="F38" s="11"/>
    </row>
    <row r="39" spans="1:7" ht="24" customHeight="1">
      <c r="A39" s="8">
        <v>31</v>
      </c>
      <c r="B39" s="9" t="s">
        <v>35</v>
      </c>
      <c r="C39" s="9"/>
      <c r="D39" s="10"/>
      <c r="E39" s="1">
        <v>54560</v>
      </c>
      <c r="F39" s="11"/>
    </row>
    <row r="40" spans="1:7" ht="24" customHeight="1">
      <c r="A40" s="8">
        <v>32</v>
      </c>
      <c r="B40" s="9" t="s">
        <v>238</v>
      </c>
      <c r="C40" s="9"/>
      <c r="D40" s="10"/>
      <c r="E40" s="1">
        <v>268360</v>
      </c>
      <c r="F40" s="11"/>
      <c r="G40" s="2">
        <v>436910</v>
      </c>
    </row>
    <row r="41" spans="1:7" ht="24" customHeight="1">
      <c r="A41" s="8">
        <v>33</v>
      </c>
      <c r="B41" s="9" t="s">
        <v>239</v>
      </c>
      <c r="C41" s="9"/>
      <c r="D41" s="10"/>
      <c r="E41" s="1">
        <v>9768</v>
      </c>
      <c r="F41" s="11"/>
    </row>
    <row r="42" spans="1:7" ht="24" customHeight="1">
      <c r="A42" s="8">
        <v>34</v>
      </c>
      <c r="B42" s="9" t="s">
        <v>239</v>
      </c>
      <c r="C42" s="9"/>
      <c r="D42" s="10"/>
      <c r="E42" s="1">
        <v>31262.5</v>
      </c>
      <c r="F42" s="11"/>
    </row>
    <row r="43" spans="1:7" ht="24" customHeight="1">
      <c r="A43" s="8">
        <v>35</v>
      </c>
      <c r="B43" s="9" t="s">
        <v>239</v>
      </c>
      <c r="C43" s="9"/>
      <c r="D43" s="10"/>
      <c r="E43" s="1">
        <v>3800</v>
      </c>
      <c r="F43" s="11"/>
    </row>
    <row r="44" spans="1:7" ht="24" customHeight="1">
      <c r="A44" s="8">
        <v>36</v>
      </c>
      <c r="B44" s="9" t="s">
        <v>40</v>
      </c>
      <c r="C44" s="9"/>
      <c r="D44" s="10"/>
      <c r="E44" s="1">
        <v>145490</v>
      </c>
      <c r="F44" s="11"/>
    </row>
    <row r="45" spans="1:7" ht="24" customHeight="1">
      <c r="A45" s="8">
        <v>37</v>
      </c>
      <c r="B45" s="9" t="s">
        <v>240</v>
      </c>
      <c r="C45" s="9"/>
      <c r="D45" s="10"/>
      <c r="E45" s="1">
        <v>78060</v>
      </c>
      <c r="F45" s="11"/>
    </row>
    <row r="46" spans="1:7" ht="24" customHeight="1">
      <c r="A46" s="8">
        <v>38</v>
      </c>
      <c r="B46" s="9" t="s">
        <v>241</v>
      </c>
      <c r="C46" s="9"/>
      <c r="D46" s="10"/>
      <c r="E46" s="1">
        <v>37620</v>
      </c>
      <c r="F46" s="11"/>
    </row>
    <row r="47" spans="1:7" ht="24" customHeight="1">
      <c r="A47" s="8">
        <v>39</v>
      </c>
      <c r="B47" s="9" t="s">
        <v>141</v>
      </c>
      <c r="C47" s="9"/>
      <c r="D47" s="10"/>
      <c r="E47" s="1">
        <v>31040</v>
      </c>
      <c r="F47" s="11"/>
    </row>
    <row r="48" spans="1:7" ht="24" customHeight="1">
      <c r="A48" s="8">
        <v>40</v>
      </c>
      <c r="B48" s="9" t="s">
        <v>111</v>
      </c>
      <c r="C48" s="9"/>
      <c r="D48" s="10"/>
      <c r="E48" s="1">
        <v>7800</v>
      </c>
      <c r="F48" s="11"/>
    </row>
    <row r="49" spans="1:7" ht="24" customHeight="1">
      <c r="A49" s="8">
        <v>41</v>
      </c>
      <c r="B49" s="9" t="s">
        <v>210</v>
      </c>
      <c r="C49" s="9"/>
      <c r="D49" s="10"/>
      <c r="E49" s="1">
        <v>36300</v>
      </c>
      <c r="F49" s="11"/>
    </row>
    <row r="50" spans="1:7" ht="24" customHeight="1">
      <c r="A50" s="8">
        <v>42</v>
      </c>
      <c r="B50" s="9" t="s">
        <v>43</v>
      </c>
      <c r="C50" s="9"/>
      <c r="D50" s="10"/>
      <c r="E50" s="1">
        <v>27644</v>
      </c>
      <c r="F50" s="11"/>
      <c r="G50" s="2">
        <v>408784.5</v>
      </c>
    </row>
    <row r="51" spans="1:7" ht="24" customHeight="1">
      <c r="A51" s="8">
        <v>43</v>
      </c>
      <c r="B51" s="9" t="s">
        <v>83</v>
      </c>
      <c r="C51" s="9"/>
      <c r="D51" s="10"/>
      <c r="E51" s="1">
        <v>201440</v>
      </c>
      <c r="F51" s="11"/>
    </row>
    <row r="52" spans="1:7" ht="24" customHeight="1">
      <c r="A52" s="8">
        <v>44</v>
      </c>
      <c r="B52" s="9" t="s">
        <v>14</v>
      </c>
      <c r="C52" s="9"/>
      <c r="D52" s="10"/>
      <c r="E52" s="1">
        <v>19720</v>
      </c>
      <c r="F52" s="11"/>
    </row>
    <row r="53" spans="1:7" ht="24" customHeight="1">
      <c r="A53" s="8">
        <v>45</v>
      </c>
      <c r="B53" s="9" t="s">
        <v>106</v>
      </c>
      <c r="C53" s="9"/>
      <c r="D53" s="10"/>
      <c r="E53" s="1">
        <v>138720</v>
      </c>
      <c r="F53" s="11"/>
    </row>
    <row r="54" spans="1:7" ht="24" customHeight="1">
      <c r="A54" s="8">
        <v>46</v>
      </c>
      <c r="B54" s="9" t="s">
        <v>242</v>
      </c>
      <c r="C54" s="9"/>
      <c r="D54" s="10"/>
      <c r="E54" s="1">
        <v>10200</v>
      </c>
      <c r="F54" s="11"/>
    </row>
    <row r="55" spans="1:7" ht="24" customHeight="1">
      <c r="A55" s="8">
        <v>47</v>
      </c>
      <c r="B55" s="9" t="s">
        <v>243</v>
      </c>
      <c r="C55" s="9"/>
      <c r="D55" s="10"/>
      <c r="E55" s="1">
        <v>50400</v>
      </c>
      <c r="F55" s="11"/>
      <c r="G55" s="2">
        <v>420480</v>
      </c>
    </row>
    <row r="56" spans="1:7" ht="24" customHeight="1">
      <c r="A56" s="8">
        <v>48</v>
      </c>
      <c r="B56" s="9" t="s">
        <v>244</v>
      </c>
      <c r="C56" s="9"/>
      <c r="D56" s="10"/>
      <c r="E56" s="1">
        <v>24960</v>
      </c>
      <c r="F56" s="11"/>
    </row>
    <row r="57" spans="1:7" ht="24" customHeight="1">
      <c r="A57" s="8">
        <v>49</v>
      </c>
      <c r="B57" s="9" t="s">
        <v>96</v>
      </c>
      <c r="C57" s="9"/>
      <c r="D57" s="10"/>
      <c r="E57" s="1">
        <v>19200</v>
      </c>
      <c r="F57" s="11"/>
    </row>
    <row r="58" spans="1:7" ht="24" customHeight="1">
      <c r="A58" s="8">
        <v>50</v>
      </c>
      <c r="B58" s="9" t="s">
        <v>245</v>
      </c>
      <c r="C58" s="9"/>
      <c r="D58" s="10"/>
      <c r="E58" s="1">
        <v>60900</v>
      </c>
      <c r="F58" s="11"/>
      <c r="G58" s="2">
        <v>105060</v>
      </c>
    </row>
    <row r="59" spans="1:7" ht="24" customHeight="1">
      <c r="A59" s="8">
        <v>51</v>
      </c>
      <c r="B59" s="9" t="s">
        <v>246</v>
      </c>
      <c r="C59" s="9"/>
      <c r="D59" s="10"/>
      <c r="E59" s="1">
        <v>297900</v>
      </c>
      <c r="F59" s="11"/>
    </row>
    <row r="60" spans="1:7" ht="24" customHeight="1">
      <c r="A60" s="8">
        <v>52</v>
      </c>
      <c r="B60" s="9" t="s">
        <v>247</v>
      </c>
      <c r="C60" s="9"/>
      <c r="D60" s="10"/>
      <c r="E60" s="1">
        <v>5200</v>
      </c>
      <c r="F60" s="11"/>
      <c r="G60" s="2">
        <v>303100</v>
      </c>
    </row>
    <row r="61" spans="1:7" ht="24" customHeight="1" thickBot="1">
      <c r="A61" s="8">
        <v>53</v>
      </c>
      <c r="B61" s="9" t="s">
        <v>65</v>
      </c>
      <c r="C61" s="9"/>
      <c r="D61" s="10"/>
      <c r="E61" s="1">
        <v>123180</v>
      </c>
      <c r="F61" s="11"/>
    </row>
    <row r="62" spans="1:7" ht="24" customHeight="1" thickBot="1">
      <c r="A62" s="12"/>
      <c r="B62" s="60" t="s">
        <v>155</v>
      </c>
      <c r="C62" s="61"/>
      <c r="D62" s="62"/>
      <c r="E62" s="13">
        <f>SUM(E35:E61)</f>
        <v>4382682.5</v>
      </c>
      <c r="F62" s="12"/>
    </row>
    <row r="63" spans="1:7" ht="24" customHeight="1">
      <c r="A63" s="58" t="s">
        <v>294</v>
      </c>
      <c r="B63" s="58"/>
      <c r="C63" s="58"/>
      <c r="D63" s="58"/>
      <c r="E63" s="58"/>
      <c r="F63" s="58"/>
    </row>
    <row r="64" spans="1:7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27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E62</f>
        <v>4382682.5</v>
      </c>
      <c r="F66" s="12"/>
    </row>
    <row r="67" spans="1:7" ht="24" customHeight="1">
      <c r="A67" s="8">
        <v>54</v>
      </c>
      <c r="B67" s="9" t="s">
        <v>67</v>
      </c>
      <c r="C67" s="9"/>
      <c r="D67" s="10"/>
      <c r="E67" s="1">
        <v>13200</v>
      </c>
      <c r="F67" s="11"/>
    </row>
    <row r="68" spans="1:7" ht="24" customHeight="1">
      <c r="A68" s="8">
        <v>55</v>
      </c>
      <c r="B68" s="9" t="s">
        <v>248</v>
      </c>
      <c r="C68" s="9"/>
      <c r="D68" s="10"/>
      <c r="E68" s="1">
        <v>1463.75</v>
      </c>
      <c r="F68" s="11"/>
      <c r="G68" s="14"/>
    </row>
    <row r="69" spans="1:7" ht="24" customHeight="1">
      <c r="A69" s="8">
        <v>56</v>
      </c>
      <c r="B69" s="9" t="s">
        <v>248</v>
      </c>
      <c r="C69" s="9"/>
      <c r="D69" s="10"/>
      <c r="E69" s="1">
        <v>6797.5</v>
      </c>
      <c r="F69" s="11"/>
    </row>
    <row r="70" spans="1:7" ht="24" customHeight="1">
      <c r="A70" s="8">
        <v>57</v>
      </c>
      <c r="B70" s="9" t="s">
        <v>248</v>
      </c>
      <c r="C70" s="9"/>
      <c r="D70" s="10"/>
      <c r="E70" s="1">
        <v>4358.75</v>
      </c>
      <c r="F70" s="11"/>
    </row>
    <row r="71" spans="1:7" ht="24" customHeight="1">
      <c r="A71" s="8">
        <v>58</v>
      </c>
      <c r="B71" s="9" t="s">
        <v>249</v>
      </c>
      <c r="C71" s="9"/>
      <c r="D71" s="10"/>
      <c r="E71" s="1">
        <v>80360</v>
      </c>
      <c r="F71" s="11"/>
    </row>
    <row r="72" spans="1:7" ht="24" customHeight="1">
      <c r="A72" s="8">
        <v>59</v>
      </c>
      <c r="B72" s="9" t="s">
        <v>68</v>
      </c>
      <c r="C72" s="9"/>
      <c r="D72" s="10"/>
      <c r="E72" s="1">
        <v>44720</v>
      </c>
      <c r="F72" s="11"/>
    </row>
    <row r="73" spans="1:7" ht="24" customHeight="1">
      <c r="A73" s="8">
        <v>60</v>
      </c>
      <c r="B73" s="9" t="s">
        <v>250</v>
      </c>
      <c r="C73" s="9"/>
      <c r="D73" s="10"/>
      <c r="E73" s="1">
        <v>18000</v>
      </c>
      <c r="F73" s="11"/>
    </row>
    <row r="74" spans="1:7" ht="24" customHeight="1">
      <c r="A74" s="8">
        <v>61</v>
      </c>
      <c r="B74" s="9" t="s">
        <v>251</v>
      </c>
      <c r="C74" s="9"/>
      <c r="D74" s="10"/>
      <c r="E74" s="1">
        <v>5760</v>
      </c>
      <c r="F74" s="11"/>
      <c r="G74" s="2">
        <v>174660</v>
      </c>
    </row>
    <row r="75" spans="1:7" ht="24" customHeight="1">
      <c r="A75" s="8">
        <v>62</v>
      </c>
      <c r="B75" s="9" t="s">
        <v>248</v>
      </c>
      <c r="C75" s="9"/>
      <c r="D75" s="10"/>
      <c r="E75" s="1">
        <v>30540</v>
      </c>
      <c r="F75" s="11"/>
    </row>
    <row r="76" spans="1:7" ht="24" customHeight="1">
      <c r="A76" s="8">
        <v>63</v>
      </c>
      <c r="B76" s="9" t="s">
        <v>248</v>
      </c>
      <c r="C76" s="9"/>
      <c r="D76" s="10"/>
      <c r="E76" s="1">
        <v>55807.5</v>
      </c>
      <c r="F76" s="11"/>
    </row>
    <row r="77" spans="1:7" ht="24" customHeight="1">
      <c r="A77" s="8">
        <v>64</v>
      </c>
      <c r="B77" s="9" t="s">
        <v>92</v>
      </c>
      <c r="C77" s="9"/>
      <c r="D77" s="10"/>
      <c r="E77" s="1">
        <v>98760</v>
      </c>
      <c r="F77" s="11"/>
    </row>
    <row r="78" spans="1:7" ht="24" customHeight="1">
      <c r="A78" s="8">
        <v>65</v>
      </c>
      <c r="B78" s="9" t="s">
        <v>21</v>
      </c>
      <c r="C78" s="9"/>
      <c r="D78" s="10"/>
      <c r="E78" s="1">
        <v>246000</v>
      </c>
      <c r="F78" s="11"/>
    </row>
    <row r="79" spans="1:7" ht="24" customHeight="1">
      <c r="A79" s="8">
        <v>66</v>
      </c>
      <c r="B79" s="9" t="s">
        <v>149</v>
      </c>
      <c r="C79" s="9"/>
      <c r="D79" s="10"/>
      <c r="E79" s="1">
        <v>46924</v>
      </c>
      <c r="F79" s="11"/>
    </row>
    <row r="80" spans="1:7" ht="24" customHeight="1">
      <c r="A80" s="8">
        <v>67</v>
      </c>
      <c r="B80" s="9" t="s">
        <v>252</v>
      </c>
      <c r="C80" s="9"/>
      <c r="D80" s="10"/>
      <c r="E80" s="1">
        <v>41400</v>
      </c>
      <c r="F80" s="11"/>
    </row>
    <row r="81" spans="1:7" ht="24" customHeight="1">
      <c r="A81" s="8">
        <v>68</v>
      </c>
      <c r="B81" s="9" t="s">
        <v>67</v>
      </c>
      <c r="C81" s="9"/>
      <c r="D81" s="10"/>
      <c r="E81" s="1">
        <v>12420</v>
      </c>
      <c r="F81" s="11"/>
    </row>
    <row r="82" spans="1:7" ht="24" customHeight="1">
      <c r="A82" s="8">
        <v>69</v>
      </c>
      <c r="B82" s="9" t="s">
        <v>253</v>
      </c>
      <c r="C82" s="9"/>
      <c r="D82" s="10"/>
      <c r="E82" s="1">
        <v>12600</v>
      </c>
      <c r="F82" s="11"/>
    </row>
    <row r="83" spans="1:7" ht="24" customHeight="1">
      <c r="A83" s="8">
        <v>70</v>
      </c>
      <c r="B83" s="9" t="s">
        <v>254</v>
      </c>
      <c r="C83" s="9"/>
      <c r="D83" s="10"/>
      <c r="E83" s="1">
        <v>69060</v>
      </c>
      <c r="F83" s="11"/>
    </row>
    <row r="84" spans="1:7" ht="24" customHeight="1">
      <c r="A84" s="8">
        <v>71</v>
      </c>
      <c r="B84" s="9" t="s">
        <v>255</v>
      </c>
      <c r="C84" s="9"/>
      <c r="D84" s="10"/>
      <c r="E84" s="1">
        <v>27600</v>
      </c>
      <c r="F84" s="11"/>
      <c r="G84" s="2">
        <v>641111.5</v>
      </c>
    </row>
    <row r="85" spans="1:7" ht="24" customHeight="1">
      <c r="A85" s="8">
        <v>72</v>
      </c>
      <c r="B85" s="9" t="s">
        <v>256</v>
      </c>
      <c r="C85" s="9"/>
      <c r="D85" s="10"/>
      <c r="E85" s="1">
        <v>193020</v>
      </c>
      <c r="F85" s="11"/>
    </row>
    <row r="86" spans="1:7" ht="24" customHeight="1">
      <c r="A86" s="8">
        <v>73</v>
      </c>
      <c r="B86" s="9" t="s">
        <v>257</v>
      </c>
      <c r="C86" s="9"/>
      <c r="D86" s="10"/>
      <c r="E86" s="15">
        <v>156700</v>
      </c>
      <c r="F86" s="11"/>
    </row>
    <row r="87" spans="1:7" ht="24" customHeight="1">
      <c r="A87" s="8">
        <v>74</v>
      </c>
      <c r="B87" s="9" t="s">
        <v>258</v>
      </c>
      <c r="C87" s="9"/>
      <c r="D87" s="10"/>
      <c r="E87" s="15">
        <v>1575</v>
      </c>
      <c r="F87" s="11"/>
    </row>
    <row r="88" spans="1:7" ht="24" customHeight="1">
      <c r="A88" s="8">
        <v>75</v>
      </c>
      <c r="B88" s="9" t="s">
        <v>134</v>
      </c>
      <c r="C88" s="9"/>
      <c r="D88" s="10"/>
      <c r="E88" s="15">
        <v>215636</v>
      </c>
      <c r="F88" s="11"/>
    </row>
    <row r="89" spans="1:7" ht="24" customHeight="1">
      <c r="A89" s="8">
        <v>76</v>
      </c>
      <c r="B89" s="9" t="s">
        <v>259</v>
      </c>
      <c r="C89" s="9"/>
      <c r="D89" s="10"/>
      <c r="E89" s="15">
        <v>176480</v>
      </c>
      <c r="F89" s="11"/>
    </row>
    <row r="90" spans="1:7" ht="24" customHeight="1">
      <c r="A90" s="8">
        <v>77</v>
      </c>
      <c r="B90" s="9" t="s">
        <v>260</v>
      </c>
      <c r="C90" s="9"/>
      <c r="D90" s="10"/>
      <c r="E90" s="15">
        <v>104440</v>
      </c>
      <c r="F90" s="11"/>
      <c r="G90" s="2">
        <v>847851</v>
      </c>
    </row>
    <row r="91" spans="1:7" ht="24" customHeight="1">
      <c r="A91" s="8">
        <v>78</v>
      </c>
      <c r="B91" s="9" t="s">
        <v>60</v>
      </c>
      <c r="C91" s="9"/>
      <c r="D91" s="10"/>
      <c r="E91" s="15">
        <v>159415</v>
      </c>
      <c r="F91" s="11"/>
    </row>
    <row r="92" spans="1:7" ht="24" customHeight="1" thickBot="1">
      <c r="A92" s="8">
        <v>79</v>
      </c>
      <c r="B92" s="9" t="s">
        <v>248</v>
      </c>
      <c r="C92" s="9"/>
      <c r="D92" s="10"/>
      <c r="E92" s="1">
        <v>297160</v>
      </c>
      <c r="F92" s="11"/>
    </row>
    <row r="93" spans="1:7" ht="24" customHeight="1" thickBot="1">
      <c r="A93" s="12"/>
      <c r="B93" s="60" t="s">
        <v>100</v>
      </c>
      <c r="C93" s="61"/>
      <c r="D93" s="62"/>
      <c r="E93" s="13">
        <f>SUM(E66:E92)</f>
        <v>6502880</v>
      </c>
      <c r="F93" s="12"/>
    </row>
    <row r="94" spans="1:7" ht="24" customHeight="1">
      <c r="A94" s="58" t="s">
        <v>294</v>
      </c>
      <c r="B94" s="58"/>
      <c r="C94" s="58"/>
      <c r="D94" s="58"/>
      <c r="E94" s="58"/>
      <c r="F94" s="58"/>
    </row>
    <row r="95" spans="1:7" ht="24" customHeight="1" thickBot="1">
      <c r="A95" s="59" t="s">
        <v>117</v>
      </c>
      <c r="B95" s="59"/>
      <c r="C95" s="59"/>
      <c r="D95" s="59"/>
      <c r="E95" s="59"/>
      <c r="F95" s="59"/>
    </row>
    <row r="96" spans="1:7" ht="24" customHeight="1" thickBot="1">
      <c r="A96" s="16" t="s">
        <v>2</v>
      </c>
      <c r="B96" s="60" t="s">
        <v>3</v>
      </c>
      <c r="C96" s="61"/>
      <c r="D96" s="62"/>
      <c r="E96" s="16" t="s">
        <v>0</v>
      </c>
      <c r="F96" s="16" t="s">
        <v>1</v>
      </c>
    </row>
    <row r="97" spans="1:7" ht="24" customHeight="1" thickBot="1">
      <c r="A97" s="16"/>
      <c r="B97" s="60" t="s">
        <v>30</v>
      </c>
      <c r="C97" s="61"/>
      <c r="D97" s="62"/>
      <c r="E97" s="13">
        <f>E93</f>
        <v>6502880</v>
      </c>
      <c r="F97" s="12"/>
    </row>
    <row r="98" spans="1:7" ht="24" customHeight="1">
      <c r="A98" s="8">
        <v>80</v>
      </c>
      <c r="B98" s="9" t="s">
        <v>91</v>
      </c>
      <c r="C98" s="9"/>
      <c r="D98" s="10"/>
      <c r="E98" s="1">
        <v>168300</v>
      </c>
      <c r="F98" s="11"/>
      <c r="G98" s="14"/>
    </row>
    <row r="99" spans="1:7" ht="24" customHeight="1">
      <c r="A99" s="8">
        <v>81</v>
      </c>
      <c r="B99" s="9" t="s">
        <v>86</v>
      </c>
      <c r="C99" s="9"/>
      <c r="D99" s="10"/>
      <c r="E99" s="15">
        <v>252800</v>
      </c>
      <c r="F99" s="11"/>
      <c r="G99" s="2">
        <v>877675</v>
      </c>
    </row>
    <row r="100" spans="1:7" ht="24" customHeight="1">
      <c r="A100" s="8">
        <v>82</v>
      </c>
      <c r="B100" s="9" t="s">
        <v>93</v>
      </c>
      <c r="C100" s="9"/>
      <c r="D100" s="10"/>
      <c r="E100" s="1">
        <v>214520</v>
      </c>
      <c r="F100" s="11"/>
    </row>
    <row r="101" spans="1:7" ht="24" customHeight="1">
      <c r="A101" s="8">
        <v>83</v>
      </c>
      <c r="B101" s="9" t="s">
        <v>73</v>
      </c>
      <c r="C101" s="9"/>
      <c r="D101" s="10"/>
      <c r="E101" s="1">
        <v>259163</v>
      </c>
      <c r="F101" s="11"/>
      <c r="G101" s="2">
        <v>473683</v>
      </c>
    </row>
    <row r="102" spans="1:7" ht="24" customHeight="1">
      <c r="A102" s="8">
        <v>84</v>
      </c>
      <c r="B102" s="9" t="s">
        <v>204</v>
      </c>
      <c r="C102" s="9"/>
      <c r="D102" s="10" t="s">
        <v>261</v>
      </c>
      <c r="E102" s="1">
        <v>22300</v>
      </c>
      <c r="F102" s="11"/>
    </row>
    <row r="103" spans="1:7" ht="24" customHeight="1">
      <c r="A103" s="8">
        <v>85</v>
      </c>
      <c r="B103" s="9" t="s">
        <v>264</v>
      </c>
      <c r="C103" s="9"/>
      <c r="D103" s="10"/>
      <c r="E103" s="1">
        <v>8400</v>
      </c>
      <c r="F103" s="11"/>
    </row>
    <row r="104" spans="1:7" ht="24" customHeight="1">
      <c r="A104" s="8">
        <v>86</v>
      </c>
      <c r="B104" s="9" t="s">
        <v>263</v>
      </c>
      <c r="C104" s="9"/>
      <c r="D104" s="10"/>
      <c r="E104" s="1">
        <v>3200</v>
      </c>
      <c r="F104" s="11"/>
    </row>
    <row r="105" spans="1:7" ht="24" customHeight="1">
      <c r="A105" s="8">
        <v>87</v>
      </c>
      <c r="B105" s="9" t="s">
        <v>262</v>
      </c>
      <c r="C105" s="9"/>
      <c r="D105" s="10"/>
      <c r="E105" s="1">
        <v>14625</v>
      </c>
      <c r="F105" s="11"/>
    </row>
    <row r="106" spans="1:7" ht="24" customHeight="1">
      <c r="A106" s="8">
        <v>88</v>
      </c>
      <c r="B106" s="9" t="s">
        <v>265</v>
      </c>
      <c r="C106" s="9"/>
      <c r="D106" s="10"/>
      <c r="E106" s="1">
        <v>49450</v>
      </c>
      <c r="F106" s="11"/>
    </row>
    <row r="107" spans="1:7" ht="24" customHeight="1">
      <c r="A107" s="8">
        <v>89</v>
      </c>
      <c r="B107" s="9" t="s">
        <v>266</v>
      </c>
      <c r="C107" s="9"/>
      <c r="D107" s="10"/>
      <c r="E107" s="1">
        <v>50000</v>
      </c>
      <c r="F107" s="11"/>
    </row>
    <row r="108" spans="1:7" ht="24" customHeight="1">
      <c r="A108" s="8">
        <v>90</v>
      </c>
      <c r="B108" s="9" t="s">
        <v>267</v>
      </c>
      <c r="C108" s="9"/>
      <c r="D108" s="10"/>
      <c r="E108" s="1">
        <v>62400</v>
      </c>
      <c r="F108" s="11"/>
    </row>
    <row r="109" spans="1:7" ht="24" customHeight="1">
      <c r="A109" s="8">
        <v>91</v>
      </c>
      <c r="B109" s="9" t="s">
        <v>73</v>
      </c>
      <c r="C109" s="9"/>
      <c r="D109" s="10"/>
      <c r="E109" s="1">
        <v>9445</v>
      </c>
      <c r="F109" s="11"/>
    </row>
    <row r="110" spans="1:7" ht="24" customHeight="1">
      <c r="A110" s="8">
        <v>92</v>
      </c>
      <c r="B110" s="9" t="s">
        <v>204</v>
      </c>
      <c r="C110" s="9"/>
      <c r="D110" s="10"/>
      <c r="E110" s="1">
        <v>5500</v>
      </c>
      <c r="F110" s="11"/>
    </row>
    <row r="111" spans="1:7" ht="24" customHeight="1">
      <c r="A111" s="8">
        <v>93</v>
      </c>
      <c r="B111" s="9" t="s">
        <v>85</v>
      </c>
      <c r="C111" s="9"/>
      <c r="D111" s="10"/>
      <c r="E111" s="1">
        <v>22680</v>
      </c>
      <c r="F111" s="11"/>
      <c r="G111" s="2">
        <v>248000</v>
      </c>
    </row>
    <row r="112" spans="1:7" ht="24" customHeight="1">
      <c r="A112" s="8">
        <v>94</v>
      </c>
      <c r="B112" s="9" t="s">
        <v>135</v>
      </c>
      <c r="C112" s="9"/>
      <c r="D112" s="10"/>
      <c r="E112" s="1">
        <v>17040</v>
      </c>
      <c r="F112" s="11"/>
    </row>
    <row r="113" spans="1:7" ht="24" customHeight="1">
      <c r="A113" s="8">
        <v>95</v>
      </c>
      <c r="B113" s="9" t="s">
        <v>149</v>
      </c>
      <c r="C113" s="9"/>
      <c r="D113" s="10"/>
      <c r="E113" s="1">
        <v>768</v>
      </c>
      <c r="F113" s="11"/>
    </row>
    <row r="114" spans="1:7" ht="24" customHeight="1">
      <c r="A114" s="8">
        <v>96</v>
      </c>
      <c r="B114" s="9" t="s">
        <v>268</v>
      </c>
      <c r="C114" s="9"/>
      <c r="D114" s="10"/>
      <c r="E114" s="1">
        <v>22824</v>
      </c>
      <c r="F114" s="11"/>
    </row>
    <row r="115" spans="1:7" ht="24" customHeight="1">
      <c r="A115" s="8">
        <v>97</v>
      </c>
      <c r="B115" s="9" t="s">
        <v>269</v>
      </c>
      <c r="C115" s="9"/>
      <c r="D115" s="10"/>
      <c r="E115" s="1">
        <v>43200</v>
      </c>
      <c r="F115" s="11"/>
    </row>
    <row r="116" spans="1:7" ht="24" customHeight="1">
      <c r="A116" s="8">
        <v>98</v>
      </c>
      <c r="B116" s="9" t="s">
        <v>9</v>
      </c>
      <c r="C116" s="9"/>
      <c r="D116" s="10"/>
      <c r="E116" s="15">
        <v>29600</v>
      </c>
      <c r="F116" s="11"/>
    </row>
    <row r="117" spans="1:7" ht="24" customHeight="1">
      <c r="A117" s="8">
        <v>99</v>
      </c>
      <c r="B117" s="9" t="s">
        <v>270</v>
      </c>
      <c r="C117" s="9"/>
      <c r="D117" s="10"/>
      <c r="E117" s="15">
        <v>158240</v>
      </c>
      <c r="F117" s="11"/>
    </row>
    <row r="118" spans="1:7" ht="24" customHeight="1">
      <c r="A118" s="8">
        <v>100</v>
      </c>
      <c r="B118" s="9" t="s">
        <v>26</v>
      </c>
      <c r="C118" s="9"/>
      <c r="D118" s="10"/>
      <c r="E118" s="15">
        <v>218800</v>
      </c>
      <c r="F118" s="11"/>
      <c r="G118" s="2">
        <v>490472</v>
      </c>
    </row>
    <row r="119" spans="1:7" ht="24" customHeight="1">
      <c r="A119" s="8">
        <v>101</v>
      </c>
      <c r="B119" s="9" t="s">
        <v>45</v>
      </c>
      <c r="C119" s="9"/>
      <c r="D119" s="10"/>
      <c r="E119" s="1">
        <v>83250</v>
      </c>
      <c r="F119" s="11"/>
    </row>
    <row r="120" spans="1:7" ht="24" customHeight="1">
      <c r="A120" s="8">
        <v>102</v>
      </c>
      <c r="B120" s="9" t="s">
        <v>271</v>
      </c>
      <c r="C120" s="9"/>
      <c r="D120" s="10"/>
      <c r="E120" s="1">
        <v>149700</v>
      </c>
      <c r="F120" s="11"/>
    </row>
    <row r="121" spans="1:7" ht="24" customHeight="1">
      <c r="A121" s="8">
        <v>103</v>
      </c>
      <c r="B121" s="9" t="s">
        <v>272</v>
      </c>
      <c r="C121" s="9"/>
      <c r="D121" s="10"/>
      <c r="E121" s="1">
        <v>107580</v>
      </c>
      <c r="F121" s="11"/>
    </row>
    <row r="122" spans="1:7" ht="24" customHeight="1">
      <c r="A122" s="8">
        <v>104</v>
      </c>
      <c r="B122" s="9" t="s">
        <v>273</v>
      </c>
      <c r="C122" s="9"/>
      <c r="D122" s="10"/>
      <c r="E122" s="1">
        <v>252200</v>
      </c>
      <c r="F122" s="11"/>
    </row>
    <row r="123" spans="1:7" ht="24" customHeight="1" thickBot="1">
      <c r="A123" s="8">
        <v>105</v>
      </c>
      <c r="B123" s="9" t="s">
        <v>273</v>
      </c>
      <c r="C123" s="9"/>
      <c r="D123" s="10"/>
      <c r="E123" s="1">
        <v>2160</v>
      </c>
      <c r="F123" s="11"/>
    </row>
    <row r="124" spans="1:7" ht="24" customHeight="1" thickBot="1">
      <c r="A124" s="12"/>
      <c r="B124" s="60" t="s">
        <v>100</v>
      </c>
      <c r="C124" s="61"/>
      <c r="D124" s="62"/>
      <c r="E124" s="13">
        <f>SUM(E97:E123)</f>
        <v>8731025</v>
      </c>
      <c r="F124" s="12"/>
    </row>
    <row r="125" spans="1:7" ht="24" customHeight="1">
      <c r="A125" s="58" t="s">
        <v>295</v>
      </c>
      <c r="B125" s="58"/>
      <c r="C125" s="58"/>
      <c r="D125" s="58"/>
      <c r="E125" s="58"/>
      <c r="F125" s="58"/>
    </row>
    <row r="126" spans="1:7" ht="24" customHeight="1" thickBot="1">
      <c r="A126" s="59" t="s">
        <v>117</v>
      </c>
      <c r="B126" s="59"/>
      <c r="C126" s="59"/>
      <c r="D126" s="59"/>
      <c r="E126" s="59"/>
      <c r="F126" s="59"/>
    </row>
    <row r="127" spans="1:7" ht="24" customHeight="1" thickBot="1">
      <c r="A127" s="16" t="s">
        <v>2</v>
      </c>
      <c r="B127" s="60" t="s">
        <v>3</v>
      </c>
      <c r="C127" s="61"/>
      <c r="D127" s="62"/>
      <c r="E127" s="16" t="s">
        <v>0</v>
      </c>
      <c r="F127" s="16" t="s">
        <v>1</v>
      </c>
    </row>
    <row r="128" spans="1:7" ht="24" customHeight="1" thickBot="1">
      <c r="A128" s="16"/>
      <c r="B128" s="60" t="s">
        <v>30</v>
      </c>
      <c r="C128" s="61"/>
      <c r="D128" s="62"/>
      <c r="E128" s="13">
        <f>E124</f>
        <v>8731025</v>
      </c>
      <c r="F128" s="12"/>
    </row>
    <row r="129" spans="1:13" ht="24" customHeight="1">
      <c r="A129" s="8">
        <v>106</v>
      </c>
      <c r="B129" s="9" t="s">
        <v>125</v>
      </c>
      <c r="C129" s="9"/>
      <c r="D129" s="10"/>
      <c r="E129" s="1">
        <v>23816</v>
      </c>
      <c r="F129" s="11"/>
      <c r="G129" s="2">
        <v>618706</v>
      </c>
    </row>
    <row r="130" spans="1:13" ht="24" customHeight="1">
      <c r="A130" s="8">
        <v>107</v>
      </c>
      <c r="B130" s="9" t="s">
        <v>99</v>
      </c>
      <c r="C130" s="9"/>
      <c r="D130" s="10"/>
      <c r="E130" s="1">
        <v>700</v>
      </c>
      <c r="F130" s="11"/>
    </row>
    <row r="131" spans="1:13" ht="24" customHeight="1">
      <c r="A131" s="8">
        <v>108</v>
      </c>
      <c r="B131" s="9" t="s">
        <v>274</v>
      </c>
      <c r="C131" s="9"/>
      <c r="D131" s="10"/>
      <c r="E131" s="1">
        <v>12600</v>
      </c>
      <c r="F131" s="11"/>
    </row>
    <row r="132" spans="1:13" ht="24" customHeight="1">
      <c r="A132" s="8">
        <v>109</v>
      </c>
      <c r="B132" s="9" t="s">
        <v>275</v>
      </c>
      <c r="C132" s="9"/>
      <c r="D132" s="10"/>
      <c r="E132" s="1">
        <v>2204</v>
      </c>
      <c r="F132" s="11"/>
    </row>
    <row r="133" spans="1:13" ht="24" customHeight="1">
      <c r="A133" s="8">
        <v>110</v>
      </c>
      <c r="B133" s="9" t="s">
        <v>276</v>
      </c>
      <c r="C133" s="9"/>
      <c r="D133" s="10"/>
      <c r="E133" s="1">
        <v>2400</v>
      </c>
      <c r="F133" s="11"/>
    </row>
    <row r="134" spans="1:13" ht="24" customHeight="1">
      <c r="A134" s="8">
        <v>111</v>
      </c>
      <c r="B134" s="9" t="s">
        <v>277</v>
      </c>
      <c r="C134" s="9"/>
      <c r="D134" s="10"/>
      <c r="E134" s="15">
        <v>1500</v>
      </c>
      <c r="F134" s="11"/>
    </row>
    <row r="135" spans="1:13" ht="24" customHeight="1">
      <c r="A135" s="8">
        <v>112</v>
      </c>
      <c r="B135" s="9" t="s">
        <v>42</v>
      </c>
      <c r="C135" s="9"/>
      <c r="D135" s="10"/>
      <c r="E135" s="1">
        <v>41890</v>
      </c>
      <c r="F135" s="11"/>
    </row>
    <row r="136" spans="1:13" ht="24" customHeight="1">
      <c r="A136" s="8">
        <v>113</v>
      </c>
      <c r="B136" s="9" t="s">
        <v>105</v>
      </c>
      <c r="C136" s="9"/>
      <c r="D136" s="10"/>
      <c r="E136" s="1">
        <v>12000</v>
      </c>
      <c r="F136" s="11"/>
    </row>
    <row r="137" spans="1:13" ht="24" customHeight="1">
      <c r="A137" s="8">
        <v>114</v>
      </c>
      <c r="B137" s="9" t="s">
        <v>278</v>
      </c>
      <c r="C137" s="9"/>
      <c r="D137" s="10"/>
      <c r="E137" s="1">
        <v>40740</v>
      </c>
      <c r="F137" s="11"/>
    </row>
    <row r="138" spans="1:13" ht="24" customHeight="1">
      <c r="A138" s="8">
        <v>115</v>
      </c>
      <c r="B138" s="9" t="s">
        <v>279</v>
      </c>
      <c r="C138" s="9"/>
      <c r="D138" s="10"/>
      <c r="E138" s="1">
        <v>86400</v>
      </c>
      <c r="F138" s="11"/>
    </row>
    <row r="139" spans="1:13" ht="24" customHeight="1">
      <c r="A139" s="8">
        <v>116</v>
      </c>
      <c r="B139" s="9" t="s">
        <v>113</v>
      </c>
      <c r="C139" s="9"/>
      <c r="D139" s="10"/>
      <c r="E139" s="1">
        <v>21240</v>
      </c>
      <c r="F139" s="11"/>
    </row>
    <row r="140" spans="1:13" ht="24" customHeight="1">
      <c r="A140" s="8">
        <v>117</v>
      </c>
      <c r="B140" s="9" t="s">
        <v>280</v>
      </c>
      <c r="C140" s="9"/>
      <c r="D140" s="10"/>
      <c r="E140" s="1">
        <v>22680</v>
      </c>
      <c r="F140" s="11"/>
    </row>
    <row r="141" spans="1:13" ht="24" customHeight="1">
      <c r="A141" s="8">
        <v>118</v>
      </c>
      <c r="B141" s="9" t="s">
        <v>281</v>
      </c>
      <c r="C141" s="9"/>
      <c r="D141" s="10"/>
      <c r="E141" s="1">
        <v>15400</v>
      </c>
      <c r="F141" s="11"/>
    </row>
    <row r="142" spans="1:13" ht="24" customHeight="1">
      <c r="A142" s="8">
        <v>119</v>
      </c>
      <c r="B142" s="9" t="s">
        <v>282</v>
      </c>
      <c r="C142" s="9"/>
      <c r="D142" s="10"/>
      <c r="E142" s="1">
        <v>48800</v>
      </c>
      <c r="F142" s="11"/>
      <c r="K142" s="14"/>
      <c r="M142" s="14"/>
    </row>
    <row r="143" spans="1:13" ht="24" customHeight="1">
      <c r="A143" s="8">
        <v>120</v>
      </c>
      <c r="B143" s="9" t="s">
        <v>282</v>
      </c>
      <c r="C143" s="9"/>
      <c r="D143" s="10"/>
      <c r="E143" s="1">
        <v>208200</v>
      </c>
      <c r="F143" s="11"/>
    </row>
    <row r="144" spans="1:13" ht="24" customHeight="1">
      <c r="A144" s="8">
        <v>121</v>
      </c>
      <c r="B144" s="9" t="s">
        <v>6</v>
      </c>
      <c r="C144" s="9"/>
      <c r="D144" s="10"/>
      <c r="E144" s="1">
        <v>378180</v>
      </c>
      <c r="F144" s="11"/>
      <c r="K144" s="14"/>
      <c r="M144" s="14"/>
    </row>
    <row r="145" spans="1:7" ht="24" customHeight="1">
      <c r="A145" s="8">
        <v>122</v>
      </c>
      <c r="B145" s="9" t="s">
        <v>144</v>
      </c>
      <c r="C145" s="9"/>
      <c r="D145" s="10"/>
      <c r="E145" s="1">
        <v>112280</v>
      </c>
      <c r="F145" s="11"/>
    </row>
    <row r="146" spans="1:7" ht="24" customHeight="1">
      <c r="A146" s="8">
        <v>123</v>
      </c>
      <c r="B146" s="9" t="s">
        <v>283</v>
      </c>
      <c r="C146" s="9"/>
      <c r="D146" s="10"/>
      <c r="E146" s="1">
        <v>165930</v>
      </c>
      <c r="F146" s="11"/>
    </row>
    <row r="147" spans="1:7" ht="24" customHeight="1">
      <c r="A147" s="8">
        <v>124</v>
      </c>
      <c r="B147" s="9" t="s">
        <v>71</v>
      </c>
      <c r="C147" s="9"/>
      <c r="D147" s="10"/>
      <c r="E147" s="1">
        <v>122880</v>
      </c>
      <c r="F147" s="11"/>
    </row>
    <row r="148" spans="1:7" ht="24" customHeight="1">
      <c r="A148" s="8">
        <v>125</v>
      </c>
      <c r="B148" s="9" t="s">
        <v>284</v>
      </c>
      <c r="C148" s="9"/>
      <c r="D148" s="10"/>
      <c r="E148" s="1">
        <v>50760</v>
      </c>
      <c r="F148" s="11"/>
    </row>
    <row r="149" spans="1:7" ht="24" customHeight="1">
      <c r="A149" s="8">
        <v>126</v>
      </c>
      <c r="B149" s="9" t="s">
        <v>91</v>
      </c>
      <c r="C149" s="9"/>
      <c r="D149" s="10"/>
      <c r="E149" s="1">
        <v>537480</v>
      </c>
      <c r="F149" s="11"/>
    </row>
    <row r="150" spans="1:7" ht="24" customHeight="1">
      <c r="A150" s="8">
        <v>127</v>
      </c>
      <c r="B150" s="9" t="s">
        <v>285</v>
      </c>
      <c r="C150" s="9"/>
      <c r="D150" s="10"/>
      <c r="E150" s="1">
        <v>15950</v>
      </c>
      <c r="F150" s="11"/>
      <c r="G150" s="2">
        <v>1900214</v>
      </c>
    </row>
    <row r="151" spans="1:7" ht="24" customHeight="1">
      <c r="A151" s="8">
        <v>128</v>
      </c>
      <c r="B151" s="9" t="s">
        <v>286</v>
      </c>
      <c r="C151" s="9"/>
      <c r="D151" s="10"/>
      <c r="E151" s="15">
        <v>92120</v>
      </c>
      <c r="F151" s="11"/>
    </row>
    <row r="152" spans="1:7" ht="24" customHeight="1">
      <c r="A152" s="8">
        <v>129</v>
      </c>
      <c r="B152" s="9" t="s">
        <v>287</v>
      </c>
      <c r="C152" s="9"/>
      <c r="D152" s="10"/>
      <c r="E152" s="15">
        <v>25620</v>
      </c>
      <c r="F152" s="11"/>
    </row>
    <row r="153" spans="1:7" ht="24" customHeight="1">
      <c r="A153" s="8">
        <v>130</v>
      </c>
      <c r="B153" s="9" t="s">
        <v>288</v>
      </c>
      <c r="C153" s="9"/>
      <c r="D153" s="10"/>
      <c r="E153" s="15">
        <v>168240</v>
      </c>
      <c r="F153" s="11"/>
    </row>
    <row r="154" spans="1:7" ht="24" customHeight="1" thickBot="1">
      <c r="A154" s="8">
        <v>131</v>
      </c>
      <c r="B154" s="9" t="s">
        <v>289</v>
      </c>
      <c r="C154" s="9"/>
      <c r="D154" s="10"/>
      <c r="E154" s="15">
        <v>436960</v>
      </c>
      <c r="F154" s="11"/>
    </row>
    <row r="155" spans="1:7" ht="24" customHeight="1" thickBot="1">
      <c r="A155" s="12"/>
      <c r="B155" s="60" t="s">
        <v>100</v>
      </c>
      <c r="C155" s="61"/>
      <c r="D155" s="62"/>
      <c r="E155" s="13">
        <f>SUM(E128:E154)</f>
        <v>11377995</v>
      </c>
      <c r="F155" s="12"/>
    </row>
    <row r="156" spans="1:7" ht="24" customHeight="1">
      <c r="A156" s="58" t="s">
        <v>295</v>
      </c>
      <c r="B156" s="58"/>
      <c r="C156" s="58"/>
      <c r="D156" s="58"/>
      <c r="E156" s="58"/>
      <c r="F156" s="58"/>
    </row>
    <row r="157" spans="1:7" ht="24" customHeight="1" thickBot="1">
      <c r="A157" s="59" t="s">
        <v>117</v>
      </c>
      <c r="B157" s="59"/>
      <c r="C157" s="59"/>
      <c r="D157" s="59"/>
      <c r="E157" s="59"/>
      <c r="F157" s="59"/>
    </row>
    <row r="158" spans="1:7" ht="24" customHeight="1" thickBot="1">
      <c r="A158" s="16" t="s">
        <v>2</v>
      </c>
      <c r="B158" s="60" t="s">
        <v>3</v>
      </c>
      <c r="C158" s="61"/>
      <c r="D158" s="62"/>
      <c r="E158" s="16" t="s">
        <v>0</v>
      </c>
      <c r="F158" s="16" t="s">
        <v>1</v>
      </c>
    </row>
    <row r="159" spans="1:7" ht="24" customHeight="1" thickBot="1">
      <c r="A159" s="16"/>
      <c r="B159" s="60" t="s">
        <v>30</v>
      </c>
      <c r="C159" s="61"/>
      <c r="D159" s="62"/>
      <c r="E159" s="13">
        <f>E155</f>
        <v>11377995</v>
      </c>
      <c r="F159" s="12"/>
    </row>
    <row r="160" spans="1:7" ht="24" customHeight="1">
      <c r="A160" s="8">
        <v>132</v>
      </c>
      <c r="B160" s="9" t="s">
        <v>290</v>
      </c>
      <c r="C160" s="9"/>
      <c r="D160" s="10"/>
      <c r="E160" s="1">
        <v>3600</v>
      </c>
      <c r="F160" s="11"/>
    </row>
    <row r="161" spans="1:7" ht="24" customHeight="1">
      <c r="A161" s="8">
        <v>133</v>
      </c>
      <c r="B161" s="9" t="s">
        <v>291</v>
      </c>
      <c r="C161" s="9"/>
      <c r="D161" s="10"/>
      <c r="E161" s="1">
        <v>50800</v>
      </c>
      <c r="F161" s="11"/>
    </row>
    <row r="162" spans="1:7" ht="24" customHeight="1">
      <c r="A162" s="8">
        <v>134</v>
      </c>
      <c r="B162" s="9" t="s">
        <v>292</v>
      </c>
      <c r="C162" s="9"/>
      <c r="D162" s="10"/>
      <c r="E162" s="1">
        <v>142870</v>
      </c>
      <c r="F162" s="11"/>
      <c r="G162" s="2">
        <v>920210</v>
      </c>
    </row>
    <row r="163" spans="1:7" ht="24" customHeight="1">
      <c r="A163" s="8">
        <v>135</v>
      </c>
      <c r="B163" s="9" t="s">
        <v>48</v>
      </c>
      <c r="C163" s="9"/>
      <c r="D163" s="10"/>
      <c r="E163" s="1">
        <v>822508</v>
      </c>
      <c r="F163" s="11"/>
    </row>
    <row r="164" spans="1:7" ht="24" customHeight="1">
      <c r="A164" s="8">
        <v>136</v>
      </c>
      <c r="B164" s="9" t="s">
        <v>146</v>
      </c>
      <c r="C164" s="9"/>
      <c r="D164" s="10"/>
      <c r="E164" s="1">
        <v>427260</v>
      </c>
      <c r="F164" s="11"/>
    </row>
    <row r="165" spans="1:7" ht="24" customHeight="1">
      <c r="A165" s="8">
        <v>137</v>
      </c>
      <c r="B165" s="9" t="s">
        <v>296</v>
      </c>
      <c r="C165" s="9"/>
      <c r="D165" s="10"/>
      <c r="E165" s="1">
        <v>83080</v>
      </c>
      <c r="F165" s="11"/>
    </row>
    <row r="166" spans="1:7" ht="24" customHeight="1">
      <c r="A166" s="8">
        <v>138</v>
      </c>
      <c r="B166" s="9" t="s">
        <v>297</v>
      </c>
      <c r="C166" s="9"/>
      <c r="D166" s="10"/>
      <c r="E166" s="1">
        <v>108240</v>
      </c>
      <c r="F166" s="11"/>
    </row>
    <row r="167" spans="1:7" ht="24" customHeight="1">
      <c r="A167" s="8">
        <v>139</v>
      </c>
      <c r="B167" s="9" t="s">
        <v>298</v>
      </c>
      <c r="C167" s="9"/>
      <c r="D167" s="10"/>
      <c r="E167" s="1">
        <v>89040</v>
      </c>
      <c r="F167" s="11"/>
    </row>
    <row r="168" spans="1:7" ht="24" customHeight="1">
      <c r="A168" s="8">
        <v>140</v>
      </c>
      <c r="B168" s="9" t="s">
        <v>52</v>
      </c>
      <c r="C168" s="9"/>
      <c r="D168" s="10"/>
      <c r="E168" s="1">
        <v>129400</v>
      </c>
      <c r="F168" s="11"/>
    </row>
    <row r="169" spans="1:7" ht="24" customHeight="1" thickBot="1">
      <c r="A169" s="8">
        <v>141</v>
      </c>
      <c r="B169" s="9" t="s">
        <v>299</v>
      </c>
      <c r="C169" s="9"/>
      <c r="D169" s="10"/>
      <c r="E169" s="1">
        <v>324280</v>
      </c>
      <c r="F169" s="11"/>
    </row>
    <row r="170" spans="1:7" ht="24" customHeight="1" thickBot="1">
      <c r="A170" s="12"/>
      <c r="B170" s="64" t="s">
        <v>4</v>
      </c>
      <c r="C170" s="65"/>
      <c r="D170" s="66"/>
      <c r="E170" s="18">
        <f>SUM(E159:E169)</f>
        <v>13559073</v>
      </c>
      <c r="F170" s="12"/>
    </row>
    <row r="173" spans="1:7" ht="24" customHeight="1">
      <c r="D173" s="63" t="s">
        <v>116</v>
      </c>
      <c r="E173" s="63"/>
      <c r="F173" s="63"/>
    </row>
  </sheetData>
  <mergeCells count="30">
    <mergeCell ref="B155:D155"/>
    <mergeCell ref="D173:F173"/>
    <mergeCell ref="B97:D97"/>
    <mergeCell ref="B124:D124"/>
    <mergeCell ref="A125:F125"/>
    <mergeCell ref="A126:F126"/>
    <mergeCell ref="B127:D127"/>
    <mergeCell ref="B128:D128"/>
    <mergeCell ref="A156:F156"/>
    <mergeCell ref="A157:F157"/>
    <mergeCell ref="B158:D158"/>
    <mergeCell ref="B159:D159"/>
    <mergeCell ref="B170:D170"/>
    <mergeCell ref="B96:D96"/>
    <mergeCell ref="B34:D34"/>
    <mergeCell ref="B35:D35"/>
    <mergeCell ref="B62:D62"/>
    <mergeCell ref="A63:F63"/>
    <mergeCell ref="A64:F64"/>
    <mergeCell ref="B65:D65"/>
    <mergeCell ref="B66:D66"/>
    <mergeCell ref="B93:D93"/>
    <mergeCell ref="A94:F94"/>
    <mergeCell ref="A95:F95"/>
    <mergeCell ref="A33:F33"/>
    <mergeCell ref="A1:F1"/>
    <mergeCell ref="A2:F2"/>
    <mergeCell ref="B3:D3"/>
    <mergeCell ref="B31:D31"/>
    <mergeCell ref="A32:F3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H14" sqref="H14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300</v>
      </c>
      <c r="B1" s="58"/>
      <c r="C1" s="58"/>
      <c r="D1" s="58"/>
      <c r="E1" s="58"/>
      <c r="F1" s="58"/>
    </row>
    <row r="2" spans="1:6" ht="24" customHeight="1" thickBot="1">
      <c r="A2" s="59" t="s">
        <v>117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301</v>
      </c>
      <c r="C4" s="4"/>
      <c r="D4" s="5"/>
      <c r="E4" s="6">
        <v>1650</v>
      </c>
      <c r="F4" s="7"/>
    </row>
    <row r="5" spans="1:6" ht="24" customHeight="1">
      <c r="A5" s="8">
        <v>2</v>
      </c>
      <c r="B5" s="9" t="s">
        <v>302</v>
      </c>
      <c r="C5" s="9"/>
      <c r="D5" s="10"/>
      <c r="E5" s="1">
        <v>1440</v>
      </c>
      <c r="F5" s="11"/>
    </row>
    <row r="6" spans="1:6" ht="24" customHeight="1" thickBot="1">
      <c r="A6" s="8">
        <v>3</v>
      </c>
      <c r="B6" s="9" t="s">
        <v>302</v>
      </c>
      <c r="C6" s="9"/>
      <c r="D6" s="10"/>
      <c r="E6" s="1">
        <v>6240</v>
      </c>
      <c r="F6" s="11"/>
    </row>
    <row r="7" spans="1:6" ht="24" customHeight="1" thickBot="1">
      <c r="A7" s="12"/>
      <c r="B7" s="64" t="s">
        <v>4</v>
      </c>
      <c r="C7" s="65"/>
      <c r="D7" s="66"/>
      <c r="E7" s="13">
        <f>SUM(E4:E6)</f>
        <v>9330</v>
      </c>
      <c r="F7" s="12"/>
    </row>
    <row r="9" spans="1:6" ht="24" customHeight="1">
      <c r="D9" s="63" t="s">
        <v>116</v>
      </c>
      <c r="E9" s="63"/>
      <c r="F9" s="63"/>
    </row>
  </sheetData>
  <mergeCells count="5">
    <mergeCell ref="D9:F9"/>
    <mergeCell ref="A1:F1"/>
    <mergeCell ref="A2:F2"/>
    <mergeCell ref="B3:D3"/>
    <mergeCell ref="B7:D7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3"/>
  <sheetViews>
    <sheetView workbookViewId="0">
      <selection activeCell="K23" sqref="K23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7" ht="24" customHeight="1">
      <c r="A1" s="58" t="s">
        <v>303</v>
      </c>
      <c r="B1" s="58"/>
      <c r="C1" s="58"/>
      <c r="D1" s="58"/>
      <c r="E1" s="58"/>
      <c r="F1" s="58"/>
    </row>
    <row r="2" spans="1:7" ht="24" customHeight="1" thickBot="1">
      <c r="A2" s="59" t="s">
        <v>117</v>
      </c>
      <c r="B2" s="59"/>
      <c r="C2" s="59"/>
      <c r="D2" s="59"/>
      <c r="E2" s="59"/>
      <c r="F2" s="59"/>
    </row>
    <row r="3" spans="1:7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7" ht="24" customHeight="1">
      <c r="A4" s="3">
        <v>1</v>
      </c>
      <c r="B4" s="4" t="s">
        <v>29</v>
      </c>
      <c r="C4" s="4"/>
      <c r="D4" s="5"/>
      <c r="E4" s="6">
        <v>27200</v>
      </c>
      <c r="F4" s="7"/>
    </row>
    <row r="5" spans="1:7" ht="24" customHeight="1">
      <c r="A5" s="29">
        <v>2</v>
      </c>
      <c r="B5" s="30" t="s">
        <v>29</v>
      </c>
      <c r="C5" s="9"/>
      <c r="D5" s="10"/>
      <c r="E5" s="1">
        <v>179290</v>
      </c>
      <c r="F5" s="11"/>
    </row>
    <row r="6" spans="1:7" ht="24" customHeight="1">
      <c r="A6" s="8">
        <v>3</v>
      </c>
      <c r="B6" s="9" t="s">
        <v>304</v>
      </c>
      <c r="C6" s="9"/>
      <c r="D6" s="10"/>
      <c r="E6" s="1">
        <v>227600</v>
      </c>
      <c r="F6" s="11"/>
    </row>
    <row r="7" spans="1:7" ht="24" customHeight="1">
      <c r="A7" s="8">
        <v>4</v>
      </c>
      <c r="B7" s="9" t="s">
        <v>305</v>
      </c>
      <c r="C7" s="9"/>
      <c r="D7" s="10"/>
      <c r="E7" s="1">
        <v>264500</v>
      </c>
      <c r="F7" s="11"/>
    </row>
    <row r="8" spans="1:7" ht="24" customHeight="1">
      <c r="A8" s="8">
        <v>5</v>
      </c>
      <c r="B8" s="9" t="s">
        <v>305</v>
      </c>
      <c r="C8" s="9"/>
      <c r="D8" s="10"/>
      <c r="E8" s="1">
        <v>54120</v>
      </c>
      <c r="F8" s="11"/>
      <c r="G8" s="2">
        <v>752710</v>
      </c>
    </row>
    <row r="9" spans="1:7" ht="24" customHeight="1">
      <c r="A9" s="8">
        <v>6</v>
      </c>
      <c r="B9" s="9" t="s">
        <v>110</v>
      </c>
      <c r="C9" s="9"/>
      <c r="D9" s="10"/>
      <c r="E9" s="1">
        <v>102400</v>
      </c>
      <c r="F9" s="11"/>
    </row>
    <row r="10" spans="1:7" ht="24" customHeight="1">
      <c r="A10" s="8">
        <v>7</v>
      </c>
      <c r="B10" s="9" t="s">
        <v>212</v>
      </c>
      <c r="C10" s="9"/>
      <c r="D10" s="10"/>
      <c r="E10" s="1">
        <v>160960</v>
      </c>
      <c r="F10" s="11"/>
    </row>
    <row r="11" spans="1:7" ht="24" customHeight="1">
      <c r="A11" s="8">
        <v>8</v>
      </c>
      <c r="B11" s="9" t="s">
        <v>7</v>
      </c>
      <c r="C11" s="9"/>
      <c r="D11" s="10"/>
      <c r="E11" s="1">
        <v>49720</v>
      </c>
      <c r="F11" s="11"/>
    </row>
    <row r="12" spans="1:7" ht="24" customHeight="1">
      <c r="A12" s="8">
        <v>9</v>
      </c>
      <c r="B12" s="9" t="s">
        <v>128</v>
      </c>
      <c r="C12" s="9"/>
      <c r="D12" s="10"/>
      <c r="E12" s="1">
        <v>225120</v>
      </c>
      <c r="F12" s="11"/>
    </row>
    <row r="13" spans="1:7" ht="24" customHeight="1">
      <c r="A13" s="8">
        <v>10</v>
      </c>
      <c r="B13" s="9" t="s">
        <v>43</v>
      </c>
      <c r="C13" s="9"/>
      <c r="D13" s="10"/>
      <c r="E13" s="1">
        <v>588</v>
      </c>
      <c r="F13" s="11"/>
    </row>
    <row r="14" spans="1:7" ht="24" customHeight="1">
      <c r="A14" s="8">
        <v>11</v>
      </c>
      <c r="B14" s="9" t="s">
        <v>90</v>
      </c>
      <c r="C14" s="9"/>
      <c r="D14" s="10"/>
      <c r="E14" s="1">
        <v>105920</v>
      </c>
      <c r="F14" s="11"/>
      <c r="G14" s="2">
        <v>644708</v>
      </c>
    </row>
    <row r="15" spans="1:7" ht="24" customHeight="1">
      <c r="A15" s="8">
        <v>12</v>
      </c>
      <c r="B15" s="9" t="s">
        <v>306</v>
      </c>
      <c r="C15" s="9"/>
      <c r="D15" s="10"/>
      <c r="E15" s="1">
        <v>332270</v>
      </c>
      <c r="F15" s="11"/>
    </row>
    <row r="16" spans="1:7" ht="24" customHeight="1">
      <c r="A16" s="8">
        <v>13</v>
      </c>
      <c r="B16" s="9" t="s">
        <v>307</v>
      </c>
      <c r="C16" s="9"/>
      <c r="D16" s="10"/>
      <c r="E16" s="1">
        <v>92700</v>
      </c>
      <c r="F16" s="11"/>
      <c r="G16" s="2">
        <v>424970</v>
      </c>
    </row>
    <row r="17" spans="1:7" ht="24" customHeight="1">
      <c r="A17" s="8">
        <v>14</v>
      </c>
      <c r="B17" s="9" t="s">
        <v>308</v>
      </c>
      <c r="C17" s="9"/>
      <c r="D17" s="10"/>
      <c r="E17" s="1">
        <v>219840</v>
      </c>
      <c r="F17" s="11"/>
    </row>
    <row r="18" spans="1:7" ht="24" customHeight="1">
      <c r="A18" s="8">
        <v>15</v>
      </c>
      <c r="B18" s="9" t="s">
        <v>309</v>
      </c>
      <c r="C18" s="9"/>
      <c r="D18" s="10"/>
      <c r="E18" s="1">
        <v>153560</v>
      </c>
      <c r="F18" s="11"/>
    </row>
    <row r="19" spans="1:7" ht="24" customHeight="1">
      <c r="A19" s="8">
        <v>16</v>
      </c>
      <c r="B19" s="9" t="s">
        <v>46</v>
      </c>
      <c r="C19" s="9"/>
      <c r="D19" s="10"/>
      <c r="E19" s="1">
        <v>180300</v>
      </c>
      <c r="F19" s="11"/>
    </row>
    <row r="20" spans="1:7" ht="24" customHeight="1">
      <c r="A20" s="8">
        <v>17</v>
      </c>
      <c r="B20" s="9" t="s">
        <v>310</v>
      </c>
      <c r="C20" s="9"/>
      <c r="D20" s="10"/>
      <c r="E20" s="1">
        <v>115320</v>
      </c>
      <c r="F20" s="11"/>
    </row>
    <row r="21" spans="1:7" ht="24" customHeight="1">
      <c r="A21" s="8">
        <v>18</v>
      </c>
      <c r="B21" s="9" t="s">
        <v>311</v>
      </c>
      <c r="C21" s="9"/>
      <c r="D21" s="10"/>
      <c r="E21" s="1">
        <v>101780</v>
      </c>
      <c r="F21" s="11"/>
    </row>
    <row r="22" spans="1:7" ht="24" customHeight="1">
      <c r="A22" s="8">
        <v>19</v>
      </c>
      <c r="B22" s="9" t="s">
        <v>312</v>
      </c>
      <c r="C22" s="9"/>
      <c r="D22" s="10"/>
      <c r="E22" s="1">
        <v>34800</v>
      </c>
      <c r="F22" s="11"/>
    </row>
    <row r="23" spans="1:7" ht="24" customHeight="1" thickBot="1">
      <c r="A23" s="8">
        <v>20</v>
      </c>
      <c r="B23" s="9" t="s">
        <v>54</v>
      </c>
      <c r="C23" s="9"/>
      <c r="D23" s="10"/>
      <c r="E23" s="1">
        <v>390140</v>
      </c>
      <c r="F23" s="11"/>
    </row>
    <row r="24" spans="1:7" ht="24" customHeight="1" thickBot="1">
      <c r="A24" s="12"/>
      <c r="B24" s="64" t="s">
        <v>155</v>
      </c>
      <c r="C24" s="65"/>
      <c r="D24" s="66"/>
      <c r="E24" s="18">
        <f>SUM(E4:E23)</f>
        <v>3018128</v>
      </c>
      <c r="F24" s="12"/>
    </row>
    <row r="25" spans="1:7" ht="24" customHeight="1">
      <c r="A25" s="9"/>
      <c r="B25" s="31"/>
      <c r="C25" s="31"/>
      <c r="D25" s="31"/>
      <c r="E25" s="21"/>
      <c r="F25" s="9"/>
    </row>
    <row r="26" spans="1:7" ht="24" customHeight="1">
      <c r="A26" s="9"/>
      <c r="B26" s="31"/>
      <c r="C26" s="31"/>
      <c r="D26" s="31"/>
      <c r="E26" s="21"/>
      <c r="F26" s="9"/>
    </row>
    <row r="27" spans="1:7" ht="24" customHeight="1">
      <c r="A27" s="9"/>
      <c r="B27" s="31"/>
      <c r="C27" s="31"/>
      <c r="D27" s="63" t="s">
        <v>116</v>
      </c>
      <c r="E27" s="63"/>
      <c r="F27" s="63"/>
      <c r="G27" s="33"/>
    </row>
    <row r="28" spans="1:7" ht="24" customHeight="1">
      <c r="A28" s="9"/>
      <c r="B28" s="31"/>
      <c r="C28" s="31"/>
      <c r="D28" s="31"/>
      <c r="E28" s="21"/>
      <c r="F28" s="9"/>
    </row>
    <row r="29" spans="1:7" ht="24" customHeight="1">
      <c r="A29" s="9"/>
      <c r="B29" s="31"/>
      <c r="C29" s="31"/>
      <c r="D29" s="31"/>
      <c r="E29" s="21"/>
      <c r="F29" s="9"/>
    </row>
    <row r="30" spans="1:7" ht="24" customHeight="1">
      <c r="A30" s="9"/>
      <c r="B30" s="31"/>
      <c r="C30" s="31"/>
      <c r="D30" s="31"/>
      <c r="E30" s="21"/>
      <c r="F30" s="9"/>
    </row>
    <row r="31" spans="1:7" ht="24" customHeight="1">
      <c r="A31" s="9"/>
      <c r="B31" s="31"/>
      <c r="C31" s="31"/>
      <c r="D31" s="31"/>
      <c r="E31" s="21"/>
      <c r="F31" s="9"/>
    </row>
    <row r="32" spans="1:7" ht="24" customHeight="1">
      <c r="A32" s="58" t="s">
        <v>294</v>
      </c>
      <c r="B32" s="58"/>
      <c r="C32" s="58"/>
      <c r="D32" s="58"/>
      <c r="E32" s="58"/>
      <c r="F32" s="58"/>
    </row>
    <row r="33" spans="1:7" ht="24" customHeight="1" thickBot="1">
      <c r="A33" s="59" t="s">
        <v>117</v>
      </c>
      <c r="B33" s="59"/>
      <c r="C33" s="59"/>
      <c r="D33" s="59"/>
      <c r="E33" s="59"/>
      <c r="F33" s="59"/>
    </row>
    <row r="34" spans="1:7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7" ht="24" customHeight="1" thickBot="1">
      <c r="A35" s="16"/>
      <c r="B35" s="60" t="s">
        <v>30</v>
      </c>
      <c r="C35" s="61"/>
      <c r="D35" s="62"/>
      <c r="E35" s="13">
        <f>E24</f>
        <v>3018128</v>
      </c>
      <c r="F35" s="12"/>
    </row>
    <row r="36" spans="1:7" ht="24" customHeight="1">
      <c r="A36" s="8">
        <v>28</v>
      </c>
      <c r="B36" s="9" t="s">
        <v>236</v>
      </c>
      <c r="C36" s="9"/>
      <c r="D36" s="10"/>
      <c r="E36" s="1">
        <v>69370</v>
      </c>
      <c r="F36" s="11"/>
    </row>
    <row r="37" spans="1:7" ht="24" customHeight="1">
      <c r="A37" s="8">
        <v>29</v>
      </c>
      <c r="B37" s="9" t="s">
        <v>16</v>
      </c>
      <c r="C37" s="9"/>
      <c r="D37" s="10"/>
      <c r="E37" s="15">
        <v>14700</v>
      </c>
      <c r="F37" s="11"/>
    </row>
    <row r="38" spans="1:7" ht="24" customHeight="1">
      <c r="A38" s="8">
        <v>30</v>
      </c>
      <c r="B38" s="9" t="s">
        <v>237</v>
      </c>
      <c r="C38" s="9"/>
      <c r="D38" s="10"/>
      <c r="E38" s="1">
        <v>29920</v>
      </c>
      <c r="F38" s="11"/>
    </row>
    <row r="39" spans="1:7" ht="24" customHeight="1">
      <c r="A39" s="8">
        <v>31</v>
      </c>
      <c r="B39" s="9" t="s">
        <v>35</v>
      </c>
      <c r="C39" s="9"/>
      <c r="D39" s="10"/>
      <c r="E39" s="1">
        <v>54560</v>
      </c>
      <c r="F39" s="11"/>
    </row>
    <row r="40" spans="1:7" ht="24" customHeight="1">
      <c r="A40" s="8">
        <v>32</v>
      </c>
      <c r="B40" s="9" t="s">
        <v>238</v>
      </c>
      <c r="C40" s="9"/>
      <c r="D40" s="10"/>
      <c r="E40" s="1">
        <v>268360</v>
      </c>
      <c r="F40" s="11"/>
      <c r="G40" s="2">
        <v>436910</v>
      </c>
    </row>
    <row r="41" spans="1:7" ht="24" customHeight="1">
      <c r="A41" s="8">
        <v>33</v>
      </c>
      <c r="B41" s="9" t="s">
        <v>239</v>
      </c>
      <c r="C41" s="9"/>
      <c r="D41" s="10"/>
      <c r="E41" s="1">
        <v>9768</v>
      </c>
      <c r="F41" s="11"/>
    </row>
    <row r="42" spans="1:7" ht="24" customHeight="1">
      <c r="A42" s="8">
        <v>34</v>
      </c>
      <c r="B42" s="9" t="s">
        <v>239</v>
      </c>
      <c r="C42" s="9"/>
      <c r="D42" s="10"/>
      <c r="E42" s="1">
        <v>31262.5</v>
      </c>
      <c r="F42" s="11"/>
    </row>
    <row r="43" spans="1:7" ht="24" customHeight="1">
      <c r="A43" s="8">
        <v>35</v>
      </c>
      <c r="B43" s="9" t="s">
        <v>239</v>
      </c>
      <c r="C43" s="9"/>
      <c r="D43" s="10"/>
      <c r="E43" s="1">
        <v>3800</v>
      </c>
      <c r="F43" s="11"/>
    </row>
    <row r="44" spans="1:7" ht="24" customHeight="1">
      <c r="A44" s="8">
        <v>36</v>
      </c>
      <c r="B44" s="9" t="s">
        <v>40</v>
      </c>
      <c r="C44" s="9"/>
      <c r="D44" s="10"/>
      <c r="E44" s="1">
        <v>145490</v>
      </c>
      <c r="F44" s="11"/>
    </row>
    <row r="45" spans="1:7" ht="24" customHeight="1">
      <c r="A45" s="8">
        <v>37</v>
      </c>
      <c r="B45" s="9" t="s">
        <v>240</v>
      </c>
      <c r="C45" s="9"/>
      <c r="D45" s="10"/>
      <c r="E45" s="1">
        <v>78060</v>
      </c>
      <c r="F45" s="11"/>
    </row>
    <row r="46" spans="1:7" ht="24" customHeight="1">
      <c r="A46" s="8">
        <v>38</v>
      </c>
      <c r="B46" s="9" t="s">
        <v>241</v>
      </c>
      <c r="C46" s="9"/>
      <c r="D46" s="10"/>
      <c r="E46" s="1">
        <v>37620</v>
      </c>
      <c r="F46" s="11"/>
    </row>
    <row r="47" spans="1:7" ht="24" customHeight="1">
      <c r="A47" s="8">
        <v>39</v>
      </c>
      <c r="B47" s="9" t="s">
        <v>141</v>
      </c>
      <c r="C47" s="9"/>
      <c r="D47" s="10"/>
      <c r="E47" s="1">
        <v>31040</v>
      </c>
      <c r="F47" s="11"/>
    </row>
    <row r="48" spans="1:7" ht="24" customHeight="1">
      <c r="A48" s="8">
        <v>40</v>
      </c>
      <c r="B48" s="9" t="s">
        <v>111</v>
      </c>
      <c r="C48" s="9"/>
      <c r="D48" s="10"/>
      <c r="E48" s="1">
        <v>7800</v>
      </c>
      <c r="F48" s="11"/>
    </row>
    <row r="49" spans="1:7" ht="24" customHeight="1">
      <c r="A49" s="8">
        <v>41</v>
      </c>
      <c r="B49" s="9" t="s">
        <v>210</v>
      </c>
      <c r="C49" s="9"/>
      <c r="D49" s="10"/>
      <c r="E49" s="1">
        <v>36300</v>
      </c>
      <c r="F49" s="11"/>
    </row>
    <row r="50" spans="1:7" ht="24" customHeight="1">
      <c r="A50" s="8">
        <v>42</v>
      </c>
      <c r="B50" s="9" t="s">
        <v>43</v>
      </c>
      <c r="C50" s="9"/>
      <c r="D50" s="10"/>
      <c r="E50" s="1">
        <v>27644</v>
      </c>
      <c r="F50" s="11"/>
      <c r="G50" s="2">
        <v>408784.5</v>
      </c>
    </row>
    <row r="51" spans="1:7" ht="24" customHeight="1">
      <c r="A51" s="8">
        <v>43</v>
      </c>
      <c r="B51" s="9" t="s">
        <v>83</v>
      </c>
      <c r="C51" s="9"/>
      <c r="D51" s="10"/>
      <c r="E51" s="1">
        <v>201440</v>
      </c>
      <c r="F51" s="11"/>
    </row>
    <row r="52" spans="1:7" ht="24" customHeight="1">
      <c r="A52" s="8">
        <v>44</v>
      </c>
      <c r="B52" s="9" t="s">
        <v>14</v>
      </c>
      <c r="C52" s="9"/>
      <c r="D52" s="10"/>
      <c r="E52" s="1">
        <v>19720</v>
      </c>
      <c r="F52" s="11"/>
    </row>
    <row r="53" spans="1:7" ht="24" customHeight="1">
      <c r="A53" s="8">
        <v>45</v>
      </c>
      <c r="B53" s="9" t="s">
        <v>106</v>
      </c>
      <c r="C53" s="9"/>
      <c r="D53" s="10"/>
      <c r="E53" s="1">
        <v>138720</v>
      </c>
      <c r="F53" s="11"/>
    </row>
    <row r="54" spans="1:7" ht="24" customHeight="1">
      <c r="A54" s="8">
        <v>46</v>
      </c>
      <c r="B54" s="9" t="s">
        <v>242</v>
      </c>
      <c r="C54" s="9"/>
      <c r="D54" s="10"/>
      <c r="E54" s="1">
        <v>10200</v>
      </c>
      <c r="F54" s="11"/>
    </row>
    <row r="55" spans="1:7" ht="24" customHeight="1">
      <c r="A55" s="8">
        <v>47</v>
      </c>
      <c r="B55" s="9" t="s">
        <v>243</v>
      </c>
      <c r="C55" s="9"/>
      <c r="D55" s="10"/>
      <c r="E55" s="1">
        <v>50400</v>
      </c>
      <c r="F55" s="11"/>
      <c r="G55" s="2">
        <v>420480</v>
      </c>
    </row>
    <row r="56" spans="1:7" ht="24" customHeight="1">
      <c r="A56" s="8">
        <v>48</v>
      </c>
      <c r="B56" s="9" t="s">
        <v>244</v>
      </c>
      <c r="C56" s="9"/>
      <c r="D56" s="10"/>
      <c r="E56" s="1">
        <v>24960</v>
      </c>
      <c r="F56" s="11"/>
    </row>
    <row r="57" spans="1:7" ht="24" customHeight="1">
      <c r="A57" s="8">
        <v>49</v>
      </c>
      <c r="B57" s="9" t="s">
        <v>96</v>
      </c>
      <c r="C57" s="9"/>
      <c r="D57" s="10"/>
      <c r="E57" s="1">
        <v>19200</v>
      </c>
      <c r="F57" s="11"/>
    </row>
    <row r="58" spans="1:7" ht="24" customHeight="1">
      <c r="A58" s="8">
        <v>50</v>
      </c>
      <c r="B58" s="9" t="s">
        <v>245</v>
      </c>
      <c r="C58" s="9"/>
      <c r="D58" s="10"/>
      <c r="E58" s="1">
        <v>60900</v>
      </c>
      <c r="F58" s="11"/>
      <c r="G58" s="2">
        <v>105060</v>
      </c>
    </row>
    <row r="59" spans="1:7" ht="24" customHeight="1">
      <c r="A59" s="8">
        <v>51</v>
      </c>
      <c r="B59" s="9" t="s">
        <v>246</v>
      </c>
      <c r="C59" s="9"/>
      <c r="D59" s="10"/>
      <c r="E59" s="1">
        <v>297900</v>
      </c>
      <c r="F59" s="11"/>
    </row>
    <row r="60" spans="1:7" ht="24" customHeight="1">
      <c r="A60" s="8">
        <v>52</v>
      </c>
      <c r="B60" s="9" t="s">
        <v>247</v>
      </c>
      <c r="C60" s="9"/>
      <c r="D60" s="10"/>
      <c r="E60" s="1">
        <v>5200</v>
      </c>
      <c r="F60" s="11"/>
      <c r="G60" s="2">
        <v>303100</v>
      </c>
    </row>
    <row r="61" spans="1:7" ht="24" customHeight="1" thickBot="1">
      <c r="A61" s="8">
        <v>53</v>
      </c>
      <c r="B61" s="9" t="s">
        <v>65</v>
      </c>
      <c r="C61" s="9"/>
      <c r="D61" s="10"/>
      <c r="E61" s="1">
        <v>123180</v>
      </c>
      <c r="F61" s="11"/>
    </row>
    <row r="62" spans="1:7" ht="24" customHeight="1" thickBot="1">
      <c r="A62" s="12"/>
      <c r="B62" s="60" t="s">
        <v>155</v>
      </c>
      <c r="C62" s="61"/>
      <c r="D62" s="62"/>
      <c r="E62" s="13">
        <f>SUM(E35:E61)</f>
        <v>4815642.5</v>
      </c>
      <c r="F62" s="12"/>
    </row>
    <row r="63" spans="1:7" ht="24" customHeight="1">
      <c r="A63" s="58" t="s">
        <v>294</v>
      </c>
      <c r="B63" s="58"/>
      <c r="C63" s="58"/>
      <c r="D63" s="58"/>
      <c r="E63" s="58"/>
      <c r="F63" s="58"/>
    </row>
    <row r="64" spans="1:7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28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E62</f>
        <v>4815642.5</v>
      </c>
      <c r="F66" s="12"/>
    </row>
    <row r="67" spans="1:7" ht="24" customHeight="1">
      <c r="A67" s="8">
        <v>54</v>
      </c>
      <c r="B67" s="9" t="s">
        <v>67</v>
      </c>
      <c r="C67" s="9"/>
      <c r="D67" s="10"/>
      <c r="E67" s="1">
        <v>13200</v>
      </c>
      <c r="F67" s="11"/>
    </row>
    <row r="68" spans="1:7" ht="24" customHeight="1">
      <c r="A68" s="8">
        <v>55</v>
      </c>
      <c r="B68" s="9" t="s">
        <v>248</v>
      </c>
      <c r="C68" s="9"/>
      <c r="D68" s="10"/>
      <c r="E68" s="1">
        <v>1463.75</v>
      </c>
      <c r="F68" s="11"/>
      <c r="G68" s="14"/>
    </row>
    <row r="69" spans="1:7" ht="24" customHeight="1">
      <c r="A69" s="8">
        <v>56</v>
      </c>
      <c r="B69" s="9" t="s">
        <v>248</v>
      </c>
      <c r="C69" s="9"/>
      <c r="D69" s="10"/>
      <c r="E69" s="1">
        <v>6797.5</v>
      </c>
      <c r="F69" s="11"/>
    </row>
    <row r="70" spans="1:7" ht="24" customHeight="1">
      <c r="A70" s="8">
        <v>57</v>
      </c>
      <c r="B70" s="9" t="s">
        <v>248</v>
      </c>
      <c r="C70" s="9"/>
      <c r="D70" s="10"/>
      <c r="E70" s="1">
        <v>4358.75</v>
      </c>
      <c r="F70" s="11"/>
    </row>
    <row r="71" spans="1:7" ht="24" customHeight="1">
      <c r="A71" s="8">
        <v>58</v>
      </c>
      <c r="B71" s="9" t="s">
        <v>249</v>
      </c>
      <c r="C71" s="9"/>
      <c r="D71" s="10"/>
      <c r="E71" s="1">
        <v>80360</v>
      </c>
      <c r="F71" s="11"/>
    </row>
    <row r="72" spans="1:7" ht="24" customHeight="1">
      <c r="A72" s="8">
        <v>59</v>
      </c>
      <c r="B72" s="9" t="s">
        <v>68</v>
      </c>
      <c r="C72" s="9"/>
      <c r="D72" s="10"/>
      <c r="E72" s="1">
        <v>44720</v>
      </c>
      <c r="F72" s="11"/>
    </row>
    <row r="73" spans="1:7" ht="24" customHeight="1">
      <c r="A73" s="8">
        <v>60</v>
      </c>
      <c r="B73" s="9" t="s">
        <v>250</v>
      </c>
      <c r="C73" s="9"/>
      <c r="D73" s="10"/>
      <c r="E73" s="1">
        <v>18000</v>
      </c>
      <c r="F73" s="11"/>
    </row>
    <row r="74" spans="1:7" ht="24" customHeight="1">
      <c r="A74" s="8">
        <v>61</v>
      </c>
      <c r="B74" s="9" t="s">
        <v>251</v>
      </c>
      <c r="C74" s="9"/>
      <c r="D74" s="10"/>
      <c r="E74" s="1">
        <v>5760</v>
      </c>
      <c r="F74" s="11"/>
      <c r="G74" s="2">
        <v>174660</v>
      </c>
    </row>
    <row r="75" spans="1:7" ht="24" customHeight="1">
      <c r="A75" s="8">
        <v>62</v>
      </c>
      <c r="B75" s="9" t="s">
        <v>248</v>
      </c>
      <c r="C75" s="9"/>
      <c r="D75" s="10"/>
      <c r="E75" s="1">
        <v>30540</v>
      </c>
      <c r="F75" s="11"/>
    </row>
    <row r="76" spans="1:7" ht="24" customHeight="1">
      <c r="A76" s="8">
        <v>63</v>
      </c>
      <c r="B76" s="9" t="s">
        <v>248</v>
      </c>
      <c r="C76" s="9"/>
      <c r="D76" s="10"/>
      <c r="E76" s="1">
        <v>55807.5</v>
      </c>
      <c r="F76" s="11"/>
    </row>
    <row r="77" spans="1:7" ht="24" customHeight="1">
      <c r="A77" s="8">
        <v>64</v>
      </c>
      <c r="B77" s="9" t="s">
        <v>92</v>
      </c>
      <c r="C77" s="9"/>
      <c r="D77" s="10"/>
      <c r="E77" s="1">
        <v>98760</v>
      </c>
      <c r="F77" s="11"/>
    </row>
    <row r="78" spans="1:7" ht="24" customHeight="1">
      <c r="A78" s="8">
        <v>65</v>
      </c>
      <c r="B78" s="9" t="s">
        <v>21</v>
      </c>
      <c r="C78" s="9"/>
      <c r="D78" s="10"/>
      <c r="E78" s="1">
        <v>246000</v>
      </c>
      <c r="F78" s="11"/>
    </row>
    <row r="79" spans="1:7" ht="24" customHeight="1">
      <c r="A79" s="8">
        <v>66</v>
      </c>
      <c r="B79" s="9" t="s">
        <v>149</v>
      </c>
      <c r="C79" s="9"/>
      <c r="D79" s="10"/>
      <c r="E79" s="1">
        <v>46924</v>
      </c>
      <c r="F79" s="11"/>
    </row>
    <row r="80" spans="1:7" ht="24" customHeight="1">
      <c r="A80" s="8">
        <v>67</v>
      </c>
      <c r="B80" s="9" t="s">
        <v>252</v>
      </c>
      <c r="C80" s="9"/>
      <c r="D80" s="10"/>
      <c r="E80" s="1">
        <v>41400</v>
      </c>
      <c r="F80" s="11"/>
    </row>
    <row r="81" spans="1:7" ht="24" customHeight="1">
      <c r="A81" s="8">
        <v>68</v>
      </c>
      <c r="B81" s="9" t="s">
        <v>67</v>
      </c>
      <c r="C81" s="9"/>
      <c r="D81" s="10"/>
      <c r="E81" s="1">
        <v>12420</v>
      </c>
      <c r="F81" s="11"/>
    </row>
    <row r="82" spans="1:7" ht="24" customHeight="1">
      <c r="A82" s="8">
        <v>69</v>
      </c>
      <c r="B82" s="9" t="s">
        <v>253</v>
      </c>
      <c r="C82" s="9"/>
      <c r="D82" s="10"/>
      <c r="E82" s="1">
        <v>12600</v>
      </c>
      <c r="F82" s="11"/>
    </row>
    <row r="83" spans="1:7" ht="24" customHeight="1">
      <c r="A83" s="8">
        <v>70</v>
      </c>
      <c r="B83" s="9" t="s">
        <v>254</v>
      </c>
      <c r="C83" s="9"/>
      <c r="D83" s="10"/>
      <c r="E83" s="1">
        <v>69060</v>
      </c>
      <c r="F83" s="11"/>
    </row>
    <row r="84" spans="1:7" ht="24" customHeight="1">
      <c r="A84" s="8">
        <v>71</v>
      </c>
      <c r="B84" s="9" t="s">
        <v>255</v>
      </c>
      <c r="C84" s="9"/>
      <c r="D84" s="10"/>
      <c r="E84" s="1">
        <v>27600</v>
      </c>
      <c r="F84" s="11"/>
      <c r="G84" s="2">
        <v>641111.5</v>
      </c>
    </row>
    <row r="85" spans="1:7" ht="24" customHeight="1">
      <c r="A85" s="8">
        <v>72</v>
      </c>
      <c r="B85" s="9" t="s">
        <v>256</v>
      </c>
      <c r="C85" s="9"/>
      <c r="D85" s="10"/>
      <c r="E85" s="1">
        <v>193020</v>
      </c>
      <c r="F85" s="11"/>
    </row>
    <row r="86" spans="1:7" ht="24" customHeight="1">
      <c r="A86" s="8">
        <v>73</v>
      </c>
      <c r="B86" s="9" t="s">
        <v>257</v>
      </c>
      <c r="C86" s="9"/>
      <c r="D86" s="10"/>
      <c r="E86" s="15">
        <v>156700</v>
      </c>
      <c r="F86" s="11"/>
    </row>
    <row r="87" spans="1:7" ht="24" customHeight="1">
      <c r="A87" s="8">
        <v>74</v>
      </c>
      <c r="B87" s="9" t="s">
        <v>258</v>
      </c>
      <c r="C87" s="9"/>
      <c r="D87" s="10"/>
      <c r="E87" s="15">
        <v>1575</v>
      </c>
      <c r="F87" s="11"/>
    </row>
    <row r="88" spans="1:7" ht="24" customHeight="1">
      <c r="A88" s="8">
        <v>75</v>
      </c>
      <c r="B88" s="9" t="s">
        <v>134</v>
      </c>
      <c r="C88" s="9"/>
      <c r="D88" s="10"/>
      <c r="E88" s="15">
        <v>215636</v>
      </c>
      <c r="F88" s="11"/>
    </row>
    <row r="89" spans="1:7" ht="24" customHeight="1">
      <c r="A89" s="8">
        <v>76</v>
      </c>
      <c r="B89" s="9" t="s">
        <v>259</v>
      </c>
      <c r="C89" s="9"/>
      <c r="D89" s="10"/>
      <c r="E89" s="15">
        <v>176480</v>
      </c>
      <c r="F89" s="11"/>
    </row>
    <row r="90" spans="1:7" ht="24" customHeight="1">
      <c r="A90" s="8">
        <v>77</v>
      </c>
      <c r="B90" s="9" t="s">
        <v>260</v>
      </c>
      <c r="C90" s="9"/>
      <c r="D90" s="10"/>
      <c r="E90" s="15">
        <v>104440</v>
      </c>
      <c r="F90" s="11"/>
      <c r="G90" s="2">
        <v>847851</v>
      </c>
    </row>
    <row r="91" spans="1:7" ht="24" customHeight="1">
      <c r="A91" s="8">
        <v>78</v>
      </c>
      <c r="B91" s="9" t="s">
        <v>60</v>
      </c>
      <c r="C91" s="9"/>
      <c r="D91" s="10"/>
      <c r="E91" s="15">
        <v>159415</v>
      </c>
      <c r="F91" s="11"/>
    </row>
    <row r="92" spans="1:7" ht="24" customHeight="1" thickBot="1">
      <c r="A92" s="8">
        <v>79</v>
      </c>
      <c r="B92" s="9" t="s">
        <v>248</v>
      </c>
      <c r="C92" s="9"/>
      <c r="D92" s="10"/>
      <c r="E92" s="1">
        <v>297160</v>
      </c>
      <c r="F92" s="11"/>
    </row>
    <row r="93" spans="1:7" ht="24" customHeight="1" thickBot="1">
      <c r="A93" s="12"/>
      <c r="B93" s="60" t="s">
        <v>100</v>
      </c>
      <c r="C93" s="61"/>
      <c r="D93" s="62"/>
      <c r="E93" s="13">
        <f>SUM(E66:E92)</f>
        <v>6935840</v>
      </c>
      <c r="F93" s="12"/>
    </row>
    <row r="94" spans="1:7" ht="24" customHeight="1">
      <c r="A94" s="58" t="s">
        <v>294</v>
      </c>
      <c r="B94" s="58"/>
      <c r="C94" s="58"/>
      <c r="D94" s="58"/>
      <c r="E94" s="58"/>
      <c r="F94" s="58"/>
    </row>
    <row r="95" spans="1:7" ht="24" customHeight="1" thickBot="1">
      <c r="A95" s="59" t="s">
        <v>117</v>
      </c>
      <c r="B95" s="59"/>
      <c r="C95" s="59"/>
      <c r="D95" s="59"/>
      <c r="E95" s="59"/>
      <c r="F95" s="59"/>
    </row>
    <row r="96" spans="1:7" ht="24" customHeight="1" thickBot="1">
      <c r="A96" s="16" t="s">
        <v>2</v>
      </c>
      <c r="B96" s="60" t="s">
        <v>3</v>
      </c>
      <c r="C96" s="61"/>
      <c r="D96" s="62"/>
      <c r="E96" s="16" t="s">
        <v>0</v>
      </c>
      <c r="F96" s="16" t="s">
        <v>1</v>
      </c>
    </row>
    <row r="97" spans="1:7" ht="24" customHeight="1" thickBot="1">
      <c r="A97" s="16"/>
      <c r="B97" s="60" t="s">
        <v>30</v>
      </c>
      <c r="C97" s="61"/>
      <c r="D97" s="62"/>
      <c r="E97" s="13">
        <f>E93</f>
        <v>6935840</v>
      </c>
      <c r="F97" s="12"/>
    </row>
    <row r="98" spans="1:7" ht="24" customHeight="1">
      <c r="A98" s="8">
        <v>80</v>
      </c>
      <c r="B98" s="9" t="s">
        <v>91</v>
      </c>
      <c r="C98" s="9"/>
      <c r="D98" s="10"/>
      <c r="E98" s="1">
        <v>168300</v>
      </c>
      <c r="F98" s="11"/>
      <c r="G98" s="14"/>
    </row>
    <row r="99" spans="1:7" ht="24" customHeight="1">
      <c r="A99" s="8">
        <v>81</v>
      </c>
      <c r="B99" s="9" t="s">
        <v>86</v>
      </c>
      <c r="C99" s="9"/>
      <c r="D99" s="10"/>
      <c r="E99" s="15">
        <v>252800</v>
      </c>
      <c r="F99" s="11"/>
      <c r="G99" s="2">
        <v>877675</v>
      </c>
    </row>
    <row r="100" spans="1:7" ht="24" customHeight="1">
      <c r="A100" s="8">
        <v>82</v>
      </c>
      <c r="B100" s="9" t="s">
        <v>93</v>
      </c>
      <c r="C100" s="9"/>
      <c r="D100" s="10"/>
      <c r="E100" s="1">
        <v>214520</v>
      </c>
      <c r="F100" s="11"/>
    </row>
    <row r="101" spans="1:7" ht="24" customHeight="1">
      <c r="A101" s="8">
        <v>83</v>
      </c>
      <c r="B101" s="9" t="s">
        <v>73</v>
      </c>
      <c r="C101" s="9"/>
      <c r="D101" s="10"/>
      <c r="E101" s="1">
        <v>259163</v>
      </c>
      <c r="F101" s="11"/>
      <c r="G101" s="2">
        <v>473683</v>
      </c>
    </row>
    <row r="102" spans="1:7" ht="24" customHeight="1">
      <c r="A102" s="8">
        <v>84</v>
      </c>
      <c r="B102" s="9" t="s">
        <v>204</v>
      </c>
      <c r="C102" s="9"/>
      <c r="D102" s="10" t="s">
        <v>261</v>
      </c>
      <c r="E102" s="1">
        <v>22300</v>
      </c>
      <c r="F102" s="11"/>
    </row>
    <row r="103" spans="1:7" ht="24" customHeight="1">
      <c r="A103" s="8">
        <v>85</v>
      </c>
      <c r="B103" s="9" t="s">
        <v>264</v>
      </c>
      <c r="C103" s="9"/>
      <c r="D103" s="10"/>
      <c r="E103" s="1">
        <v>8400</v>
      </c>
      <c r="F103" s="11"/>
    </row>
    <row r="104" spans="1:7" ht="24" customHeight="1">
      <c r="A104" s="8">
        <v>86</v>
      </c>
      <c r="B104" s="9" t="s">
        <v>263</v>
      </c>
      <c r="C104" s="9"/>
      <c r="D104" s="10"/>
      <c r="E104" s="1">
        <v>3200</v>
      </c>
      <c r="F104" s="11"/>
    </row>
    <row r="105" spans="1:7" ht="24" customHeight="1">
      <c r="A105" s="8">
        <v>87</v>
      </c>
      <c r="B105" s="9" t="s">
        <v>262</v>
      </c>
      <c r="C105" s="9"/>
      <c r="D105" s="10"/>
      <c r="E105" s="1">
        <v>14625</v>
      </c>
      <c r="F105" s="11"/>
    </row>
    <row r="106" spans="1:7" ht="24" customHeight="1">
      <c r="A106" s="8">
        <v>88</v>
      </c>
      <c r="B106" s="9" t="s">
        <v>265</v>
      </c>
      <c r="C106" s="9"/>
      <c r="D106" s="10"/>
      <c r="E106" s="1">
        <v>49450</v>
      </c>
      <c r="F106" s="11"/>
    </row>
    <row r="107" spans="1:7" ht="24" customHeight="1">
      <c r="A107" s="8">
        <v>89</v>
      </c>
      <c r="B107" s="9" t="s">
        <v>266</v>
      </c>
      <c r="C107" s="9"/>
      <c r="D107" s="10"/>
      <c r="E107" s="1">
        <v>50000</v>
      </c>
      <c r="F107" s="11"/>
    </row>
    <row r="108" spans="1:7" ht="24" customHeight="1">
      <c r="A108" s="8">
        <v>90</v>
      </c>
      <c r="B108" s="9" t="s">
        <v>267</v>
      </c>
      <c r="C108" s="9"/>
      <c r="D108" s="10"/>
      <c r="E108" s="1">
        <v>62400</v>
      </c>
      <c r="F108" s="11"/>
    </row>
    <row r="109" spans="1:7" ht="24" customHeight="1">
      <c r="A109" s="8">
        <v>91</v>
      </c>
      <c r="B109" s="9" t="s">
        <v>73</v>
      </c>
      <c r="C109" s="9"/>
      <c r="D109" s="10"/>
      <c r="E109" s="1">
        <v>9445</v>
      </c>
      <c r="F109" s="11"/>
    </row>
    <row r="110" spans="1:7" ht="24" customHeight="1">
      <c r="A110" s="8">
        <v>92</v>
      </c>
      <c r="B110" s="9" t="s">
        <v>204</v>
      </c>
      <c r="C110" s="9"/>
      <c r="D110" s="10"/>
      <c r="E110" s="1">
        <v>5500</v>
      </c>
      <c r="F110" s="11"/>
    </row>
    <row r="111" spans="1:7" ht="24" customHeight="1">
      <c r="A111" s="8">
        <v>93</v>
      </c>
      <c r="B111" s="9" t="s">
        <v>85</v>
      </c>
      <c r="C111" s="9"/>
      <c r="D111" s="10"/>
      <c r="E111" s="1">
        <v>22680</v>
      </c>
      <c r="F111" s="11"/>
      <c r="G111" s="2">
        <v>248000</v>
      </c>
    </row>
    <row r="112" spans="1:7" ht="24" customHeight="1">
      <c r="A112" s="8">
        <v>94</v>
      </c>
      <c r="B112" s="9" t="s">
        <v>135</v>
      </c>
      <c r="C112" s="9"/>
      <c r="D112" s="10"/>
      <c r="E112" s="1">
        <v>17040</v>
      </c>
      <c r="F112" s="11"/>
    </row>
    <row r="113" spans="1:7" ht="24" customHeight="1">
      <c r="A113" s="8">
        <v>95</v>
      </c>
      <c r="B113" s="9" t="s">
        <v>149</v>
      </c>
      <c r="C113" s="9"/>
      <c r="D113" s="10"/>
      <c r="E113" s="1">
        <v>768</v>
      </c>
      <c r="F113" s="11"/>
    </row>
    <row r="114" spans="1:7" ht="24" customHeight="1">
      <c r="A114" s="8">
        <v>96</v>
      </c>
      <c r="B114" s="9" t="s">
        <v>268</v>
      </c>
      <c r="C114" s="9"/>
      <c r="D114" s="10"/>
      <c r="E114" s="1">
        <v>22824</v>
      </c>
      <c r="F114" s="11"/>
    </row>
    <row r="115" spans="1:7" ht="24" customHeight="1">
      <c r="A115" s="8">
        <v>97</v>
      </c>
      <c r="B115" s="9" t="s">
        <v>269</v>
      </c>
      <c r="C115" s="9"/>
      <c r="D115" s="10"/>
      <c r="E115" s="1">
        <v>43200</v>
      </c>
      <c r="F115" s="11"/>
    </row>
    <row r="116" spans="1:7" ht="24" customHeight="1">
      <c r="A116" s="8">
        <v>98</v>
      </c>
      <c r="B116" s="9" t="s">
        <v>9</v>
      </c>
      <c r="C116" s="9"/>
      <c r="D116" s="10"/>
      <c r="E116" s="15">
        <v>29600</v>
      </c>
      <c r="F116" s="11"/>
    </row>
    <row r="117" spans="1:7" ht="24" customHeight="1">
      <c r="A117" s="8">
        <v>99</v>
      </c>
      <c r="B117" s="9" t="s">
        <v>270</v>
      </c>
      <c r="C117" s="9"/>
      <c r="D117" s="10"/>
      <c r="E117" s="15">
        <v>158240</v>
      </c>
      <c r="F117" s="11"/>
    </row>
    <row r="118" spans="1:7" ht="24" customHeight="1">
      <c r="A118" s="8">
        <v>100</v>
      </c>
      <c r="B118" s="9" t="s">
        <v>26</v>
      </c>
      <c r="C118" s="9"/>
      <c r="D118" s="10"/>
      <c r="E118" s="15">
        <v>218800</v>
      </c>
      <c r="F118" s="11"/>
      <c r="G118" s="2">
        <v>490472</v>
      </c>
    </row>
    <row r="119" spans="1:7" ht="24" customHeight="1">
      <c r="A119" s="8">
        <v>101</v>
      </c>
      <c r="B119" s="9" t="s">
        <v>45</v>
      </c>
      <c r="C119" s="9"/>
      <c r="D119" s="10"/>
      <c r="E119" s="1">
        <v>83250</v>
      </c>
      <c r="F119" s="11"/>
    </row>
    <row r="120" spans="1:7" ht="24" customHeight="1">
      <c r="A120" s="8">
        <v>102</v>
      </c>
      <c r="B120" s="9" t="s">
        <v>271</v>
      </c>
      <c r="C120" s="9"/>
      <c r="D120" s="10"/>
      <c r="E120" s="1">
        <v>149700</v>
      </c>
      <c r="F120" s="11"/>
    </row>
    <row r="121" spans="1:7" ht="24" customHeight="1">
      <c r="A121" s="8">
        <v>103</v>
      </c>
      <c r="B121" s="9" t="s">
        <v>272</v>
      </c>
      <c r="C121" s="9"/>
      <c r="D121" s="10"/>
      <c r="E121" s="1">
        <v>107580</v>
      </c>
      <c r="F121" s="11"/>
    </row>
    <row r="122" spans="1:7" ht="24" customHeight="1">
      <c r="A122" s="8">
        <v>104</v>
      </c>
      <c r="B122" s="9" t="s">
        <v>273</v>
      </c>
      <c r="C122" s="9"/>
      <c r="D122" s="10"/>
      <c r="E122" s="1">
        <v>252200</v>
      </c>
      <c r="F122" s="11"/>
    </row>
    <row r="123" spans="1:7" ht="24" customHeight="1" thickBot="1">
      <c r="A123" s="8">
        <v>105</v>
      </c>
      <c r="B123" s="9" t="s">
        <v>273</v>
      </c>
      <c r="C123" s="9"/>
      <c r="D123" s="10"/>
      <c r="E123" s="1">
        <v>2160</v>
      </c>
      <c r="F123" s="11"/>
    </row>
    <row r="124" spans="1:7" ht="24" customHeight="1" thickBot="1">
      <c r="A124" s="12"/>
      <c r="B124" s="60" t="s">
        <v>100</v>
      </c>
      <c r="C124" s="61"/>
      <c r="D124" s="62"/>
      <c r="E124" s="13">
        <f>SUM(E97:E123)</f>
        <v>9163985</v>
      </c>
      <c r="F124" s="12"/>
    </row>
    <row r="125" spans="1:7" ht="24" customHeight="1">
      <c r="A125" s="58" t="s">
        <v>295</v>
      </c>
      <c r="B125" s="58"/>
      <c r="C125" s="58"/>
      <c r="D125" s="58"/>
      <c r="E125" s="58"/>
      <c r="F125" s="58"/>
    </row>
    <row r="126" spans="1:7" ht="24" customHeight="1" thickBot="1">
      <c r="A126" s="59" t="s">
        <v>117</v>
      </c>
      <c r="B126" s="59"/>
      <c r="C126" s="59"/>
      <c r="D126" s="59"/>
      <c r="E126" s="59"/>
      <c r="F126" s="59"/>
    </row>
    <row r="127" spans="1:7" ht="24" customHeight="1" thickBot="1">
      <c r="A127" s="16" t="s">
        <v>2</v>
      </c>
      <c r="B127" s="60" t="s">
        <v>3</v>
      </c>
      <c r="C127" s="61"/>
      <c r="D127" s="62"/>
      <c r="E127" s="16" t="s">
        <v>0</v>
      </c>
      <c r="F127" s="16" t="s">
        <v>1</v>
      </c>
    </row>
    <row r="128" spans="1:7" ht="24" customHeight="1" thickBot="1">
      <c r="A128" s="16"/>
      <c r="B128" s="60" t="s">
        <v>30</v>
      </c>
      <c r="C128" s="61"/>
      <c r="D128" s="62"/>
      <c r="E128" s="13">
        <f>E124</f>
        <v>9163985</v>
      </c>
      <c r="F128" s="12"/>
    </row>
    <row r="129" spans="1:13" ht="24" customHeight="1">
      <c r="A129" s="8">
        <v>106</v>
      </c>
      <c r="B129" s="9" t="s">
        <v>125</v>
      </c>
      <c r="C129" s="9"/>
      <c r="D129" s="10"/>
      <c r="E129" s="1">
        <v>23816</v>
      </c>
      <c r="F129" s="11"/>
      <c r="G129" s="2">
        <v>618706</v>
      </c>
    </row>
    <row r="130" spans="1:13" ht="24" customHeight="1">
      <c r="A130" s="8">
        <v>107</v>
      </c>
      <c r="B130" s="9" t="s">
        <v>99</v>
      </c>
      <c r="C130" s="9"/>
      <c r="D130" s="10"/>
      <c r="E130" s="1">
        <v>700</v>
      </c>
      <c r="F130" s="11"/>
    </row>
    <row r="131" spans="1:13" ht="24" customHeight="1">
      <c r="A131" s="8">
        <v>108</v>
      </c>
      <c r="B131" s="9" t="s">
        <v>274</v>
      </c>
      <c r="C131" s="9"/>
      <c r="D131" s="10"/>
      <c r="E131" s="1">
        <v>12600</v>
      </c>
      <c r="F131" s="11"/>
    </row>
    <row r="132" spans="1:13" ht="24" customHeight="1">
      <c r="A132" s="8">
        <v>109</v>
      </c>
      <c r="B132" s="9" t="s">
        <v>275</v>
      </c>
      <c r="C132" s="9"/>
      <c r="D132" s="10"/>
      <c r="E132" s="1">
        <v>2204</v>
      </c>
      <c r="F132" s="11"/>
    </row>
    <row r="133" spans="1:13" ht="24" customHeight="1">
      <c r="A133" s="8">
        <v>110</v>
      </c>
      <c r="B133" s="9" t="s">
        <v>276</v>
      </c>
      <c r="C133" s="9"/>
      <c r="D133" s="10"/>
      <c r="E133" s="1">
        <v>2400</v>
      </c>
      <c r="F133" s="11"/>
    </row>
    <row r="134" spans="1:13" ht="24" customHeight="1">
      <c r="A134" s="8">
        <v>111</v>
      </c>
      <c r="B134" s="9" t="s">
        <v>277</v>
      </c>
      <c r="C134" s="9"/>
      <c r="D134" s="10"/>
      <c r="E134" s="15">
        <v>1500</v>
      </c>
      <c r="F134" s="11"/>
    </row>
    <row r="135" spans="1:13" ht="24" customHeight="1">
      <c r="A135" s="8">
        <v>112</v>
      </c>
      <c r="B135" s="9" t="s">
        <v>42</v>
      </c>
      <c r="C135" s="9"/>
      <c r="D135" s="10"/>
      <c r="E135" s="1">
        <v>41890</v>
      </c>
      <c r="F135" s="11"/>
    </row>
    <row r="136" spans="1:13" ht="24" customHeight="1">
      <c r="A136" s="8">
        <v>113</v>
      </c>
      <c r="B136" s="9" t="s">
        <v>105</v>
      </c>
      <c r="C136" s="9"/>
      <c r="D136" s="10"/>
      <c r="E136" s="1">
        <v>12000</v>
      </c>
      <c r="F136" s="11"/>
    </row>
    <row r="137" spans="1:13" ht="24" customHeight="1">
      <c r="A137" s="8">
        <v>114</v>
      </c>
      <c r="B137" s="9" t="s">
        <v>278</v>
      </c>
      <c r="C137" s="9"/>
      <c r="D137" s="10"/>
      <c r="E137" s="1">
        <v>40740</v>
      </c>
      <c r="F137" s="11"/>
    </row>
    <row r="138" spans="1:13" ht="24" customHeight="1">
      <c r="A138" s="8">
        <v>115</v>
      </c>
      <c r="B138" s="9" t="s">
        <v>279</v>
      </c>
      <c r="C138" s="9"/>
      <c r="D138" s="10"/>
      <c r="E138" s="1">
        <v>86400</v>
      </c>
      <c r="F138" s="11"/>
    </row>
    <row r="139" spans="1:13" ht="24" customHeight="1">
      <c r="A139" s="8">
        <v>116</v>
      </c>
      <c r="B139" s="9" t="s">
        <v>113</v>
      </c>
      <c r="C139" s="9"/>
      <c r="D139" s="10"/>
      <c r="E139" s="1">
        <v>21240</v>
      </c>
      <c r="F139" s="11"/>
    </row>
    <row r="140" spans="1:13" ht="24" customHeight="1">
      <c r="A140" s="8">
        <v>117</v>
      </c>
      <c r="B140" s="9" t="s">
        <v>280</v>
      </c>
      <c r="C140" s="9"/>
      <c r="D140" s="10"/>
      <c r="E140" s="1">
        <v>22680</v>
      </c>
      <c r="F140" s="11"/>
    </row>
    <row r="141" spans="1:13" ht="24" customHeight="1">
      <c r="A141" s="8">
        <v>118</v>
      </c>
      <c r="B141" s="9" t="s">
        <v>281</v>
      </c>
      <c r="C141" s="9"/>
      <c r="D141" s="10"/>
      <c r="E141" s="1">
        <v>15400</v>
      </c>
      <c r="F141" s="11"/>
    </row>
    <row r="142" spans="1:13" ht="24" customHeight="1">
      <c r="A142" s="8">
        <v>119</v>
      </c>
      <c r="B142" s="9" t="s">
        <v>282</v>
      </c>
      <c r="C142" s="9"/>
      <c r="D142" s="10"/>
      <c r="E142" s="1">
        <v>48800</v>
      </c>
      <c r="F142" s="11"/>
      <c r="K142" s="14"/>
      <c r="M142" s="14"/>
    </row>
    <row r="143" spans="1:13" ht="24" customHeight="1">
      <c r="A143" s="8">
        <v>120</v>
      </c>
      <c r="B143" s="9" t="s">
        <v>282</v>
      </c>
      <c r="C143" s="9"/>
      <c r="D143" s="10"/>
      <c r="E143" s="1">
        <v>208200</v>
      </c>
      <c r="F143" s="11"/>
    </row>
    <row r="144" spans="1:13" ht="24" customHeight="1">
      <c r="A144" s="8">
        <v>121</v>
      </c>
      <c r="B144" s="9" t="s">
        <v>6</v>
      </c>
      <c r="C144" s="9"/>
      <c r="D144" s="10"/>
      <c r="E144" s="1">
        <v>378180</v>
      </c>
      <c r="F144" s="11"/>
      <c r="K144" s="14"/>
      <c r="M144" s="14"/>
    </row>
    <row r="145" spans="1:7" ht="24" customHeight="1">
      <c r="A145" s="8">
        <v>122</v>
      </c>
      <c r="B145" s="9" t="s">
        <v>144</v>
      </c>
      <c r="C145" s="9"/>
      <c r="D145" s="10"/>
      <c r="E145" s="1">
        <v>112280</v>
      </c>
      <c r="F145" s="11"/>
    </row>
    <row r="146" spans="1:7" ht="24" customHeight="1">
      <c r="A146" s="8">
        <v>123</v>
      </c>
      <c r="B146" s="9" t="s">
        <v>283</v>
      </c>
      <c r="C146" s="9"/>
      <c r="D146" s="10"/>
      <c r="E146" s="1">
        <v>165930</v>
      </c>
      <c r="F146" s="11"/>
    </row>
    <row r="147" spans="1:7" ht="24" customHeight="1">
      <c r="A147" s="8">
        <v>124</v>
      </c>
      <c r="B147" s="9" t="s">
        <v>71</v>
      </c>
      <c r="C147" s="9"/>
      <c r="D147" s="10"/>
      <c r="E147" s="1">
        <v>122880</v>
      </c>
      <c r="F147" s="11"/>
    </row>
    <row r="148" spans="1:7" ht="24" customHeight="1">
      <c r="A148" s="8">
        <v>125</v>
      </c>
      <c r="B148" s="9" t="s">
        <v>284</v>
      </c>
      <c r="C148" s="9"/>
      <c r="D148" s="10"/>
      <c r="E148" s="1">
        <v>50760</v>
      </c>
      <c r="F148" s="11"/>
    </row>
    <row r="149" spans="1:7" ht="24" customHeight="1">
      <c r="A149" s="8">
        <v>126</v>
      </c>
      <c r="B149" s="9" t="s">
        <v>91</v>
      </c>
      <c r="C149" s="9"/>
      <c r="D149" s="10"/>
      <c r="E149" s="1">
        <v>537480</v>
      </c>
      <c r="F149" s="11"/>
    </row>
    <row r="150" spans="1:7" ht="24" customHeight="1">
      <c r="A150" s="8">
        <v>127</v>
      </c>
      <c r="B150" s="9" t="s">
        <v>285</v>
      </c>
      <c r="C150" s="9"/>
      <c r="D150" s="10"/>
      <c r="E150" s="1">
        <v>15950</v>
      </c>
      <c r="F150" s="11"/>
      <c r="G150" s="2">
        <v>1900214</v>
      </c>
    </row>
    <row r="151" spans="1:7" ht="24" customHeight="1">
      <c r="A151" s="8">
        <v>128</v>
      </c>
      <c r="B151" s="9" t="s">
        <v>286</v>
      </c>
      <c r="C151" s="9"/>
      <c r="D151" s="10"/>
      <c r="E151" s="15">
        <v>92120</v>
      </c>
      <c r="F151" s="11"/>
    </row>
    <row r="152" spans="1:7" ht="24" customHeight="1">
      <c r="A152" s="8">
        <v>129</v>
      </c>
      <c r="B152" s="9" t="s">
        <v>287</v>
      </c>
      <c r="C152" s="9"/>
      <c r="D152" s="10"/>
      <c r="E152" s="15">
        <v>25620</v>
      </c>
      <c r="F152" s="11"/>
    </row>
    <row r="153" spans="1:7" ht="24" customHeight="1">
      <c r="A153" s="8">
        <v>130</v>
      </c>
      <c r="B153" s="9" t="s">
        <v>288</v>
      </c>
      <c r="C153" s="9"/>
      <c r="D153" s="10"/>
      <c r="E153" s="15">
        <v>168240</v>
      </c>
      <c r="F153" s="11"/>
    </row>
    <row r="154" spans="1:7" ht="24" customHeight="1" thickBot="1">
      <c r="A154" s="8">
        <v>131</v>
      </c>
      <c r="B154" s="9" t="s">
        <v>289</v>
      </c>
      <c r="C154" s="9"/>
      <c r="D154" s="10"/>
      <c r="E154" s="15">
        <v>436960</v>
      </c>
      <c r="F154" s="11"/>
    </row>
    <row r="155" spans="1:7" ht="24" customHeight="1" thickBot="1">
      <c r="A155" s="12"/>
      <c r="B155" s="60" t="s">
        <v>100</v>
      </c>
      <c r="C155" s="61"/>
      <c r="D155" s="62"/>
      <c r="E155" s="13">
        <f>SUM(E128:E154)</f>
        <v>11810955</v>
      </c>
      <c r="F155" s="12"/>
    </row>
    <row r="156" spans="1:7" ht="24" customHeight="1">
      <c r="A156" s="58" t="s">
        <v>295</v>
      </c>
      <c r="B156" s="58"/>
      <c r="C156" s="58"/>
      <c r="D156" s="58"/>
      <c r="E156" s="58"/>
      <c r="F156" s="58"/>
    </row>
    <row r="157" spans="1:7" ht="24" customHeight="1" thickBot="1">
      <c r="A157" s="59" t="s">
        <v>117</v>
      </c>
      <c r="B157" s="59"/>
      <c r="C157" s="59"/>
      <c r="D157" s="59"/>
      <c r="E157" s="59"/>
      <c r="F157" s="59"/>
    </row>
    <row r="158" spans="1:7" ht="24" customHeight="1" thickBot="1">
      <c r="A158" s="16" t="s">
        <v>2</v>
      </c>
      <c r="B158" s="60" t="s">
        <v>3</v>
      </c>
      <c r="C158" s="61"/>
      <c r="D158" s="62"/>
      <c r="E158" s="16" t="s">
        <v>0</v>
      </c>
      <c r="F158" s="16" t="s">
        <v>1</v>
      </c>
    </row>
    <row r="159" spans="1:7" ht="24" customHeight="1" thickBot="1">
      <c r="A159" s="16"/>
      <c r="B159" s="60" t="s">
        <v>30</v>
      </c>
      <c r="C159" s="61"/>
      <c r="D159" s="62"/>
      <c r="E159" s="13">
        <f>E155</f>
        <v>11810955</v>
      </c>
      <c r="F159" s="12"/>
    </row>
    <row r="160" spans="1:7" ht="24" customHeight="1">
      <c r="A160" s="8">
        <v>132</v>
      </c>
      <c r="B160" s="9" t="s">
        <v>290</v>
      </c>
      <c r="C160" s="9"/>
      <c r="D160" s="10"/>
      <c r="E160" s="1">
        <v>3600</v>
      </c>
      <c r="F160" s="11"/>
    </row>
    <row r="161" spans="1:7" ht="24" customHeight="1">
      <c r="A161" s="8">
        <v>133</v>
      </c>
      <c r="B161" s="9" t="s">
        <v>291</v>
      </c>
      <c r="C161" s="9"/>
      <c r="D161" s="10"/>
      <c r="E161" s="1">
        <v>50800</v>
      </c>
      <c r="F161" s="11"/>
    </row>
    <row r="162" spans="1:7" ht="24" customHeight="1">
      <c r="A162" s="8">
        <v>134</v>
      </c>
      <c r="B162" s="9" t="s">
        <v>292</v>
      </c>
      <c r="C162" s="9"/>
      <c r="D162" s="10"/>
      <c r="E162" s="1">
        <v>142870</v>
      </c>
      <c r="F162" s="11"/>
      <c r="G162" s="2">
        <v>920210</v>
      </c>
    </row>
    <row r="163" spans="1:7" ht="24" customHeight="1">
      <c r="A163" s="8">
        <v>135</v>
      </c>
      <c r="B163" s="9" t="s">
        <v>48</v>
      </c>
      <c r="C163" s="9"/>
      <c r="D163" s="10"/>
      <c r="E163" s="1">
        <v>822508</v>
      </c>
      <c r="F163" s="11"/>
    </row>
    <row r="164" spans="1:7" ht="24" customHeight="1">
      <c r="A164" s="8">
        <v>136</v>
      </c>
      <c r="B164" s="9" t="s">
        <v>146</v>
      </c>
      <c r="C164" s="9"/>
      <c r="D164" s="10"/>
      <c r="E164" s="1">
        <v>427260</v>
      </c>
      <c r="F164" s="11"/>
    </row>
    <row r="165" spans="1:7" ht="24" customHeight="1">
      <c r="A165" s="8">
        <v>137</v>
      </c>
      <c r="B165" s="9" t="s">
        <v>296</v>
      </c>
      <c r="C165" s="9"/>
      <c r="D165" s="10"/>
      <c r="E165" s="1">
        <v>83080</v>
      </c>
      <c r="F165" s="11"/>
    </row>
    <row r="166" spans="1:7" ht="24" customHeight="1">
      <c r="A166" s="8">
        <v>138</v>
      </c>
      <c r="B166" s="9" t="s">
        <v>297</v>
      </c>
      <c r="C166" s="9"/>
      <c r="D166" s="10"/>
      <c r="E166" s="1">
        <v>108240</v>
      </c>
      <c r="F166" s="11"/>
    </row>
    <row r="167" spans="1:7" ht="24" customHeight="1">
      <c r="A167" s="8">
        <v>139</v>
      </c>
      <c r="B167" s="9" t="s">
        <v>298</v>
      </c>
      <c r="C167" s="9"/>
      <c r="D167" s="10"/>
      <c r="E167" s="1">
        <v>89040</v>
      </c>
      <c r="F167" s="11"/>
    </row>
    <row r="168" spans="1:7" ht="24" customHeight="1">
      <c r="A168" s="8">
        <v>140</v>
      </c>
      <c r="B168" s="9" t="s">
        <v>52</v>
      </c>
      <c r="C168" s="9"/>
      <c r="D168" s="10"/>
      <c r="E168" s="1">
        <v>129400</v>
      </c>
      <c r="F168" s="11"/>
    </row>
    <row r="169" spans="1:7" ht="24" customHeight="1" thickBot="1">
      <c r="A169" s="8">
        <v>141</v>
      </c>
      <c r="B169" s="9" t="s">
        <v>299</v>
      </c>
      <c r="C169" s="9"/>
      <c r="D169" s="10"/>
      <c r="E169" s="1">
        <v>324280</v>
      </c>
      <c r="F169" s="11"/>
    </row>
    <row r="170" spans="1:7" ht="24" customHeight="1" thickBot="1">
      <c r="A170" s="12"/>
      <c r="B170" s="64" t="s">
        <v>4</v>
      </c>
      <c r="C170" s="65"/>
      <c r="D170" s="66"/>
      <c r="E170" s="18">
        <f>SUM(E159:E169)</f>
        <v>13992033</v>
      </c>
      <c r="F170" s="12"/>
    </row>
    <row r="173" spans="1:7" ht="24" customHeight="1">
      <c r="D173" s="63" t="s">
        <v>116</v>
      </c>
      <c r="E173" s="63"/>
      <c r="F173" s="63"/>
    </row>
  </sheetData>
  <mergeCells count="31">
    <mergeCell ref="D173:F173"/>
    <mergeCell ref="B124:D124"/>
    <mergeCell ref="A125:F125"/>
    <mergeCell ref="A126:F126"/>
    <mergeCell ref="B127:D127"/>
    <mergeCell ref="B128:D128"/>
    <mergeCell ref="B155:D155"/>
    <mergeCell ref="A156:F156"/>
    <mergeCell ref="A157:F157"/>
    <mergeCell ref="B158:D158"/>
    <mergeCell ref="B159:D159"/>
    <mergeCell ref="B170:D170"/>
    <mergeCell ref="B97:D97"/>
    <mergeCell ref="B34:D34"/>
    <mergeCell ref="B35:D35"/>
    <mergeCell ref="B62:D62"/>
    <mergeCell ref="A63:F63"/>
    <mergeCell ref="A64:F64"/>
    <mergeCell ref="B65:D65"/>
    <mergeCell ref="B66:D66"/>
    <mergeCell ref="B93:D93"/>
    <mergeCell ref="A94:F94"/>
    <mergeCell ref="A95:F95"/>
    <mergeCell ref="B96:D96"/>
    <mergeCell ref="A33:F33"/>
    <mergeCell ref="A1:F1"/>
    <mergeCell ref="A2:F2"/>
    <mergeCell ref="B3:D3"/>
    <mergeCell ref="B24:D24"/>
    <mergeCell ref="A32:F32"/>
    <mergeCell ref="D27:F27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3"/>
  <sheetViews>
    <sheetView workbookViewId="0">
      <selection activeCell="H27" sqref="H27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7" ht="24" customHeight="1">
      <c r="A1" s="58" t="s">
        <v>313</v>
      </c>
      <c r="B1" s="58"/>
      <c r="C1" s="58"/>
      <c r="D1" s="58"/>
      <c r="E1" s="58"/>
      <c r="F1" s="58"/>
    </row>
    <row r="2" spans="1:7" ht="24" customHeight="1" thickBot="1">
      <c r="A2" s="59" t="s">
        <v>117</v>
      </c>
      <c r="B2" s="59"/>
      <c r="C2" s="59"/>
      <c r="D2" s="59"/>
      <c r="E2" s="59"/>
      <c r="F2" s="59"/>
    </row>
    <row r="3" spans="1:7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7" ht="24" customHeight="1">
      <c r="A4" s="3">
        <v>1</v>
      </c>
      <c r="B4" s="4" t="s">
        <v>139</v>
      </c>
      <c r="C4" s="4"/>
      <c r="D4" s="5"/>
      <c r="E4" s="6">
        <v>41400</v>
      </c>
      <c r="F4" s="7"/>
    </row>
    <row r="5" spans="1:7" ht="24" customHeight="1">
      <c r="A5" s="8">
        <v>2</v>
      </c>
      <c r="B5" s="9" t="s">
        <v>316</v>
      </c>
      <c r="C5" s="9"/>
      <c r="D5" s="10"/>
      <c r="E5" s="1">
        <v>6640</v>
      </c>
      <c r="F5" s="11"/>
    </row>
    <row r="6" spans="1:7" ht="24" customHeight="1">
      <c r="A6" s="8">
        <v>3</v>
      </c>
      <c r="B6" s="9" t="s">
        <v>317</v>
      </c>
      <c r="C6" s="9"/>
      <c r="D6" s="10"/>
      <c r="E6" s="1">
        <v>2400</v>
      </c>
      <c r="F6" s="11"/>
    </row>
    <row r="7" spans="1:7" ht="24" customHeight="1">
      <c r="A7" s="8">
        <v>4</v>
      </c>
      <c r="B7" s="9" t="s">
        <v>318</v>
      </c>
      <c r="C7" s="9"/>
      <c r="D7" s="10"/>
      <c r="E7" s="1">
        <v>25300</v>
      </c>
      <c r="F7" s="11"/>
    </row>
    <row r="8" spans="1:7" ht="24" customHeight="1">
      <c r="A8" s="8">
        <v>5</v>
      </c>
      <c r="B8" s="9" t="s">
        <v>254</v>
      </c>
      <c r="C8" s="9"/>
      <c r="D8" s="10"/>
      <c r="E8" s="1">
        <v>50872.5</v>
      </c>
      <c r="F8" s="11"/>
    </row>
    <row r="9" spans="1:7" ht="24" customHeight="1">
      <c r="A9" s="8">
        <v>6</v>
      </c>
      <c r="B9" s="9" t="s">
        <v>136</v>
      </c>
      <c r="C9" s="9"/>
      <c r="D9" s="10"/>
      <c r="E9" s="1">
        <v>205480</v>
      </c>
      <c r="F9" s="11"/>
    </row>
    <row r="10" spans="1:7" ht="24" customHeight="1">
      <c r="A10" s="8">
        <v>7</v>
      </c>
      <c r="B10" s="9" t="s">
        <v>127</v>
      </c>
      <c r="C10" s="9"/>
      <c r="D10" s="10"/>
      <c r="E10" s="1">
        <v>41360</v>
      </c>
      <c r="F10" s="11"/>
      <c r="G10" s="2">
        <v>373452.5</v>
      </c>
    </row>
    <row r="11" spans="1:7" ht="24" customHeight="1">
      <c r="A11" s="8">
        <v>8</v>
      </c>
      <c r="B11" s="9" t="s">
        <v>231</v>
      </c>
      <c r="C11" s="9"/>
      <c r="D11" s="10"/>
      <c r="E11" s="1">
        <v>37237.5</v>
      </c>
      <c r="F11" s="11"/>
    </row>
    <row r="12" spans="1:7" ht="24" customHeight="1">
      <c r="A12" s="8">
        <v>9</v>
      </c>
      <c r="B12" s="9" t="s">
        <v>73</v>
      </c>
      <c r="C12" s="9"/>
      <c r="D12" s="10"/>
      <c r="E12" s="1">
        <v>20126.5</v>
      </c>
      <c r="F12" s="11"/>
    </row>
    <row r="13" spans="1:7" ht="24" customHeight="1">
      <c r="A13" s="8">
        <v>10</v>
      </c>
      <c r="B13" s="9" t="s">
        <v>73</v>
      </c>
      <c r="C13" s="9"/>
      <c r="D13" s="10"/>
      <c r="E13" s="1">
        <v>6155</v>
      </c>
      <c r="F13" s="11"/>
    </row>
    <row r="14" spans="1:7" ht="24" customHeight="1">
      <c r="A14" s="8">
        <v>11</v>
      </c>
      <c r="B14" s="9" t="s">
        <v>136</v>
      </c>
      <c r="C14" s="9"/>
      <c r="D14" s="10"/>
      <c r="E14" s="1">
        <v>137960</v>
      </c>
      <c r="F14" s="11"/>
    </row>
    <row r="15" spans="1:7" ht="24" customHeight="1">
      <c r="A15" s="8">
        <v>12</v>
      </c>
      <c r="B15" s="9" t="s">
        <v>14</v>
      </c>
      <c r="C15" s="9"/>
      <c r="D15" s="10"/>
      <c r="E15" s="1">
        <v>3300</v>
      </c>
      <c r="F15" s="11"/>
    </row>
    <row r="16" spans="1:7" ht="24" customHeight="1">
      <c r="A16" s="8">
        <v>13</v>
      </c>
      <c r="B16" s="9" t="s">
        <v>130</v>
      </c>
      <c r="C16" s="9"/>
      <c r="D16" s="10"/>
      <c r="E16" s="1">
        <v>37800</v>
      </c>
      <c r="F16" s="11"/>
    </row>
    <row r="17" spans="1:7" ht="24" customHeight="1">
      <c r="A17" s="8">
        <v>14</v>
      </c>
      <c r="B17" s="9" t="s">
        <v>307</v>
      </c>
      <c r="C17" s="9"/>
      <c r="D17" s="10"/>
      <c r="E17" s="1">
        <v>1840</v>
      </c>
      <c r="F17" s="11"/>
    </row>
    <row r="18" spans="1:7" ht="24" customHeight="1">
      <c r="A18" s="8">
        <v>15</v>
      </c>
      <c r="B18" s="9" t="s">
        <v>250</v>
      </c>
      <c r="C18" s="9"/>
      <c r="D18" s="10"/>
      <c r="E18" s="1">
        <v>7800</v>
      </c>
      <c r="F18" s="11"/>
    </row>
    <row r="19" spans="1:7" ht="24" customHeight="1">
      <c r="A19" s="8">
        <v>16</v>
      </c>
      <c r="B19" s="9" t="s">
        <v>322</v>
      </c>
      <c r="C19" s="9"/>
      <c r="D19" s="10"/>
      <c r="E19" s="1">
        <v>37800</v>
      </c>
      <c r="F19" s="11"/>
    </row>
    <row r="20" spans="1:7" ht="24" customHeight="1">
      <c r="A20" s="8">
        <v>17</v>
      </c>
      <c r="B20" s="9" t="s">
        <v>227</v>
      </c>
      <c r="C20" s="9"/>
      <c r="D20" s="10"/>
      <c r="E20" s="1">
        <v>69000</v>
      </c>
      <c r="F20" s="11"/>
    </row>
    <row r="21" spans="1:7" ht="24" customHeight="1">
      <c r="A21" s="8">
        <v>18</v>
      </c>
      <c r="B21" s="9" t="s">
        <v>323</v>
      </c>
      <c r="C21" s="9"/>
      <c r="D21" s="10"/>
      <c r="E21" s="1">
        <v>41800</v>
      </c>
      <c r="F21" s="11"/>
    </row>
    <row r="22" spans="1:7" ht="24" customHeight="1">
      <c r="A22" s="8">
        <v>19</v>
      </c>
      <c r="B22" s="9" t="s">
        <v>235</v>
      </c>
      <c r="C22" s="9"/>
      <c r="D22" s="10"/>
      <c r="E22" s="1">
        <v>540520</v>
      </c>
      <c r="F22" s="11"/>
    </row>
    <row r="23" spans="1:7" ht="24" customHeight="1">
      <c r="A23" s="8">
        <v>20</v>
      </c>
      <c r="B23" s="9" t="s">
        <v>231</v>
      </c>
      <c r="C23" s="9"/>
      <c r="D23" s="10"/>
      <c r="E23" s="1">
        <v>8245</v>
      </c>
      <c r="F23" s="11"/>
    </row>
    <row r="24" spans="1:7" ht="24" customHeight="1">
      <c r="A24" s="8">
        <v>21</v>
      </c>
      <c r="B24" s="9" t="s">
        <v>324</v>
      </c>
      <c r="C24" s="9"/>
      <c r="D24" s="10"/>
      <c r="E24" s="1">
        <v>160040</v>
      </c>
      <c r="F24" s="11"/>
    </row>
    <row r="25" spans="1:7" ht="24" customHeight="1" thickBot="1">
      <c r="A25" s="8">
        <v>22</v>
      </c>
      <c r="B25" s="9" t="s">
        <v>74</v>
      </c>
      <c r="C25" s="9"/>
      <c r="D25" s="10"/>
      <c r="E25" s="1">
        <v>51000</v>
      </c>
      <c r="F25" s="11"/>
    </row>
    <row r="26" spans="1:7" ht="24" customHeight="1" thickBot="1">
      <c r="A26" s="12"/>
      <c r="B26" s="64" t="s">
        <v>155</v>
      </c>
      <c r="C26" s="65"/>
      <c r="D26" s="66"/>
      <c r="E26" s="18">
        <f>SUM(E4:E25)</f>
        <v>1534076.5</v>
      </c>
      <c r="F26" s="12"/>
    </row>
    <row r="27" spans="1:7" ht="24" customHeight="1">
      <c r="A27" s="9"/>
      <c r="B27" s="35"/>
      <c r="C27" s="35"/>
      <c r="D27" s="35"/>
      <c r="E27" s="21"/>
      <c r="F27" s="9"/>
    </row>
    <row r="28" spans="1:7" ht="24" customHeight="1">
      <c r="A28" s="9"/>
      <c r="B28" s="35"/>
      <c r="C28" s="35"/>
      <c r="D28" s="35"/>
      <c r="E28" s="21"/>
      <c r="F28" s="9"/>
    </row>
    <row r="29" spans="1:7" ht="24" customHeight="1">
      <c r="A29" s="9"/>
      <c r="B29" s="35"/>
      <c r="C29" s="35"/>
      <c r="D29" s="63" t="s">
        <v>116</v>
      </c>
      <c r="E29" s="63"/>
      <c r="F29" s="63"/>
      <c r="G29" s="33"/>
    </row>
    <row r="30" spans="1:7" ht="24" customHeight="1">
      <c r="A30" s="9"/>
      <c r="B30" s="35"/>
      <c r="C30" s="35"/>
      <c r="D30" s="35"/>
      <c r="E30" s="21"/>
      <c r="F30" s="9"/>
    </row>
    <row r="31" spans="1:7" ht="24" customHeight="1">
      <c r="A31" s="9"/>
      <c r="B31" s="35"/>
      <c r="C31" s="35"/>
      <c r="D31" s="35"/>
      <c r="E31" s="21"/>
      <c r="F31" s="9"/>
    </row>
    <row r="32" spans="1:7" ht="24" customHeight="1">
      <c r="A32" s="58" t="s">
        <v>314</v>
      </c>
      <c r="B32" s="58"/>
      <c r="C32" s="58"/>
      <c r="D32" s="58"/>
      <c r="E32" s="58"/>
      <c r="F32" s="58"/>
    </row>
    <row r="33" spans="1:6" ht="24" customHeight="1" thickBot="1">
      <c r="A33" s="59" t="s">
        <v>117</v>
      </c>
      <c r="B33" s="59"/>
      <c r="C33" s="59"/>
      <c r="D33" s="59"/>
      <c r="E33" s="59"/>
      <c r="F33" s="59"/>
    </row>
    <row r="34" spans="1:6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6" ht="24" customHeight="1" thickBot="1">
      <c r="A35" s="16"/>
      <c r="B35" s="60" t="s">
        <v>30</v>
      </c>
      <c r="C35" s="61"/>
      <c r="D35" s="62"/>
      <c r="E35" s="13">
        <f>E26</f>
        <v>1534076.5</v>
      </c>
      <c r="F35" s="12"/>
    </row>
    <row r="36" spans="1:6" ht="24" customHeight="1">
      <c r="A36" s="8"/>
      <c r="B36" s="9"/>
      <c r="C36" s="9"/>
      <c r="D36" s="10"/>
      <c r="E36" s="1"/>
      <c r="F36" s="11"/>
    </row>
    <row r="37" spans="1:6" ht="24" customHeight="1">
      <c r="A37" s="8"/>
      <c r="B37" s="9"/>
      <c r="C37" s="9"/>
      <c r="D37" s="10"/>
      <c r="E37" s="15"/>
      <c r="F37" s="11"/>
    </row>
    <row r="38" spans="1:6" ht="24" customHeight="1">
      <c r="A38" s="8"/>
      <c r="B38" s="9"/>
      <c r="C38" s="9"/>
      <c r="D38" s="10"/>
      <c r="E38" s="1"/>
      <c r="F38" s="11"/>
    </row>
    <row r="39" spans="1:6" ht="24" customHeight="1">
      <c r="A39" s="8"/>
      <c r="B39" s="9"/>
      <c r="C39" s="9"/>
      <c r="D39" s="10"/>
      <c r="E39" s="1"/>
      <c r="F39" s="11"/>
    </row>
    <row r="40" spans="1:6" ht="24" customHeight="1">
      <c r="A40" s="8"/>
      <c r="B40" s="9"/>
      <c r="C40" s="9"/>
      <c r="D40" s="10"/>
      <c r="E40" s="1"/>
      <c r="F40" s="11"/>
    </row>
    <row r="41" spans="1:6" ht="24" customHeight="1">
      <c r="A41" s="8"/>
      <c r="B41" s="9"/>
      <c r="C41" s="9"/>
      <c r="D41" s="10"/>
      <c r="E41" s="1"/>
      <c r="F41" s="11"/>
    </row>
    <row r="42" spans="1:6" ht="24" customHeight="1">
      <c r="A42" s="8"/>
      <c r="B42" s="9"/>
      <c r="C42" s="9"/>
      <c r="D42" s="10"/>
      <c r="E42" s="1"/>
      <c r="F42" s="11"/>
    </row>
    <row r="43" spans="1:6" ht="24" customHeight="1">
      <c r="A43" s="8"/>
      <c r="B43" s="9"/>
      <c r="C43" s="9"/>
      <c r="D43" s="10"/>
      <c r="E43" s="1"/>
      <c r="F43" s="11"/>
    </row>
    <row r="44" spans="1:6" ht="24" customHeight="1">
      <c r="A44" s="8"/>
      <c r="B44" s="9"/>
      <c r="C44" s="9"/>
      <c r="D44" s="10"/>
      <c r="E44" s="1"/>
      <c r="F44" s="11"/>
    </row>
    <row r="45" spans="1:6" ht="24" customHeight="1">
      <c r="A45" s="8"/>
      <c r="B45" s="9"/>
      <c r="C45" s="9"/>
      <c r="D45" s="10"/>
      <c r="E45" s="1"/>
      <c r="F45" s="11"/>
    </row>
    <row r="46" spans="1:6" ht="24" customHeight="1">
      <c r="A46" s="8"/>
      <c r="B46" s="9"/>
      <c r="C46" s="9"/>
      <c r="D46" s="10"/>
      <c r="E46" s="1"/>
      <c r="F46" s="11"/>
    </row>
    <row r="47" spans="1:6" ht="24" customHeight="1">
      <c r="A47" s="8"/>
      <c r="B47" s="9"/>
      <c r="C47" s="9"/>
      <c r="D47" s="10"/>
      <c r="E47" s="1"/>
      <c r="F47" s="11"/>
    </row>
    <row r="48" spans="1:6" ht="24" customHeight="1">
      <c r="A48" s="8"/>
      <c r="B48" s="9"/>
      <c r="C48" s="9"/>
      <c r="D48" s="10"/>
      <c r="E48" s="1"/>
      <c r="F48" s="11"/>
    </row>
    <row r="49" spans="1:6" ht="24" customHeight="1">
      <c r="A49" s="8"/>
      <c r="B49" s="9"/>
      <c r="C49" s="9"/>
      <c r="D49" s="10"/>
      <c r="E49" s="1"/>
      <c r="F49" s="11"/>
    </row>
    <row r="50" spans="1:6" ht="24" customHeight="1">
      <c r="A50" s="8"/>
      <c r="B50" s="9"/>
      <c r="C50" s="9"/>
      <c r="D50" s="10"/>
      <c r="E50" s="1"/>
      <c r="F50" s="11"/>
    </row>
    <row r="51" spans="1:6" ht="24" customHeight="1">
      <c r="A51" s="8"/>
      <c r="B51" s="9"/>
      <c r="C51" s="9"/>
      <c r="D51" s="10"/>
      <c r="E51" s="1"/>
      <c r="F51" s="11"/>
    </row>
    <row r="52" spans="1:6" ht="24" customHeight="1">
      <c r="A52" s="8"/>
      <c r="B52" s="9"/>
      <c r="C52" s="9"/>
      <c r="D52" s="10"/>
      <c r="E52" s="1"/>
      <c r="F52" s="11"/>
    </row>
    <row r="53" spans="1:6" ht="24" customHeight="1">
      <c r="A53" s="8"/>
      <c r="B53" s="9"/>
      <c r="C53" s="9"/>
      <c r="D53" s="10"/>
      <c r="E53" s="1"/>
      <c r="F53" s="11"/>
    </row>
    <row r="54" spans="1:6" ht="24" customHeight="1">
      <c r="A54" s="8"/>
      <c r="B54" s="9"/>
      <c r="C54" s="9"/>
      <c r="D54" s="10"/>
      <c r="E54" s="1"/>
      <c r="F54" s="11"/>
    </row>
    <row r="55" spans="1:6" ht="24" customHeight="1">
      <c r="A55" s="8"/>
      <c r="B55" s="9"/>
      <c r="C55" s="9"/>
      <c r="D55" s="10"/>
      <c r="E55" s="1"/>
      <c r="F55" s="11"/>
    </row>
    <row r="56" spans="1:6" ht="24" customHeight="1">
      <c r="A56" s="8"/>
      <c r="B56" s="9"/>
      <c r="C56" s="9"/>
      <c r="D56" s="10"/>
      <c r="E56" s="1"/>
      <c r="F56" s="11"/>
    </row>
    <row r="57" spans="1:6" ht="24" customHeight="1">
      <c r="A57" s="8"/>
      <c r="B57" s="9"/>
      <c r="C57" s="9"/>
      <c r="D57" s="10"/>
      <c r="E57" s="1"/>
      <c r="F57" s="11"/>
    </row>
    <row r="58" spans="1:6" ht="24" customHeight="1">
      <c r="A58" s="8"/>
      <c r="B58" s="9"/>
      <c r="C58" s="9"/>
      <c r="D58" s="10"/>
      <c r="E58" s="1"/>
      <c r="F58" s="11"/>
    </row>
    <row r="59" spans="1:6" ht="24" customHeight="1">
      <c r="A59" s="8"/>
      <c r="B59" s="9"/>
      <c r="C59" s="9"/>
      <c r="D59" s="10"/>
      <c r="E59" s="1"/>
      <c r="F59" s="11"/>
    </row>
    <row r="60" spans="1:6" ht="24" customHeight="1">
      <c r="A60" s="8"/>
      <c r="B60" s="9"/>
      <c r="C60" s="9"/>
      <c r="D60" s="10"/>
      <c r="E60" s="1"/>
      <c r="F60" s="11"/>
    </row>
    <row r="61" spans="1:6" ht="24" customHeight="1" thickBot="1">
      <c r="A61" s="8"/>
      <c r="B61" s="9"/>
      <c r="C61" s="9"/>
      <c r="D61" s="10"/>
      <c r="E61" s="1"/>
      <c r="F61" s="11"/>
    </row>
    <row r="62" spans="1:6" ht="24" customHeight="1" thickBot="1">
      <c r="A62" s="12"/>
      <c r="B62" s="60" t="s">
        <v>155</v>
      </c>
      <c r="C62" s="61"/>
      <c r="D62" s="62"/>
      <c r="E62" s="13">
        <f ca="1">SUM(E35:E64)</f>
        <v>0</v>
      </c>
      <c r="F62" s="12"/>
    </row>
    <row r="63" spans="1:6" ht="24" customHeight="1">
      <c r="A63" s="58" t="s">
        <v>314</v>
      </c>
      <c r="B63" s="58"/>
      <c r="C63" s="58"/>
      <c r="D63" s="58"/>
      <c r="E63" s="58"/>
      <c r="F63" s="58"/>
    </row>
    <row r="64" spans="1:6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32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 ca="1">E62</f>
        <v>0</v>
      </c>
      <c r="F66" s="12"/>
    </row>
    <row r="67" spans="1:7" ht="24" customHeight="1">
      <c r="A67" s="8"/>
      <c r="B67" s="9"/>
      <c r="C67" s="9"/>
      <c r="D67" s="10"/>
      <c r="E67" s="1"/>
      <c r="F67" s="11"/>
    </row>
    <row r="68" spans="1:7" ht="24" customHeight="1">
      <c r="A68" s="8"/>
      <c r="B68" s="9"/>
      <c r="C68" s="9"/>
      <c r="D68" s="10"/>
      <c r="E68" s="1"/>
      <c r="F68" s="11"/>
      <c r="G68" s="14"/>
    </row>
    <row r="69" spans="1:7" ht="24" customHeight="1">
      <c r="A69" s="8"/>
      <c r="B69" s="9"/>
      <c r="C69" s="9"/>
      <c r="D69" s="10"/>
      <c r="E69" s="1"/>
      <c r="F69" s="11"/>
    </row>
    <row r="70" spans="1:7" ht="24" customHeight="1">
      <c r="A70" s="8"/>
      <c r="B70" s="9"/>
      <c r="C70" s="9"/>
      <c r="D70" s="10"/>
      <c r="E70" s="1"/>
      <c r="F70" s="11"/>
    </row>
    <row r="71" spans="1:7" ht="24" customHeight="1">
      <c r="A71" s="8"/>
      <c r="B71" s="9"/>
      <c r="C71" s="9"/>
      <c r="D71" s="10"/>
      <c r="E71" s="1"/>
      <c r="F71" s="11"/>
    </row>
    <row r="72" spans="1:7" ht="24" customHeight="1">
      <c r="A72" s="8"/>
      <c r="B72" s="9"/>
      <c r="C72" s="9"/>
      <c r="D72" s="10"/>
      <c r="E72" s="1"/>
      <c r="F72" s="11"/>
    </row>
    <row r="73" spans="1:7" ht="24" customHeight="1">
      <c r="A73" s="8"/>
      <c r="B73" s="9"/>
      <c r="C73" s="9"/>
      <c r="D73" s="10"/>
      <c r="E73" s="1"/>
      <c r="F73" s="11"/>
    </row>
    <row r="74" spans="1:7" ht="24" customHeight="1">
      <c r="A74" s="8"/>
      <c r="B74" s="9"/>
      <c r="C74" s="9"/>
      <c r="D74" s="10"/>
      <c r="E74" s="1"/>
      <c r="F74" s="11"/>
    </row>
    <row r="75" spans="1:7" ht="24" customHeight="1">
      <c r="A75" s="8"/>
      <c r="B75" s="9"/>
      <c r="C75" s="9"/>
      <c r="D75" s="10"/>
      <c r="E75" s="1"/>
      <c r="F75" s="11"/>
    </row>
    <row r="76" spans="1:7" ht="24" customHeight="1">
      <c r="A76" s="8"/>
      <c r="B76" s="9"/>
      <c r="C76" s="9"/>
      <c r="D76" s="10"/>
      <c r="E76" s="1"/>
      <c r="F76" s="11"/>
    </row>
    <row r="77" spans="1:7" ht="24" customHeight="1">
      <c r="A77" s="8"/>
      <c r="B77" s="9"/>
      <c r="C77" s="9"/>
      <c r="D77" s="10"/>
      <c r="E77" s="1"/>
      <c r="F77" s="11"/>
    </row>
    <row r="78" spans="1:7" ht="24" customHeight="1">
      <c r="A78" s="8"/>
      <c r="B78" s="9"/>
      <c r="C78" s="9"/>
      <c r="D78" s="10"/>
      <c r="E78" s="1"/>
      <c r="F78" s="11"/>
    </row>
    <row r="79" spans="1:7" ht="24" customHeight="1">
      <c r="A79" s="8"/>
      <c r="B79" s="9"/>
      <c r="C79" s="9"/>
      <c r="D79" s="10"/>
      <c r="E79" s="1"/>
      <c r="F79" s="11"/>
    </row>
    <row r="80" spans="1:7" ht="24" customHeight="1">
      <c r="A80" s="8"/>
      <c r="B80" s="9"/>
      <c r="C80" s="9"/>
      <c r="D80" s="10"/>
      <c r="E80" s="1"/>
      <c r="F80" s="11"/>
    </row>
    <row r="81" spans="1:6" ht="24" customHeight="1">
      <c r="A81" s="8"/>
      <c r="B81" s="9"/>
      <c r="C81" s="9"/>
      <c r="D81" s="10"/>
      <c r="E81" s="1"/>
      <c r="F81" s="11"/>
    </row>
    <row r="82" spans="1:6" ht="24" customHeight="1">
      <c r="A82" s="8"/>
      <c r="B82" s="9"/>
      <c r="C82" s="9"/>
      <c r="D82" s="10"/>
      <c r="E82" s="1"/>
      <c r="F82" s="11"/>
    </row>
    <row r="83" spans="1:6" ht="24" customHeight="1">
      <c r="A83" s="8"/>
      <c r="B83" s="9"/>
      <c r="C83" s="9"/>
      <c r="D83" s="10"/>
      <c r="E83" s="1"/>
      <c r="F83" s="11"/>
    </row>
    <row r="84" spans="1:6" ht="24" customHeight="1">
      <c r="A84" s="8"/>
      <c r="B84" s="9"/>
      <c r="C84" s="9"/>
      <c r="D84" s="10"/>
      <c r="E84" s="1"/>
      <c r="F84" s="11"/>
    </row>
    <row r="85" spans="1:6" ht="24" customHeight="1">
      <c r="A85" s="8"/>
      <c r="B85" s="9"/>
      <c r="C85" s="9"/>
      <c r="D85" s="10"/>
      <c r="E85" s="1"/>
      <c r="F85" s="11"/>
    </row>
    <row r="86" spans="1:6" ht="24" customHeight="1">
      <c r="A86" s="8"/>
      <c r="B86" s="9"/>
      <c r="C86" s="9"/>
      <c r="D86" s="10"/>
      <c r="E86" s="15"/>
      <c r="F86" s="11"/>
    </row>
    <row r="87" spans="1:6" ht="24" customHeight="1">
      <c r="A87" s="8"/>
      <c r="B87" s="9"/>
      <c r="C87" s="9"/>
      <c r="D87" s="10"/>
      <c r="E87" s="15"/>
      <c r="F87" s="11"/>
    </row>
    <row r="88" spans="1:6" ht="24" customHeight="1">
      <c r="A88" s="8"/>
      <c r="B88" s="9"/>
      <c r="C88" s="9"/>
      <c r="D88" s="10"/>
      <c r="E88" s="15"/>
      <c r="F88" s="11"/>
    </row>
    <row r="89" spans="1:6" ht="24" customHeight="1">
      <c r="A89" s="8"/>
      <c r="B89" s="9"/>
      <c r="C89" s="9"/>
      <c r="D89" s="10"/>
      <c r="E89" s="15"/>
      <c r="F89" s="11"/>
    </row>
    <row r="90" spans="1:6" ht="24" customHeight="1">
      <c r="A90" s="8"/>
      <c r="B90" s="9"/>
      <c r="C90" s="9"/>
      <c r="D90" s="10"/>
      <c r="E90" s="15"/>
      <c r="F90" s="11"/>
    </row>
    <row r="91" spans="1:6" ht="24" customHeight="1">
      <c r="A91" s="8"/>
      <c r="B91" s="9"/>
      <c r="C91" s="9"/>
      <c r="D91" s="10"/>
      <c r="E91" s="15"/>
      <c r="F91" s="11"/>
    </row>
    <row r="92" spans="1:6" ht="24" customHeight="1" thickBot="1">
      <c r="A92" s="8"/>
      <c r="B92" s="9"/>
      <c r="C92" s="9"/>
      <c r="D92" s="10"/>
      <c r="E92" s="1"/>
      <c r="F92" s="11"/>
    </row>
    <row r="93" spans="1:6" ht="24" customHeight="1" thickBot="1">
      <c r="A93" s="12"/>
      <c r="B93" s="60" t="s">
        <v>100</v>
      </c>
      <c r="C93" s="61"/>
      <c r="D93" s="62"/>
      <c r="E93" s="13">
        <f ca="1">SUM(E66:E92)</f>
        <v>0</v>
      </c>
      <c r="F93" s="12"/>
    </row>
    <row r="94" spans="1:6" ht="24" customHeight="1">
      <c r="A94" s="58" t="s">
        <v>314</v>
      </c>
      <c r="B94" s="58"/>
      <c r="C94" s="58"/>
      <c r="D94" s="58"/>
      <c r="E94" s="58"/>
      <c r="F94" s="58"/>
    </row>
    <row r="95" spans="1:6" ht="24" customHeight="1" thickBot="1">
      <c r="A95" s="59" t="s">
        <v>117</v>
      </c>
      <c r="B95" s="59"/>
      <c r="C95" s="59"/>
      <c r="D95" s="59"/>
      <c r="E95" s="59"/>
      <c r="F95" s="59"/>
    </row>
    <row r="96" spans="1:6" ht="24" customHeight="1" thickBot="1">
      <c r="A96" s="16" t="s">
        <v>2</v>
      </c>
      <c r="B96" s="60" t="s">
        <v>3</v>
      </c>
      <c r="C96" s="61"/>
      <c r="D96" s="62"/>
      <c r="E96" s="16" t="s">
        <v>0</v>
      </c>
      <c r="F96" s="16" t="s">
        <v>1</v>
      </c>
    </row>
    <row r="97" spans="1:7" ht="24" customHeight="1" thickBot="1">
      <c r="A97" s="16"/>
      <c r="B97" s="60" t="s">
        <v>30</v>
      </c>
      <c r="C97" s="61"/>
      <c r="D97" s="62"/>
      <c r="E97" s="13">
        <f ca="1">E93</f>
        <v>0</v>
      </c>
      <c r="F97" s="12"/>
    </row>
    <row r="98" spans="1:7" ht="24" customHeight="1">
      <c r="A98" s="8"/>
      <c r="B98" s="9"/>
      <c r="C98" s="9"/>
      <c r="D98" s="10"/>
      <c r="E98" s="1"/>
      <c r="F98" s="11"/>
      <c r="G98" s="14"/>
    </row>
    <row r="99" spans="1:7" ht="24" customHeight="1">
      <c r="A99" s="8"/>
      <c r="B99" s="9"/>
      <c r="C99" s="9"/>
      <c r="D99" s="10"/>
      <c r="E99" s="15"/>
      <c r="F99" s="11"/>
    </row>
    <row r="100" spans="1:7" ht="24" customHeight="1">
      <c r="A100" s="8"/>
      <c r="B100" s="9"/>
      <c r="C100" s="9"/>
      <c r="D100" s="10"/>
      <c r="E100" s="1"/>
      <c r="F100" s="11"/>
    </row>
    <row r="101" spans="1:7" ht="24" customHeight="1">
      <c r="A101" s="8"/>
      <c r="B101" s="9"/>
      <c r="C101" s="9"/>
      <c r="D101" s="10"/>
      <c r="E101" s="1"/>
      <c r="F101" s="11"/>
    </row>
    <row r="102" spans="1:7" ht="24" customHeight="1">
      <c r="A102" s="8"/>
      <c r="B102" s="9"/>
      <c r="C102" s="9"/>
      <c r="D102" s="10"/>
      <c r="E102" s="1"/>
      <c r="F102" s="11"/>
    </row>
    <row r="103" spans="1:7" ht="24" customHeight="1">
      <c r="A103" s="8"/>
      <c r="B103" s="9"/>
      <c r="C103" s="9"/>
      <c r="D103" s="10"/>
      <c r="E103" s="1"/>
      <c r="F103" s="11"/>
    </row>
    <row r="104" spans="1:7" ht="24" customHeight="1">
      <c r="A104" s="8"/>
      <c r="B104" s="9"/>
      <c r="C104" s="9"/>
      <c r="D104" s="10"/>
      <c r="E104" s="1"/>
      <c r="F104" s="11"/>
    </row>
    <row r="105" spans="1:7" ht="24" customHeight="1">
      <c r="A105" s="8"/>
      <c r="B105" s="9"/>
      <c r="C105" s="9"/>
      <c r="D105" s="10"/>
      <c r="E105" s="1"/>
      <c r="F105" s="11"/>
    </row>
    <row r="106" spans="1:7" ht="24" customHeight="1">
      <c r="A106" s="8"/>
      <c r="B106" s="9"/>
      <c r="C106" s="9"/>
      <c r="D106" s="10"/>
      <c r="E106" s="1"/>
      <c r="F106" s="11"/>
    </row>
    <row r="107" spans="1:7" ht="24" customHeight="1">
      <c r="A107" s="8"/>
      <c r="B107" s="9"/>
      <c r="C107" s="9"/>
      <c r="D107" s="10"/>
      <c r="E107" s="1"/>
      <c r="F107" s="11"/>
    </row>
    <row r="108" spans="1:7" ht="24" customHeight="1">
      <c r="A108" s="8"/>
      <c r="B108" s="9"/>
      <c r="C108" s="9"/>
      <c r="D108" s="10"/>
      <c r="E108" s="1"/>
      <c r="F108" s="11"/>
    </row>
    <row r="109" spans="1:7" ht="24" customHeight="1">
      <c r="A109" s="8"/>
      <c r="B109" s="9"/>
      <c r="C109" s="9"/>
      <c r="D109" s="10"/>
      <c r="E109" s="1"/>
      <c r="F109" s="11"/>
    </row>
    <row r="110" spans="1:7" ht="24" customHeight="1">
      <c r="A110" s="8"/>
      <c r="B110" s="9"/>
      <c r="C110" s="9"/>
      <c r="D110" s="10"/>
      <c r="E110" s="1"/>
      <c r="F110" s="11"/>
    </row>
    <row r="111" spans="1:7" ht="24" customHeight="1">
      <c r="A111" s="8"/>
      <c r="B111" s="9"/>
      <c r="C111" s="9"/>
      <c r="D111" s="10"/>
      <c r="E111" s="1"/>
      <c r="F111" s="11"/>
    </row>
    <row r="112" spans="1:7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5"/>
      <c r="F116" s="11"/>
    </row>
    <row r="117" spans="1:6" ht="24" customHeight="1">
      <c r="A117" s="8"/>
      <c r="B117" s="9"/>
      <c r="C117" s="9"/>
      <c r="D117" s="10"/>
      <c r="E117" s="15"/>
      <c r="F117" s="11"/>
    </row>
    <row r="118" spans="1:6" ht="24" customHeight="1">
      <c r="A118" s="8"/>
      <c r="B118" s="9"/>
      <c r="C118" s="9"/>
      <c r="D118" s="10"/>
      <c r="E118" s="15"/>
      <c r="F118" s="11"/>
    </row>
    <row r="119" spans="1:6" ht="24" customHeight="1">
      <c r="A119" s="8"/>
      <c r="B119" s="9"/>
      <c r="C119" s="9"/>
      <c r="D119" s="10"/>
      <c r="E119" s="1"/>
      <c r="F119" s="11"/>
    </row>
    <row r="120" spans="1:6" ht="24" customHeight="1">
      <c r="A120" s="8"/>
      <c r="B120" s="9"/>
      <c r="C120" s="9"/>
      <c r="D120" s="10"/>
      <c r="E120" s="1"/>
      <c r="F120" s="11"/>
    </row>
    <row r="121" spans="1:6" ht="24" customHeight="1">
      <c r="A121" s="8"/>
      <c r="B121" s="9"/>
      <c r="C121" s="9"/>
      <c r="D121" s="10"/>
      <c r="E121" s="1"/>
      <c r="F121" s="11"/>
    </row>
    <row r="122" spans="1:6" ht="24" customHeight="1">
      <c r="A122" s="8"/>
      <c r="B122" s="9"/>
      <c r="C122" s="9"/>
      <c r="D122" s="10"/>
      <c r="E122" s="1"/>
      <c r="F122" s="11"/>
    </row>
    <row r="123" spans="1:6" ht="24" customHeight="1" thickBot="1">
      <c r="A123" s="8"/>
      <c r="B123" s="9"/>
      <c r="C123" s="9"/>
      <c r="D123" s="10"/>
      <c r="E123" s="1"/>
      <c r="F123" s="11"/>
    </row>
    <row r="124" spans="1:6" ht="24" customHeight="1" thickBot="1">
      <c r="A124" s="12"/>
      <c r="B124" s="60" t="s">
        <v>100</v>
      </c>
      <c r="C124" s="61"/>
      <c r="D124" s="62"/>
      <c r="E124" s="13">
        <f ca="1">SUM(E97:E123)</f>
        <v>8731025</v>
      </c>
      <c r="F124" s="12"/>
    </row>
    <row r="125" spans="1:6" ht="24" customHeight="1">
      <c r="A125" s="58" t="s">
        <v>315</v>
      </c>
      <c r="B125" s="58"/>
      <c r="C125" s="58"/>
      <c r="D125" s="58"/>
      <c r="E125" s="58"/>
      <c r="F125" s="58"/>
    </row>
    <row r="126" spans="1:6" ht="24" customHeight="1" thickBot="1">
      <c r="A126" s="59" t="s">
        <v>117</v>
      </c>
      <c r="B126" s="59"/>
      <c r="C126" s="59"/>
      <c r="D126" s="59"/>
      <c r="E126" s="59"/>
      <c r="F126" s="59"/>
    </row>
    <row r="127" spans="1:6" ht="24" customHeight="1" thickBot="1">
      <c r="A127" s="16" t="s">
        <v>2</v>
      </c>
      <c r="B127" s="60" t="s">
        <v>3</v>
      </c>
      <c r="C127" s="61"/>
      <c r="D127" s="62"/>
      <c r="E127" s="16" t="s">
        <v>0</v>
      </c>
      <c r="F127" s="16" t="s">
        <v>1</v>
      </c>
    </row>
    <row r="128" spans="1:6" ht="24" customHeight="1" thickBot="1">
      <c r="A128" s="16"/>
      <c r="B128" s="60" t="s">
        <v>30</v>
      </c>
      <c r="C128" s="61"/>
      <c r="D128" s="62"/>
      <c r="E128" s="13">
        <f ca="1">E124</f>
        <v>8731025</v>
      </c>
      <c r="F128" s="12"/>
    </row>
    <row r="129" spans="1:13" ht="24" customHeight="1">
      <c r="A129" s="8"/>
      <c r="B129" s="9"/>
      <c r="C129" s="9"/>
      <c r="D129" s="10"/>
      <c r="E129" s="1"/>
      <c r="F129" s="11"/>
    </row>
    <row r="130" spans="1:13" ht="24" customHeight="1">
      <c r="A130" s="8"/>
      <c r="B130" s="9"/>
      <c r="C130" s="9"/>
      <c r="D130" s="10"/>
      <c r="E130" s="1"/>
      <c r="F130" s="11"/>
    </row>
    <row r="131" spans="1:13" ht="24" customHeight="1">
      <c r="A131" s="8"/>
      <c r="B131" s="9"/>
      <c r="C131" s="9"/>
      <c r="D131" s="10"/>
      <c r="E131" s="1"/>
      <c r="F131" s="11"/>
    </row>
    <row r="132" spans="1:13" ht="24" customHeight="1">
      <c r="A132" s="8"/>
      <c r="B132" s="9"/>
      <c r="C132" s="9"/>
      <c r="D132" s="10"/>
      <c r="E132" s="1"/>
      <c r="F132" s="11"/>
    </row>
    <row r="133" spans="1:13" ht="24" customHeight="1">
      <c r="A133" s="8"/>
      <c r="B133" s="9"/>
      <c r="C133" s="9"/>
      <c r="D133" s="10"/>
      <c r="E133" s="1"/>
      <c r="F133" s="11"/>
    </row>
    <row r="134" spans="1:13" ht="24" customHeight="1">
      <c r="A134" s="8"/>
      <c r="B134" s="9"/>
      <c r="C134" s="9"/>
      <c r="D134" s="10"/>
      <c r="E134" s="15"/>
      <c r="F134" s="11"/>
    </row>
    <row r="135" spans="1:13" ht="24" customHeight="1">
      <c r="A135" s="8"/>
      <c r="B135" s="9"/>
      <c r="C135" s="9"/>
      <c r="D135" s="10"/>
      <c r="E135" s="1"/>
      <c r="F135" s="11"/>
    </row>
    <row r="136" spans="1:13" ht="24" customHeight="1">
      <c r="A136" s="8"/>
      <c r="B136" s="9"/>
      <c r="C136" s="9"/>
      <c r="D136" s="10"/>
      <c r="E136" s="1"/>
      <c r="F136" s="11"/>
    </row>
    <row r="137" spans="1:13" ht="24" customHeight="1">
      <c r="A137" s="8"/>
      <c r="B137" s="9"/>
      <c r="C137" s="9"/>
      <c r="D137" s="10"/>
      <c r="E137" s="1"/>
      <c r="F137" s="11"/>
    </row>
    <row r="138" spans="1:13" ht="24" customHeight="1">
      <c r="A138" s="8"/>
      <c r="B138" s="9"/>
      <c r="C138" s="9"/>
      <c r="D138" s="10"/>
      <c r="E138" s="1"/>
      <c r="F138" s="11"/>
    </row>
    <row r="139" spans="1:13" ht="24" customHeight="1">
      <c r="A139" s="8"/>
      <c r="B139" s="9"/>
      <c r="C139" s="9"/>
      <c r="D139" s="10"/>
      <c r="E139" s="1"/>
      <c r="F139" s="11"/>
    </row>
    <row r="140" spans="1:13" ht="24" customHeight="1">
      <c r="A140" s="8"/>
      <c r="B140" s="9"/>
      <c r="C140" s="9"/>
      <c r="D140" s="10"/>
      <c r="E140" s="1"/>
      <c r="F140" s="11"/>
    </row>
    <row r="141" spans="1:13" ht="24" customHeight="1">
      <c r="A141" s="8"/>
      <c r="B141" s="9"/>
      <c r="C141" s="9"/>
      <c r="D141" s="10"/>
      <c r="E141" s="1"/>
      <c r="F141" s="11"/>
    </row>
    <row r="142" spans="1:13" ht="24" customHeight="1">
      <c r="A142" s="8"/>
      <c r="B142" s="9"/>
      <c r="C142" s="9"/>
      <c r="D142" s="10"/>
      <c r="E142" s="1"/>
      <c r="F142" s="11"/>
      <c r="K142" s="14"/>
      <c r="M142" s="14"/>
    </row>
    <row r="143" spans="1:13" ht="24" customHeight="1">
      <c r="A143" s="8"/>
      <c r="B143" s="9"/>
      <c r="C143" s="9"/>
      <c r="D143" s="10"/>
      <c r="E143" s="1"/>
      <c r="F143" s="11"/>
    </row>
    <row r="144" spans="1:13" ht="24" customHeight="1">
      <c r="A144" s="8"/>
      <c r="B144" s="9"/>
      <c r="C144" s="9"/>
      <c r="D144" s="10"/>
      <c r="E144" s="1"/>
      <c r="F144" s="11"/>
      <c r="K144" s="14"/>
      <c r="M144" s="14"/>
    </row>
    <row r="145" spans="1:6" ht="24" customHeight="1">
      <c r="A145" s="8"/>
      <c r="B145" s="9"/>
      <c r="C145" s="9"/>
      <c r="D145" s="10"/>
      <c r="E145" s="1"/>
      <c r="F145" s="11"/>
    </row>
    <row r="146" spans="1:6" ht="24" customHeight="1">
      <c r="A146" s="8"/>
      <c r="B146" s="9"/>
      <c r="C146" s="9"/>
      <c r="D146" s="10"/>
      <c r="E146" s="1"/>
      <c r="F146" s="11"/>
    </row>
    <row r="147" spans="1:6" ht="24" customHeight="1">
      <c r="A147" s="8"/>
      <c r="B147" s="9"/>
      <c r="C147" s="9"/>
      <c r="D147" s="10"/>
      <c r="E147" s="1"/>
      <c r="F147" s="11"/>
    </row>
    <row r="148" spans="1:6" ht="24" customHeight="1">
      <c r="A148" s="8"/>
      <c r="B148" s="9"/>
      <c r="C148" s="9"/>
      <c r="D148" s="10"/>
      <c r="E148" s="1"/>
      <c r="F148" s="11"/>
    </row>
    <row r="149" spans="1:6" ht="24" customHeight="1">
      <c r="A149" s="8"/>
      <c r="B149" s="9"/>
      <c r="C149" s="9"/>
      <c r="D149" s="10"/>
      <c r="E149" s="1"/>
      <c r="F149" s="11"/>
    </row>
    <row r="150" spans="1:6" ht="24" customHeight="1">
      <c r="A150" s="8"/>
      <c r="B150" s="9"/>
      <c r="C150" s="9"/>
      <c r="D150" s="10"/>
      <c r="E150" s="1"/>
      <c r="F150" s="11"/>
    </row>
    <row r="151" spans="1:6" ht="24" customHeight="1">
      <c r="A151" s="8"/>
      <c r="B151" s="9"/>
      <c r="C151" s="9"/>
      <c r="D151" s="10"/>
      <c r="E151" s="15"/>
      <c r="F151" s="11"/>
    </row>
    <row r="152" spans="1:6" ht="24" customHeight="1">
      <c r="A152" s="8"/>
      <c r="B152" s="9"/>
      <c r="C152" s="9"/>
      <c r="D152" s="10"/>
      <c r="E152" s="15"/>
      <c r="F152" s="11"/>
    </row>
    <row r="153" spans="1:6" ht="24" customHeight="1">
      <c r="A153" s="8"/>
      <c r="B153" s="9"/>
      <c r="C153" s="9"/>
      <c r="D153" s="10"/>
      <c r="E153" s="15"/>
      <c r="F153" s="11"/>
    </row>
    <row r="154" spans="1:6" ht="24" customHeight="1" thickBot="1">
      <c r="A154" s="8"/>
      <c r="B154" s="9"/>
      <c r="C154" s="9"/>
      <c r="D154" s="10"/>
      <c r="E154" s="15"/>
      <c r="F154" s="11"/>
    </row>
    <row r="155" spans="1:6" ht="24" customHeight="1" thickBot="1">
      <c r="A155" s="12"/>
      <c r="B155" s="60" t="s">
        <v>100</v>
      </c>
      <c r="C155" s="61"/>
      <c r="D155" s="62"/>
      <c r="E155" s="13">
        <f ca="1">SUM(E128:E154)</f>
        <v>11377995</v>
      </c>
      <c r="F155" s="12"/>
    </row>
    <row r="156" spans="1:6" ht="24" customHeight="1">
      <c r="A156" s="58" t="s">
        <v>315</v>
      </c>
      <c r="B156" s="58"/>
      <c r="C156" s="58"/>
      <c r="D156" s="58"/>
      <c r="E156" s="58"/>
      <c r="F156" s="58"/>
    </row>
    <row r="157" spans="1:6" ht="24" customHeight="1" thickBot="1">
      <c r="A157" s="59" t="s">
        <v>117</v>
      </c>
      <c r="B157" s="59"/>
      <c r="C157" s="59"/>
      <c r="D157" s="59"/>
      <c r="E157" s="59"/>
      <c r="F157" s="59"/>
    </row>
    <row r="158" spans="1:6" ht="24" customHeight="1" thickBot="1">
      <c r="A158" s="16" t="s">
        <v>2</v>
      </c>
      <c r="B158" s="60" t="s">
        <v>3</v>
      </c>
      <c r="C158" s="61"/>
      <c r="D158" s="62"/>
      <c r="E158" s="16" t="s">
        <v>0</v>
      </c>
      <c r="F158" s="16" t="s">
        <v>1</v>
      </c>
    </row>
    <row r="159" spans="1:6" ht="24" customHeight="1" thickBot="1">
      <c r="A159" s="16"/>
      <c r="B159" s="60" t="s">
        <v>30</v>
      </c>
      <c r="C159" s="61"/>
      <c r="D159" s="62"/>
      <c r="E159" s="13">
        <f ca="1">E155</f>
        <v>11377995</v>
      </c>
      <c r="F159" s="12"/>
    </row>
    <row r="160" spans="1:6" ht="24" customHeight="1">
      <c r="A160" s="8"/>
      <c r="B160" s="9"/>
      <c r="C160" s="9"/>
      <c r="D160" s="10"/>
      <c r="E160" s="1"/>
      <c r="F160" s="11"/>
    </row>
    <row r="161" spans="1:6" ht="24" customHeight="1">
      <c r="A161" s="8"/>
      <c r="B161" s="9"/>
      <c r="C161" s="9"/>
      <c r="D161" s="10"/>
      <c r="E161" s="1"/>
      <c r="F161" s="11"/>
    </row>
    <row r="162" spans="1:6" ht="24" customHeight="1">
      <c r="A162" s="8"/>
      <c r="B162" s="9"/>
      <c r="C162" s="9"/>
      <c r="D162" s="10"/>
      <c r="E162" s="1"/>
      <c r="F162" s="11"/>
    </row>
    <row r="163" spans="1:6" ht="24" customHeight="1">
      <c r="A163" s="8"/>
      <c r="B163" s="9"/>
      <c r="C163" s="9"/>
      <c r="D163" s="10"/>
      <c r="E163" s="1"/>
      <c r="F163" s="11"/>
    </row>
    <row r="164" spans="1:6" ht="24" customHeight="1">
      <c r="A164" s="8"/>
      <c r="B164" s="9"/>
      <c r="C164" s="9"/>
      <c r="D164" s="10"/>
      <c r="E164" s="1"/>
      <c r="F164" s="11"/>
    </row>
    <row r="165" spans="1:6" ht="24" customHeight="1">
      <c r="A165" s="8"/>
      <c r="B165" s="9"/>
      <c r="C165" s="9"/>
      <c r="D165" s="10"/>
      <c r="E165" s="1"/>
      <c r="F165" s="11"/>
    </row>
    <row r="166" spans="1:6" ht="24" customHeight="1">
      <c r="A166" s="8"/>
      <c r="B166" s="9"/>
      <c r="C166" s="9"/>
      <c r="D166" s="10"/>
      <c r="E166" s="1"/>
      <c r="F166" s="11"/>
    </row>
    <row r="167" spans="1:6" ht="24" customHeight="1">
      <c r="A167" s="8"/>
      <c r="B167" s="9"/>
      <c r="C167" s="9"/>
      <c r="D167" s="10"/>
      <c r="E167" s="1"/>
      <c r="F167" s="11"/>
    </row>
    <row r="168" spans="1:6" ht="24" customHeight="1">
      <c r="A168" s="8"/>
      <c r="B168" s="9"/>
      <c r="C168" s="9"/>
      <c r="D168" s="10"/>
      <c r="E168" s="1"/>
      <c r="F168" s="11"/>
    </row>
    <row r="169" spans="1:6" ht="24" customHeight="1" thickBot="1">
      <c r="A169" s="8"/>
      <c r="B169" s="9"/>
      <c r="C169" s="9"/>
      <c r="D169" s="10"/>
      <c r="E169" s="1"/>
      <c r="F169" s="11"/>
    </row>
    <row r="170" spans="1:6" ht="24" customHeight="1" thickBot="1">
      <c r="A170" s="12"/>
      <c r="B170" s="64" t="s">
        <v>4</v>
      </c>
      <c r="C170" s="65"/>
      <c r="D170" s="66"/>
      <c r="E170" s="18">
        <f ca="1">SUM(E159:E169)</f>
        <v>13559073</v>
      </c>
      <c r="F170" s="12"/>
    </row>
    <row r="173" spans="1:6" ht="24" customHeight="1">
      <c r="D173" s="63" t="s">
        <v>116</v>
      </c>
      <c r="E173" s="63"/>
      <c r="F173" s="63"/>
    </row>
  </sheetData>
  <mergeCells count="31">
    <mergeCell ref="D173:F173"/>
    <mergeCell ref="B124:D124"/>
    <mergeCell ref="A125:F125"/>
    <mergeCell ref="A126:F126"/>
    <mergeCell ref="B127:D127"/>
    <mergeCell ref="B128:D128"/>
    <mergeCell ref="B155:D155"/>
    <mergeCell ref="A156:F156"/>
    <mergeCell ref="A157:F157"/>
    <mergeCell ref="B158:D158"/>
    <mergeCell ref="B159:D159"/>
    <mergeCell ref="B170:D170"/>
    <mergeCell ref="B97:D97"/>
    <mergeCell ref="B34:D34"/>
    <mergeCell ref="B35:D35"/>
    <mergeCell ref="B62:D62"/>
    <mergeCell ref="A63:F63"/>
    <mergeCell ref="A64:F64"/>
    <mergeCell ref="B65:D65"/>
    <mergeCell ref="B66:D66"/>
    <mergeCell ref="B93:D93"/>
    <mergeCell ref="A94:F94"/>
    <mergeCell ref="A95:F95"/>
    <mergeCell ref="B96:D96"/>
    <mergeCell ref="A33:F33"/>
    <mergeCell ref="A1:F1"/>
    <mergeCell ref="A2:F2"/>
    <mergeCell ref="B3:D3"/>
    <mergeCell ref="B26:D26"/>
    <mergeCell ref="A32:F32"/>
    <mergeCell ref="D29:F29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3"/>
  <sheetViews>
    <sheetView workbookViewId="0">
      <selection activeCell="I80" sqref="I80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319</v>
      </c>
      <c r="B1" s="58"/>
      <c r="C1" s="58"/>
      <c r="D1" s="58"/>
      <c r="E1" s="58"/>
      <c r="F1" s="58"/>
    </row>
    <row r="2" spans="1:6" ht="24" customHeight="1" thickBot="1">
      <c r="A2" s="59" t="s">
        <v>117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224</v>
      </c>
      <c r="C4" s="4"/>
      <c r="D4" s="5"/>
      <c r="E4" s="6">
        <v>406696</v>
      </c>
      <c r="F4" s="7"/>
    </row>
    <row r="5" spans="1:6" ht="24" customHeight="1">
      <c r="A5" s="8">
        <v>2</v>
      </c>
      <c r="B5" s="9" t="s">
        <v>325</v>
      </c>
      <c r="C5" s="9"/>
      <c r="D5" s="10"/>
      <c r="E5" s="1">
        <v>555924</v>
      </c>
      <c r="F5" s="11"/>
    </row>
    <row r="6" spans="1:6" ht="24" customHeight="1">
      <c r="A6" s="8">
        <v>3</v>
      </c>
      <c r="B6" s="9" t="s">
        <v>325</v>
      </c>
      <c r="C6" s="9"/>
      <c r="D6" s="10"/>
      <c r="E6" s="1">
        <v>696475.2</v>
      </c>
      <c r="F6" s="11"/>
    </row>
    <row r="7" spans="1:6" ht="24" customHeight="1">
      <c r="A7" s="8">
        <v>4</v>
      </c>
      <c r="B7" s="30" t="s">
        <v>325</v>
      </c>
      <c r="C7" s="9"/>
      <c r="D7" s="10"/>
      <c r="E7" s="1">
        <v>287100.79999999999</v>
      </c>
      <c r="F7" s="11"/>
    </row>
    <row r="8" spans="1:6" ht="24" customHeight="1">
      <c r="A8" s="8">
        <v>5</v>
      </c>
      <c r="B8" s="9" t="s">
        <v>224</v>
      </c>
      <c r="C8" s="9"/>
      <c r="D8" s="10"/>
      <c r="E8" s="1">
        <v>539080</v>
      </c>
      <c r="F8" s="11"/>
    </row>
    <row r="9" spans="1:6" ht="24" customHeight="1">
      <c r="A9" s="8">
        <v>6</v>
      </c>
      <c r="B9" s="9" t="s">
        <v>224</v>
      </c>
      <c r="C9" s="9"/>
      <c r="D9" s="10"/>
      <c r="E9" s="1">
        <v>674740</v>
      </c>
      <c r="F9" s="11"/>
    </row>
    <row r="10" spans="1:6" ht="24" customHeight="1">
      <c r="A10" s="8">
        <v>7</v>
      </c>
      <c r="B10" s="30" t="s">
        <v>325</v>
      </c>
      <c r="C10" s="9"/>
      <c r="D10" s="10"/>
      <c r="E10" s="1">
        <v>426300</v>
      </c>
      <c r="F10" s="11"/>
    </row>
    <row r="11" spans="1:6" ht="24" customHeight="1">
      <c r="A11" s="8">
        <v>8</v>
      </c>
      <c r="B11" s="30" t="s">
        <v>325</v>
      </c>
      <c r="C11" s="9"/>
      <c r="D11" s="10"/>
      <c r="E11" s="1">
        <v>526800</v>
      </c>
      <c r="F11" s="11"/>
    </row>
    <row r="12" spans="1:6" ht="24" customHeight="1">
      <c r="A12" s="8">
        <v>9</v>
      </c>
      <c r="B12" s="30" t="s">
        <v>222</v>
      </c>
      <c r="C12" s="9"/>
      <c r="D12" s="10"/>
      <c r="E12" s="1">
        <v>96400</v>
      </c>
      <c r="F12" s="11"/>
    </row>
    <row r="13" spans="1:6" ht="24" customHeight="1">
      <c r="A13" s="8">
        <v>10</v>
      </c>
      <c r="B13" s="9" t="s">
        <v>326</v>
      </c>
      <c r="C13" s="9"/>
      <c r="D13" s="10"/>
      <c r="E13" s="1">
        <v>222848</v>
      </c>
      <c r="F13" s="11"/>
    </row>
    <row r="14" spans="1:6" ht="24" customHeight="1">
      <c r="A14" s="8">
        <v>11</v>
      </c>
      <c r="B14" s="9" t="s">
        <v>221</v>
      </c>
      <c r="C14" s="9"/>
      <c r="D14" s="10"/>
      <c r="E14" s="1">
        <v>17520</v>
      </c>
      <c r="F14" s="11"/>
    </row>
    <row r="15" spans="1:6" ht="24" customHeight="1">
      <c r="A15" s="8">
        <v>12</v>
      </c>
      <c r="B15" s="9" t="s">
        <v>187</v>
      </c>
      <c r="C15" s="9"/>
      <c r="D15" s="10"/>
      <c r="E15" s="1">
        <v>254100</v>
      </c>
      <c r="F15" s="11"/>
    </row>
    <row r="16" spans="1:6" ht="24" customHeight="1">
      <c r="A16" s="8">
        <v>13</v>
      </c>
      <c r="B16" s="9" t="s">
        <v>189</v>
      </c>
      <c r="C16" s="9"/>
      <c r="D16" s="10"/>
      <c r="E16" s="1">
        <v>222075</v>
      </c>
      <c r="F16" s="11"/>
    </row>
    <row r="17" spans="1:6" ht="24" customHeight="1">
      <c r="A17" s="8">
        <v>14</v>
      </c>
      <c r="B17" s="9" t="s">
        <v>158</v>
      </c>
      <c r="C17" s="9"/>
      <c r="D17" s="10"/>
      <c r="E17" s="1">
        <v>17600</v>
      </c>
      <c r="F17" s="11"/>
    </row>
    <row r="18" spans="1:6" ht="24" customHeight="1">
      <c r="A18" s="8">
        <v>15</v>
      </c>
      <c r="B18" s="9" t="s">
        <v>219</v>
      </c>
      <c r="C18" s="9"/>
      <c r="D18" s="10"/>
      <c r="E18" s="1">
        <v>14350</v>
      </c>
      <c r="F18" s="11"/>
    </row>
    <row r="19" spans="1:6" ht="24" customHeight="1">
      <c r="A19" s="8">
        <v>16</v>
      </c>
      <c r="B19" s="9" t="s">
        <v>178</v>
      </c>
      <c r="C19" s="9"/>
      <c r="D19" s="10"/>
      <c r="E19" s="1">
        <v>48000</v>
      </c>
      <c r="F19" s="11"/>
    </row>
    <row r="20" spans="1:6" ht="24" customHeight="1">
      <c r="A20" s="8">
        <v>17</v>
      </c>
      <c r="B20" s="9" t="s">
        <v>159</v>
      </c>
      <c r="C20" s="9"/>
      <c r="D20" s="10"/>
      <c r="E20" s="1">
        <v>12000</v>
      </c>
      <c r="F20" s="11"/>
    </row>
    <row r="21" spans="1:6" ht="24" customHeight="1">
      <c r="A21" s="8">
        <v>18</v>
      </c>
      <c r="B21" s="9" t="s">
        <v>171</v>
      </c>
      <c r="C21" s="9"/>
      <c r="D21" s="10"/>
      <c r="E21" s="1">
        <v>48000</v>
      </c>
      <c r="F21" s="11"/>
    </row>
    <row r="22" spans="1:6" ht="24" customHeight="1">
      <c r="A22" s="8">
        <v>19</v>
      </c>
      <c r="B22" s="9" t="s">
        <v>165</v>
      </c>
      <c r="C22" s="9"/>
      <c r="D22" s="10"/>
      <c r="E22" s="1">
        <v>153600</v>
      </c>
      <c r="F22" s="11"/>
    </row>
    <row r="23" spans="1:6" ht="24" customHeight="1">
      <c r="A23" s="8">
        <v>20</v>
      </c>
      <c r="B23" s="9" t="s">
        <v>182</v>
      </c>
      <c r="C23" s="9"/>
      <c r="D23" s="10"/>
      <c r="E23" s="1">
        <v>34400</v>
      </c>
      <c r="F23" s="11"/>
    </row>
    <row r="24" spans="1:6" ht="24" customHeight="1">
      <c r="A24" s="8">
        <v>21</v>
      </c>
      <c r="B24" s="9" t="s">
        <v>162</v>
      </c>
      <c r="C24" s="9"/>
      <c r="D24" s="10"/>
      <c r="E24" s="1">
        <v>17600</v>
      </c>
      <c r="F24" s="11"/>
    </row>
    <row r="25" spans="1:6" ht="24" customHeight="1">
      <c r="A25" s="8">
        <v>22</v>
      </c>
      <c r="B25" s="9" t="s">
        <v>170</v>
      </c>
      <c r="C25" s="9"/>
      <c r="D25" s="10"/>
      <c r="E25" s="1">
        <v>36000</v>
      </c>
      <c r="F25" s="11"/>
    </row>
    <row r="26" spans="1:6" ht="24" customHeight="1">
      <c r="A26" s="8">
        <v>23</v>
      </c>
      <c r="B26" s="9" t="s">
        <v>166</v>
      </c>
      <c r="C26" s="9"/>
      <c r="D26" s="10"/>
      <c r="E26" s="1">
        <v>85200</v>
      </c>
      <c r="F26" s="11"/>
    </row>
    <row r="27" spans="1:6" ht="24" customHeight="1">
      <c r="A27" s="8">
        <v>24</v>
      </c>
      <c r="B27" s="9" t="s">
        <v>327</v>
      </c>
      <c r="C27" s="9"/>
      <c r="D27" s="10"/>
      <c r="E27" s="1">
        <v>32000</v>
      </c>
      <c r="F27" s="11"/>
    </row>
    <row r="28" spans="1:6" ht="24" customHeight="1">
      <c r="A28" s="8">
        <v>25</v>
      </c>
      <c r="B28" s="9" t="s">
        <v>161</v>
      </c>
      <c r="C28" s="9"/>
      <c r="D28" s="10"/>
      <c r="E28" s="1">
        <v>35200</v>
      </c>
      <c r="F28" s="11"/>
    </row>
    <row r="29" spans="1:6" ht="24" customHeight="1">
      <c r="A29" s="8">
        <v>26</v>
      </c>
      <c r="B29" s="9" t="s">
        <v>216</v>
      </c>
      <c r="C29" s="9"/>
      <c r="D29" s="10"/>
      <c r="E29" s="1">
        <v>55200</v>
      </c>
      <c r="F29" s="11"/>
    </row>
    <row r="30" spans="1:6" ht="24" customHeight="1" thickBot="1">
      <c r="A30" s="8">
        <v>27</v>
      </c>
      <c r="B30" s="9" t="s">
        <v>184</v>
      </c>
      <c r="C30" s="9"/>
      <c r="D30" s="10"/>
      <c r="E30" s="1">
        <v>52800</v>
      </c>
      <c r="F30" s="11"/>
    </row>
    <row r="31" spans="1:6" ht="24" customHeight="1" thickBot="1">
      <c r="A31" s="12"/>
      <c r="B31" s="60" t="s">
        <v>100</v>
      </c>
      <c r="C31" s="61"/>
      <c r="D31" s="62"/>
      <c r="E31" s="13">
        <f>SUM(E4:E30)</f>
        <v>5568009</v>
      </c>
      <c r="F31" s="12"/>
    </row>
    <row r="32" spans="1:6" ht="24" customHeight="1">
      <c r="A32" s="58" t="s">
        <v>320</v>
      </c>
      <c r="B32" s="58"/>
      <c r="C32" s="58"/>
      <c r="D32" s="58"/>
      <c r="E32" s="58"/>
      <c r="F32" s="58"/>
    </row>
    <row r="33" spans="1:6" ht="24" customHeight="1" thickBot="1">
      <c r="A33" s="59" t="s">
        <v>117</v>
      </c>
      <c r="B33" s="59"/>
      <c r="C33" s="59"/>
      <c r="D33" s="59"/>
      <c r="E33" s="59"/>
      <c r="F33" s="59"/>
    </row>
    <row r="34" spans="1:6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6" ht="24" customHeight="1" thickBot="1">
      <c r="A35" s="16"/>
      <c r="B35" s="60" t="s">
        <v>30</v>
      </c>
      <c r="C35" s="61"/>
      <c r="D35" s="62"/>
      <c r="E35" s="13">
        <f>E31</f>
        <v>5568009</v>
      </c>
      <c r="F35" s="12"/>
    </row>
    <row r="36" spans="1:6" ht="24" customHeight="1">
      <c r="A36" s="8">
        <v>28</v>
      </c>
      <c r="B36" s="9" t="s">
        <v>216</v>
      </c>
      <c r="C36" s="9"/>
      <c r="D36" s="10"/>
      <c r="E36" s="1">
        <v>465750</v>
      </c>
      <c r="F36" s="11"/>
    </row>
    <row r="37" spans="1:6" ht="24" customHeight="1">
      <c r="A37" s="8">
        <v>29</v>
      </c>
      <c r="B37" s="9" t="s">
        <v>184</v>
      </c>
      <c r="C37" s="9"/>
      <c r="D37" s="10"/>
      <c r="E37" s="15">
        <v>435500</v>
      </c>
      <c r="F37" s="11"/>
    </row>
    <row r="38" spans="1:6" ht="24" customHeight="1">
      <c r="A38" s="8">
        <v>30</v>
      </c>
      <c r="B38" s="9" t="s">
        <v>179</v>
      </c>
      <c r="C38" s="9"/>
      <c r="D38" s="10"/>
      <c r="E38" s="1">
        <v>156000</v>
      </c>
      <c r="F38" s="11"/>
    </row>
    <row r="39" spans="1:6" ht="24" customHeight="1">
      <c r="A39" s="8">
        <v>31</v>
      </c>
      <c r="B39" s="9" t="s">
        <v>181</v>
      </c>
      <c r="C39" s="9"/>
      <c r="D39" s="10"/>
      <c r="E39" s="1">
        <v>34500</v>
      </c>
      <c r="F39" s="11"/>
    </row>
    <row r="40" spans="1:6" ht="24" customHeight="1">
      <c r="A40" s="8">
        <v>32</v>
      </c>
      <c r="B40" s="9" t="s">
        <v>168</v>
      </c>
      <c r="C40" s="9"/>
      <c r="D40" s="10"/>
      <c r="E40" s="1">
        <v>70400</v>
      </c>
      <c r="F40" s="11"/>
    </row>
    <row r="41" spans="1:6" ht="24" customHeight="1">
      <c r="A41" s="8">
        <v>33</v>
      </c>
      <c r="B41" s="9" t="s">
        <v>349</v>
      </c>
      <c r="C41" s="9"/>
      <c r="D41" s="10"/>
      <c r="E41" s="1">
        <v>473200</v>
      </c>
      <c r="F41" s="11"/>
    </row>
    <row r="42" spans="1:6" ht="24" customHeight="1">
      <c r="A42" s="8">
        <v>34</v>
      </c>
      <c r="B42" s="9" t="s">
        <v>174</v>
      </c>
      <c r="C42" s="9"/>
      <c r="D42" s="10"/>
      <c r="E42" s="1">
        <v>326000</v>
      </c>
      <c r="F42" s="11"/>
    </row>
    <row r="43" spans="1:6" ht="24" customHeight="1">
      <c r="A43" s="8">
        <v>35</v>
      </c>
      <c r="B43" s="9" t="s">
        <v>350</v>
      </c>
      <c r="C43" s="9"/>
      <c r="D43" s="10"/>
      <c r="E43" s="1">
        <v>4350</v>
      </c>
      <c r="F43" s="11"/>
    </row>
    <row r="44" spans="1:6" ht="24" customHeight="1">
      <c r="A44" s="8">
        <v>36</v>
      </c>
      <c r="B44" s="9" t="s">
        <v>186</v>
      </c>
      <c r="C44" s="9"/>
      <c r="D44" s="10"/>
      <c r="E44" s="1">
        <v>231300</v>
      </c>
      <c r="F44" s="11"/>
    </row>
    <row r="45" spans="1:6" ht="24" customHeight="1">
      <c r="A45" s="8">
        <v>37</v>
      </c>
      <c r="B45" s="9" t="s">
        <v>185</v>
      </c>
      <c r="C45" s="9"/>
      <c r="D45" s="10"/>
      <c r="E45" s="1">
        <v>141450</v>
      </c>
      <c r="F45" s="11"/>
    </row>
    <row r="46" spans="1:6" ht="24" customHeight="1">
      <c r="A46" s="8">
        <v>38</v>
      </c>
      <c r="B46" s="9" t="s">
        <v>173</v>
      </c>
      <c r="C46" s="9"/>
      <c r="D46" s="10"/>
      <c r="E46" s="1">
        <v>714050</v>
      </c>
      <c r="F46" s="11"/>
    </row>
    <row r="47" spans="1:6" ht="24" customHeight="1">
      <c r="A47" s="8">
        <v>39</v>
      </c>
      <c r="B47" s="9" t="s">
        <v>163</v>
      </c>
      <c r="C47" s="9"/>
      <c r="D47" s="10"/>
      <c r="E47" s="1">
        <v>72800</v>
      </c>
      <c r="F47" s="11"/>
    </row>
    <row r="48" spans="1:6" ht="24" customHeight="1">
      <c r="A48" s="8">
        <v>40</v>
      </c>
      <c r="B48" s="9" t="s">
        <v>163</v>
      </c>
      <c r="C48" s="9"/>
      <c r="D48" s="10"/>
      <c r="E48" s="1">
        <v>36000</v>
      </c>
      <c r="F48" s="11"/>
    </row>
    <row r="49" spans="1:6" ht="24" customHeight="1">
      <c r="A49" s="8">
        <v>41</v>
      </c>
      <c r="B49" s="9" t="s">
        <v>217</v>
      </c>
      <c r="C49" s="9"/>
      <c r="D49" s="10"/>
      <c r="E49" s="1">
        <v>70400</v>
      </c>
      <c r="F49" s="11"/>
    </row>
    <row r="50" spans="1:6" ht="24" customHeight="1">
      <c r="A50" s="8">
        <v>42</v>
      </c>
      <c r="B50" s="9" t="s">
        <v>220</v>
      </c>
      <c r="C50" s="9"/>
      <c r="D50" s="10"/>
      <c r="E50" s="1">
        <v>119350</v>
      </c>
      <c r="F50" s="11"/>
    </row>
    <row r="51" spans="1:6" ht="24" customHeight="1">
      <c r="A51" s="8">
        <v>43</v>
      </c>
      <c r="B51" s="9" t="s">
        <v>177</v>
      </c>
      <c r="C51" s="9"/>
      <c r="D51" s="10"/>
      <c r="E51" s="1">
        <v>64800</v>
      </c>
      <c r="F51" s="11"/>
    </row>
    <row r="52" spans="1:6" ht="24" customHeight="1">
      <c r="A52" s="8">
        <v>44</v>
      </c>
      <c r="B52" s="9" t="s">
        <v>351</v>
      </c>
      <c r="C52" s="9"/>
      <c r="D52" s="10"/>
      <c r="E52" s="1">
        <v>20000</v>
      </c>
      <c r="F52" s="11"/>
    </row>
    <row r="53" spans="1:6" ht="24" customHeight="1">
      <c r="A53" s="8">
        <v>45</v>
      </c>
      <c r="B53" s="9" t="s">
        <v>169</v>
      </c>
      <c r="C53" s="9"/>
      <c r="D53" s="10"/>
      <c r="E53" s="1">
        <v>99000</v>
      </c>
      <c r="F53" s="11"/>
    </row>
    <row r="54" spans="1:6" ht="24" customHeight="1">
      <c r="A54" s="8">
        <v>46</v>
      </c>
      <c r="B54" s="9" t="s">
        <v>172</v>
      </c>
      <c r="C54" s="9"/>
      <c r="D54" s="10"/>
      <c r="E54" s="1">
        <v>276950</v>
      </c>
      <c r="F54" s="11"/>
    </row>
    <row r="55" spans="1:6" ht="24" customHeight="1">
      <c r="A55" s="8">
        <v>47</v>
      </c>
      <c r="B55" s="9" t="s">
        <v>352</v>
      </c>
      <c r="C55" s="9"/>
      <c r="D55" s="10"/>
      <c r="E55" s="1">
        <v>23200</v>
      </c>
      <c r="F55" s="11"/>
    </row>
    <row r="56" spans="1:6" ht="24" customHeight="1">
      <c r="A56" s="8">
        <v>48</v>
      </c>
      <c r="B56" s="9" t="s">
        <v>175</v>
      </c>
      <c r="C56" s="9"/>
      <c r="D56" s="10"/>
      <c r="E56" s="1">
        <v>1248800</v>
      </c>
      <c r="F56" s="11"/>
    </row>
    <row r="57" spans="1:6" ht="24" customHeight="1">
      <c r="A57" s="8">
        <v>49</v>
      </c>
      <c r="B57" s="9" t="s">
        <v>217</v>
      </c>
      <c r="C57" s="9"/>
      <c r="D57" s="10"/>
      <c r="E57" s="1">
        <v>70400</v>
      </c>
      <c r="F57" s="11"/>
    </row>
    <row r="58" spans="1:6" ht="24" customHeight="1">
      <c r="A58" s="8">
        <v>50</v>
      </c>
      <c r="B58" s="9" t="s">
        <v>216</v>
      </c>
      <c r="C58" s="9"/>
      <c r="D58" s="10"/>
      <c r="E58" s="1">
        <v>88000</v>
      </c>
      <c r="F58" s="11"/>
    </row>
    <row r="59" spans="1:6" ht="24" customHeight="1">
      <c r="A59" s="8">
        <v>51</v>
      </c>
      <c r="B59" s="9" t="s">
        <v>184</v>
      </c>
      <c r="C59" s="9"/>
      <c r="D59" s="10"/>
      <c r="E59" s="1">
        <v>70400</v>
      </c>
      <c r="F59" s="11"/>
    </row>
    <row r="60" spans="1:6" ht="24" customHeight="1">
      <c r="A60" s="8">
        <v>52</v>
      </c>
      <c r="B60" s="9" t="s">
        <v>175</v>
      </c>
      <c r="C60" s="9"/>
      <c r="D60" s="10"/>
      <c r="E60" s="1">
        <v>52800</v>
      </c>
      <c r="F60" s="11"/>
    </row>
    <row r="61" spans="1:6" ht="24" customHeight="1" thickBot="1">
      <c r="A61" s="8">
        <v>53</v>
      </c>
      <c r="B61" s="9" t="s">
        <v>223</v>
      </c>
      <c r="C61" s="9"/>
      <c r="D61" s="10"/>
      <c r="E61" s="1">
        <v>103125</v>
      </c>
      <c r="F61" s="11"/>
    </row>
    <row r="62" spans="1:6" ht="24" customHeight="1" thickBot="1">
      <c r="A62" s="12"/>
      <c r="B62" s="60" t="s">
        <v>155</v>
      </c>
      <c r="C62" s="61"/>
      <c r="D62" s="62"/>
      <c r="E62" s="13">
        <f>SUM(E35:E61)</f>
        <v>11036534</v>
      </c>
      <c r="F62" s="12"/>
    </row>
    <row r="63" spans="1:6" ht="24" customHeight="1">
      <c r="A63" s="58" t="s">
        <v>320</v>
      </c>
      <c r="B63" s="58"/>
      <c r="C63" s="58"/>
      <c r="D63" s="58"/>
      <c r="E63" s="58"/>
      <c r="F63" s="58"/>
    </row>
    <row r="64" spans="1:6" ht="32.2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34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E62</f>
        <v>11036534</v>
      </c>
      <c r="F66" s="12"/>
    </row>
    <row r="67" spans="1:7" ht="24" customHeight="1">
      <c r="A67" s="8">
        <v>54</v>
      </c>
      <c r="B67" s="9" t="s">
        <v>167</v>
      </c>
      <c r="C67" s="9"/>
      <c r="D67" s="10"/>
      <c r="E67" s="1">
        <v>163600</v>
      </c>
      <c r="F67" s="11"/>
    </row>
    <row r="68" spans="1:7" ht="24" customHeight="1">
      <c r="A68" s="8">
        <v>55</v>
      </c>
      <c r="B68" s="9" t="s">
        <v>176</v>
      </c>
      <c r="C68" s="9"/>
      <c r="D68" s="10"/>
      <c r="E68" s="1">
        <v>223550</v>
      </c>
      <c r="F68" s="11"/>
      <c r="G68" s="14"/>
    </row>
    <row r="69" spans="1:7" ht="24" customHeight="1">
      <c r="A69" s="8">
        <v>56</v>
      </c>
      <c r="B69" s="9" t="s">
        <v>186</v>
      </c>
      <c r="C69" s="9"/>
      <c r="D69" s="10"/>
      <c r="E69" s="1">
        <v>17600</v>
      </c>
      <c r="F69" s="11"/>
    </row>
    <row r="70" spans="1:7" ht="24" customHeight="1">
      <c r="A70" s="8">
        <v>57</v>
      </c>
      <c r="B70" s="9" t="s">
        <v>186</v>
      </c>
      <c r="C70" s="9"/>
      <c r="D70" s="10"/>
      <c r="E70" s="1">
        <v>4400</v>
      </c>
      <c r="F70" s="11"/>
    </row>
    <row r="71" spans="1:7" ht="24" customHeight="1">
      <c r="A71" s="8">
        <v>58</v>
      </c>
      <c r="B71" s="9" t="s">
        <v>186</v>
      </c>
      <c r="C71" s="9"/>
      <c r="D71" s="10"/>
      <c r="E71" s="1">
        <v>18400</v>
      </c>
      <c r="F71" s="11"/>
    </row>
    <row r="72" spans="1:7" ht="24" customHeight="1">
      <c r="A72" s="8">
        <v>59</v>
      </c>
      <c r="B72" s="9" t="s">
        <v>175</v>
      </c>
      <c r="C72" s="9"/>
      <c r="D72" s="10"/>
      <c r="E72" s="1">
        <v>105600</v>
      </c>
      <c r="F72" s="11"/>
    </row>
    <row r="73" spans="1:7" ht="24" customHeight="1">
      <c r="A73" s="8">
        <v>60</v>
      </c>
      <c r="B73" s="9" t="s">
        <v>187</v>
      </c>
      <c r="C73" s="9"/>
      <c r="D73" s="10"/>
      <c r="E73" s="1">
        <v>260000</v>
      </c>
      <c r="F73" s="11"/>
    </row>
    <row r="74" spans="1:7" ht="24" customHeight="1">
      <c r="A74" s="8">
        <v>61</v>
      </c>
      <c r="B74" s="9" t="s">
        <v>223</v>
      </c>
      <c r="C74" s="9"/>
      <c r="D74" s="10"/>
      <c r="E74" s="1">
        <v>103425</v>
      </c>
      <c r="F74" s="11"/>
    </row>
    <row r="75" spans="1:7" ht="24" customHeight="1" thickBot="1">
      <c r="A75" s="8">
        <v>62</v>
      </c>
      <c r="B75" s="9" t="s">
        <v>163</v>
      </c>
      <c r="C75" s="9"/>
      <c r="D75" s="10"/>
      <c r="E75" s="1">
        <v>450600</v>
      </c>
      <c r="F75" s="11"/>
    </row>
    <row r="76" spans="1:7" ht="24" customHeight="1" thickBot="1">
      <c r="A76" s="12"/>
      <c r="B76" s="60" t="s">
        <v>100</v>
      </c>
      <c r="C76" s="61"/>
      <c r="D76" s="62"/>
      <c r="E76" s="13">
        <f>SUM(E66:E75)</f>
        <v>12383709</v>
      </c>
      <c r="F76" s="12"/>
    </row>
    <row r="77" spans="1:7" ht="24" customHeight="1">
      <c r="A77" s="9"/>
      <c r="B77" s="37"/>
      <c r="C77" s="37"/>
      <c r="D77" s="37"/>
      <c r="E77" s="21"/>
      <c r="F77" s="9"/>
    </row>
    <row r="78" spans="1:7" ht="24" customHeight="1">
      <c r="A78" s="9"/>
      <c r="B78" s="37"/>
      <c r="C78" s="37"/>
      <c r="D78" s="37"/>
      <c r="E78" s="21"/>
      <c r="F78" s="9"/>
    </row>
    <row r="79" spans="1:7" ht="24" customHeight="1">
      <c r="A79" s="9"/>
      <c r="B79" s="37"/>
      <c r="C79" s="37"/>
      <c r="D79" s="37"/>
      <c r="E79" s="21"/>
      <c r="F79" s="9"/>
    </row>
    <row r="80" spans="1:7" ht="24" customHeight="1">
      <c r="A80" s="9"/>
      <c r="B80" s="37"/>
      <c r="C80" s="37"/>
      <c r="D80" s="63" t="s">
        <v>116</v>
      </c>
      <c r="E80" s="63"/>
      <c r="F80" s="63"/>
    </row>
    <row r="81" spans="1:6" ht="24" customHeight="1">
      <c r="A81" s="9"/>
      <c r="B81" s="37"/>
      <c r="C81" s="37"/>
      <c r="D81" s="37"/>
      <c r="E81" s="21"/>
      <c r="F81" s="9"/>
    </row>
    <row r="82" spans="1:6" ht="24" customHeight="1">
      <c r="A82" s="9"/>
      <c r="B82" s="37"/>
      <c r="C82" s="37"/>
      <c r="D82" s="37"/>
      <c r="E82" s="21"/>
      <c r="F82" s="9"/>
    </row>
    <row r="83" spans="1:6" ht="24" customHeight="1">
      <c r="A83" s="9"/>
      <c r="B83" s="37"/>
      <c r="C83" s="37"/>
      <c r="D83" s="37"/>
      <c r="E83" s="21"/>
      <c r="F83" s="9"/>
    </row>
    <row r="84" spans="1:6" ht="24" customHeight="1">
      <c r="A84" s="9"/>
      <c r="B84" s="37"/>
      <c r="C84" s="37"/>
      <c r="D84" s="37"/>
      <c r="E84" s="21"/>
      <c r="F84" s="9"/>
    </row>
    <row r="85" spans="1:6" ht="24" customHeight="1">
      <c r="A85" s="9"/>
      <c r="B85" s="37"/>
      <c r="C85" s="37"/>
      <c r="D85" s="37"/>
      <c r="E85" s="21"/>
      <c r="F85" s="9"/>
    </row>
    <row r="86" spans="1:6" ht="24" customHeight="1">
      <c r="A86" s="9"/>
      <c r="B86" s="37"/>
      <c r="C86" s="37"/>
      <c r="D86" s="37"/>
      <c r="E86" s="21"/>
      <c r="F86" s="9"/>
    </row>
    <row r="87" spans="1:6" ht="24" customHeight="1">
      <c r="A87" s="9"/>
      <c r="B87" s="37"/>
      <c r="C87" s="37"/>
      <c r="D87" s="37"/>
      <c r="E87" s="21"/>
      <c r="F87" s="9"/>
    </row>
    <row r="88" spans="1:6" ht="24" customHeight="1">
      <c r="A88" s="9"/>
      <c r="B88" s="37"/>
      <c r="C88" s="37"/>
      <c r="D88" s="37"/>
      <c r="E88" s="21"/>
      <c r="F88" s="9"/>
    </row>
    <row r="89" spans="1:6" ht="24" customHeight="1">
      <c r="A89" s="9"/>
      <c r="B89" s="37"/>
      <c r="C89" s="37"/>
      <c r="D89" s="37"/>
      <c r="E89" s="21"/>
      <c r="F89" s="9"/>
    </row>
    <row r="90" spans="1:6" ht="24" customHeight="1">
      <c r="A90" s="9"/>
      <c r="B90" s="37"/>
      <c r="C90" s="37"/>
      <c r="D90" s="37"/>
      <c r="E90" s="21"/>
      <c r="F90" s="9"/>
    </row>
    <row r="91" spans="1:6" ht="24" customHeight="1">
      <c r="A91" s="9"/>
      <c r="B91" s="37"/>
      <c r="C91" s="37"/>
      <c r="D91" s="37"/>
      <c r="E91" s="21"/>
      <c r="F91" s="9"/>
    </row>
    <row r="92" spans="1:6" ht="24" customHeight="1">
      <c r="A92" s="9"/>
      <c r="B92" s="37"/>
      <c r="C92" s="37"/>
      <c r="D92" s="37"/>
      <c r="E92" s="21"/>
      <c r="F92" s="9"/>
    </row>
    <row r="93" spans="1:6" ht="24" customHeight="1">
      <c r="A93" s="9"/>
      <c r="B93" s="37"/>
      <c r="C93" s="37"/>
      <c r="D93" s="37"/>
      <c r="E93" s="21"/>
      <c r="F93" s="9"/>
    </row>
    <row r="94" spans="1:6" ht="24" customHeight="1">
      <c r="A94" s="58" t="s">
        <v>320</v>
      </c>
      <c r="B94" s="58"/>
      <c r="C94" s="58"/>
      <c r="D94" s="58"/>
      <c r="E94" s="58"/>
      <c r="F94" s="58"/>
    </row>
    <row r="95" spans="1:6" ht="24" customHeight="1" thickBot="1">
      <c r="A95" s="59" t="s">
        <v>117</v>
      </c>
      <c r="B95" s="59"/>
      <c r="C95" s="59"/>
      <c r="D95" s="59"/>
      <c r="E95" s="59"/>
      <c r="F95" s="59"/>
    </row>
    <row r="96" spans="1:6" ht="24" customHeight="1" thickBot="1">
      <c r="A96" s="16" t="s">
        <v>2</v>
      </c>
      <c r="B96" s="60" t="s">
        <v>3</v>
      </c>
      <c r="C96" s="61"/>
      <c r="D96" s="62"/>
      <c r="E96" s="16" t="s">
        <v>0</v>
      </c>
      <c r="F96" s="16" t="s">
        <v>1</v>
      </c>
    </row>
    <row r="97" spans="1:7" ht="24" customHeight="1" thickBot="1">
      <c r="A97" s="16"/>
      <c r="B97" s="60" t="s">
        <v>30</v>
      </c>
      <c r="C97" s="61"/>
      <c r="D97" s="62"/>
      <c r="E97" s="13">
        <f>E76</f>
        <v>12383709</v>
      </c>
      <c r="F97" s="12"/>
    </row>
    <row r="98" spans="1:7" ht="24" customHeight="1">
      <c r="A98" s="8"/>
      <c r="B98" s="9"/>
      <c r="C98" s="9"/>
      <c r="D98" s="10"/>
      <c r="E98" s="1"/>
      <c r="F98" s="11"/>
      <c r="G98" s="14"/>
    </row>
    <row r="99" spans="1:7" ht="24" customHeight="1">
      <c r="A99" s="8"/>
      <c r="B99" s="9"/>
      <c r="C99" s="9"/>
      <c r="D99" s="10"/>
      <c r="E99" s="15"/>
      <c r="F99" s="11"/>
    </row>
    <row r="100" spans="1:7" ht="24" customHeight="1">
      <c r="A100" s="8"/>
      <c r="B100" s="9"/>
      <c r="C100" s="9"/>
      <c r="D100" s="10"/>
      <c r="E100" s="1"/>
      <c r="F100" s="11"/>
    </row>
    <row r="101" spans="1:7" ht="24" customHeight="1">
      <c r="A101" s="8"/>
      <c r="B101" s="9"/>
      <c r="C101" s="9"/>
      <c r="D101" s="10"/>
      <c r="E101" s="1"/>
      <c r="F101" s="11"/>
    </row>
    <row r="102" spans="1:7" ht="24" customHeight="1">
      <c r="A102" s="8"/>
      <c r="B102" s="9"/>
      <c r="C102" s="9"/>
      <c r="D102" s="10"/>
      <c r="E102" s="1"/>
      <c r="F102" s="11"/>
    </row>
    <row r="103" spans="1:7" ht="24" customHeight="1">
      <c r="A103" s="8"/>
      <c r="B103" s="9"/>
      <c r="C103" s="9"/>
      <c r="D103" s="10"/>
      <c r="E103" s="1"/>
      <c r="F103" s="11"/>
    </row>
    <row r="104" spans="1:7" ht="24" customHeight="1">
      <c r="A104" s="8"/>
      <c r="B104" s="9"/>
      <c r="C104" s="9"/>
      <c r="D104" s="10"/>
      <c r="E104" s="1"/>
      <c r="F104" s="11"/>
    </row>
    <row r="105" spans="1:7" ht="24" customHeight="1">
      <c r="A105" s="8"/>
      <c r="B105" s="9"/>
      <c r="C105" s="9"/>
      <c r="D105" s="10"/>
      <c r="E105" s="1"/>
      <c r="F105" s="11"/>
    </row>
    <row r="106" spans="1:7" ht="24" customHeight="1">
      <c r="A106" s="8"/>
      <c r="B106" s="9"/>
      <c r="C106" s="9"/>
      <c r="D106" s="10"/>
      <c r="E106" s="1"/>
      <c r="F106" s="11"/>
    </row>
    <row r="107" spans="1:7" ht="24" customHeight="1">
      <c r="A107" s="8"/>
      <c r="B107" s="9"/>
      <c r="C107" s="9"/>
      <c r="D107" s="10"/>
      <c r="E107" s="1"/>
      <c r="F107" s="11"/>
    </row>
    <row r="108" spans="1:7" ht="24" customHeight="1">
      <c r="A108" s="8"/>
      <c r="B108" s="9"/>
      <c r="C108" s="9"/>
      <c r="D108" s="10"/>
      <c r="E108" s="1"/>
      <c r="F108" s="11"/>
    </row>
    <row r="109" spans="1:7" ht="24" customHeight="1">
      <c r="A109" s="8"/>
      <c r="B109" s="9"/>
      <c r="C109" s="9"/>
      <c r="D109" s="10"/>
      <c r="E109" s="1"/>
      <c r="F109" s="11"/>
    </row>
    <row r="110" spans="1:7" ht="24" customHeight="1">
      <c r="A110" s="8"/>
      <c r="B110" s="9"/>
      <c r="C110" s="9"/>
      <c r="D110" s="10"/>
      <c r="E110" s="1"/>
      <c r="F110" s="11"/>
    </row>
    <row r="111" spans="1:7" ht="24" customHeight="1">
      <c r="A111" s="8"/>
      <c r="B111" s="9"/>
      <c r="C111" s="9"/>
      <c r="D111" s="10"/>
      <c r="E111" s="1"/>
      <c r="F111" s="11"/>
    </row>
    <row r="112" spans="1:7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5"/>
      <c r="F116" s="11"/>
    </row>
    <row r="117" spans="1:6" ht="24" customHeight="1">
      <c r="A117" s="8"/>
      <c r="B117" s="9"/>
      <c r="C117" s="9"/>
      <c r="D117" s="10"/>
      <c r="E117" s="15"/>
      <c r="F117" s="11"/>
    </row>
    <row r="118" spans="1:6" ht="24" customHeight="1">
      <c r="A118" s="8"/>
      <c r="B118" s="9"/>
      <c r="C118" s="9"/>
      <c r="D118" s="10"/>
      <c r="E118" s="15"/>
      <c r="F118" s="11"/>
    </row>
    <row r="119" spans="1:6" ht="24" customHeight="1">
      <c r="A119" s="8"/>
      <c r="B119" s="9"/>
      <c r="C119" s="9"/>
      <c r="D119" s="10"/>
      <c r="E119" s="1"/>
      <c r="F119" s="11"/>
    </row>
    <row r="120" spans="1:6" ht="24" customHeight="1">
      <c r="A120" s="8"/>
      <c r="B120" s="9"/>
      <c r="C120" s="9"/>
      <c r="D120" s="10"/>
      <c r="E120" s="1"/>
      <c r="F120" s="11"/>
    </row>
    <row r="121" spans="1:6" ht="24" customHeight="1">
      <c r="A121" s="8"/>
      <c r="B121" s="9"/>
      <c r="C121" s="9"/>
      <c r="D121" s="10"/>
      <c r="E121" s="1"/>
      <c r="F121" s="11"/>
    </row>
    <row r="122" spans="1:6" ht="24" customHeight="1">
      <c r="A122" s="8"/>
      <c r="B122" s="9"/>
      <c r="C122" s="9"/>
      <c r="D122" s="10"/>
      <c r="E122" s="1"/>
      <c r="F122" s="11"/>
    </row>
    <row r="123" spans="1:6" ht="24" customHeight="1" thickBot="1">
      <c r="A123" s="8"/>
      <c r="B123" s="9"/>
      <c r="C123" s="9"/>
      <c r="D123" s="10"/>
      <c r="E123" s="1"/>
      <c r="F123" s="11"/>
    </row>
    <row r="124" spans="1:6" ht="24" customHeight="1" thickBot="1">
      <c r="A124" s="12"/>
      <c r="B124" s="60" t="s">
        <v>100</v>
      </c>
      <c r="C124" s="61"/>
      <c r="D124" s="62"/>
      <c r="E124" s="13">
        <f>SUM(E97:E123)</f>
        <v>12383709</v>
      </c>
      <c r="F124" s="12"/>
    </row>
    <row r="125" spans="1:6" ht="24" customHeight="1">
      <c r="A125" s="58" t="s">
        <v>321</v>
      </c>
      <c r="B125" s="58"/>
      <c r="C125" s="58"/>
      <c r="D125" s="58"/>
      <c r="E125" s="58"/>
      <c r="F125" s="58"/>
    </row>
    <row r="126" spans="1:6" ht="24" customHeight="1" thickBot="1">
      <c r="A126" s="59" t="s">
        <v>117</v>
      </c>
      <c r="B126" s="59"/>
      <c r="C126" s="59"/>
      <c r="D126" s="59"/>
      <c r="E126" s="59"/>
      <c r="F126" s="59"/>
    </row>
    <row r="127" spans="1:6" ht="24" customHeight="1" thickBot="1">
      <c r="A127" s="16" t="s">
        <v>2</v>
      </c>
      <c r="B127" s="60" t="s">
        <v>3</v>
      </c>
      <c r="C127" s="61"/>
      <c r="D127" s="62"/>
      <c r="E127" s="16" t="s">
        <v>0</v>
      </c>
      <c r="F127" s="16" t="s">
        <v>1</v>
      </c>
    </row>
    <row r="128" spans="1:6" ht="24" customHeight="1" thickBot="1">
      <c r="A128" s="16"/>
      <c r="B128" s="60" t="s">
        <v>30</v>
      </c>
      <c r="C128" s="61"/>
      <c r="D128" s="62"/>
      <c r="E128" s="13">
        <f>E124</f>
        <v>12383709</v>
      </c>
      <c r="F128" s="12"/>
    </row>
    <row r="129" spans="1:13" ht="24" customHeight="1">
      <c r="A129" s="8"/>
      <c r="B129" s="9"/>
      <c r="C129" s="9"/>
      <c r="D129" s="10"/>
      <c r="E129" s="1"/>
      <c r="F129" s="11"/>
    </row>
    <row r="130" spans="1:13" ht="24" customHeight="1">
      <c r="A130" s="8"/>
      <c r="B130" s="9"/>
      <c r="C130" s="9"/>
      <c r="D130" s="10"/>
      <c r="E130" s="1"/>
      <c r="F130" s="11"/>
    </row>
    <row r="131" spans="1:13" ht="24" customHeight="1">
      <c r="A131" s="8"/>
      <c r="B131" s="9"/>
      <c r="C131" s="9"/>
      <c r="D131" s="10"/>
      <c r="E131" s="1"/>
      <c r="F131" s="11"/>
    </row>
    <row r="132" spans="1:13" ht="24" customHeight="1">
      <c r="A132" s="8"/>
      <c r="B132" s="9"/>
      <c r="C132" s="9"/>
      <c r="D132" s="10"/>
      <c r="E132" s="1"/>
      <c r="F132" s="11"/>
    </row>
    <row r="133" spans="1:13" ht="24" customHeight="1">
      <c r="A133" s="8"/>
      <c r="B133" s="9"/>
      <c r="C133" s="9"/>
      <c r="D133" s="10"/>
      <c r="E133" s="1"/>
      <c r="F133" s="11"/>
    </row>
    <row r="134" spans="1:13" ht="24" customHeight="1">
      <c r="A134" s="8"/>
      <c r="B134" s="9"/>
      <c r="C134" s="9"/>
      <c r="D134" s="10"/>
      <c r="E134" s="15"/>
      <c r="F134" s="11"/>
    </row>
    <row r="135" spans="1:13" ht="24" customHeight="1">
      <c r="A135" s="8"/>
      <c r="B135" s="9"/>
      <c r="C135" s="9"/>
      <c r="D135" s="10"/>
      <c r="E135" s="1"/>
      <c r="F135" s="11"/>
    </row>
    <row r="136" spans="1:13" ht="24" customHeight="1">
      <c r="A136" s="8"/>
      <c r="B136" s="9"/>
      <c r="C136" s="9"/>
      <c r="D136" s="10"/>
      <c r="E136" s="1"/>
      <c r="F136" s="11"/>
    </row>
    <row r="137" spans="1:13" ht="24" customHeight="1">
      <c r="A137" s="8"/>
      <c r="B137" s="9"/>
      <c r="C137" s="9"/>
      <c r="D137" s="10"/>
      <c r="E137" s="1"/>
      <c r="F137" s="11"/>
    </row>
    <row r="138" spans="1:13" ht="24" customHeight="1">
      <c r="A138" s="8"/>
      <c r="B138" s="9"/>
      <c r="C138" s="9"/>
      <c r="D138" s="10"/>
      <c r="E138" s="1"/>
      <c r="F138" s="11"/>
    </row>
    <row r="139" spans="1:13" ht="24" customHeight="1">
      <c r="A139" s="8"/>
      <c r="B139" s="9"/>
      <c r="C139" s="9"/>
      <c r="D139" s="10"/>
      <c r="E139" s="1"/>
      <c r="F139" s="11"/>
    </row>
    <row r="140" spans="1:13" ht="24" customHeight="1">
      <c r="A140" s="8"/>
      <c r="B140" s="9"/>
      <c r="C140" s="9"/>
      <c r="D140" s="10"/>
      <c r="E140" s="1"/>
      <c r="F140" s="11"/>
    </row>
    <row r="141" spans="1:13" ht="24" customHeight="1">
      <c r="A141" s="8"/>
      <c r="B141" s="9"/>
      <c r="C141" s="9"/>
      <c r="D141" s="10"/>
      <c r="E141" s="1"/>
      <c r="F141" s="11"/>
    </row>
    <row r="142" spans="1:13" ht="24" customHeight="1">
      <c r="A142" s="8"/>
      <c r="B142" s="9"/>
      <c r="C142" s="9"/>
      <c r="D142" s="10"/>
      <c r="E142" s="1"/>
      <c r="F142" s="11"/>
      <c r="K142" s="14"/>
      <c r="M142" s="14"/>
    </row>
    <row r="143" spans="1:13" ht="24" customHeight="1">
      <c r="A143" s="8"/>
      <c r="B143" s="9"/>
      <c r="C143" s="9"/>
      <c r="D143" s="10"/>
      <c r="E143" s="1"/>
      <c r="F143" s="11"/>
    </row>
    <row r="144" spans="1:13" ht="24" customHeight="1">
      <c r="A144" s="8"/>
      <c r="B144" s="9"/>
      <c r="C144" s="9"/>
      <c r="D144" s="10"/>
      <c r="E144" s="1"/>
      <c r="F144" s="11"/>
      <c r="K144" s="14"/>
      <c r="M144" s="14"/>
    </row>
    <row r="145" spans="1:6" ht="24" customHeight="1">
      <c r="A145" s="8"/>
      <c r="B145" s="9"/>
      <c r="C145" s="9"/>
      <c r="D145" s="10"/>
      <c r="E145" s="1"/>
      <c r="F145" s="11"/>
    </row>
    <row r="146" spans="1:6" ht="24" customHeight="1">
      <c r="A146" s="8"/>
      <c r="B146" s="9"/>
      <c r="C146" s="9"/>
      <c r="D146" s="10"/>
      <c r="E146" s="1"/>
      <c r="F146" s="11"/>
    </row>
    <row r="147" spans="1:6" ht="24" customHeight="1">
      <c r="A147" s="8"/>
      <c r="B147" s="9"/>
      <c r="C147" s="9"/>
      <c r="D147" s="10"/>
      <c r="E147" s="1"/>
      <c r="F147" s="11"/>
    </row>
    <row r="148" spans="1:6" ht="24" customHeight="1">
      <c r="A148" s="8"/>
      <c r="B148" s="9"/>
      <c r="C148" s="9"/>
      <c r="D148" s="10"/>
      <c r="E148" s="1"/>
      <c r="F148" s="11"/>
    </row>
    <row r="149" spans="1:6" ht="24" customHeight="1">
      <c r="A149" s="8"/>
      <c r="B149" s="9"/>
      <c r="C149" s="9"/>
      <c r="D149" s="10"/>
      <c r="E149" s="1"/>
      <c r="F149" s="11"/>
    </row>
    <row r="150" spans="1:6" ht="24" customHeight="1">
      <c r="A150" s="8"/>
      <c r="B150" s="9"/>
      <c r="C150" s="9"/>
      <c r="D150" s="10"/>
      <c r="E150" s="1"/>
      <c r="F150" s="11"/>
    </row>
    <row r="151" spans="1:6" ht="24" customHeight="1">
      <c r="A151" s="8"/>
      <c r="B151" s="9"/>
      <c r="C151" s="9"/>
      <c r="D151" s="10"/>
      <c r="E151" s="15"/>
      <c r="F151" s="11"/>
    </row>
    <row r="152" spans="1:6" ht="24" customHeight="1">
      <c r="A152" s="8"/>
      <c r="B152" s="9"/>
      <c r="C152" s="9"/>
      <c r="D152" s="10"/>
      <c r="E152" s="15"/>
      <c r="F152" s="11"/>
    </row>
    <row r="153" spans="1:6" ht="24" customHeight="1">
      <c r="A153" s="8"/>
      <c r="B153" s="9"/>
      <c r="C153" s="9"/>
      <c r="D153" s="10"/>
      <c r="E153" s="15"/>
      <c r="F153" s="11"/>
    </row>
    <row r="154" spans="1:6" ht="24" customHeight="1" thickBot="1">
      <c r="A154" s="8"/>
      <c r="B154" s="9"/>
      <c r="C154" s="9"/>
      <c r="D154" s="10"/>
      <c r="E154" s="15"/>
      <c r="F154" s="11"/>
    </row>
    <row r="155" spans="1:6" ht="24" customHeight="1" thickBot="1">
      <c r="A155" s="12"/>
      <c r="B155" s="60" t="s">
        <v>100</v>
      </c>
      <c r="C155" s="61"/>
      <c r="D155" s="62"/>
      <c r="E155" s="13">
        <f>SUM(E128:E154)</f>
        <v>12383709</v>
      </c>
      <c r="F155" s="12"/>
    </row>
    <row r="156" spans="1:6" ht="24" customHeight="1">
      <c r="A156" s="58" t="s">
        <v>321</v>
      </c>
      <c r="B156" s="58"/>
      <c r="C156" s="58"/>
      <c r="D156" s="58"/>
      <c r="E156" s="58"/>
      <c r="F156" s="58"/>
    </row>
    <row r="157" spans="1:6" ht="24" customHeight="1" thickBot="1">
      <c r="A157" s="59" t="s">
        <v>117</v>
      </c>
      <c r="B157" s="59"/>
      <c r="C157" s="59"/>
      <c r="D157" s="59"/>
      <c r="E157" s="59"/>
      <c r="F157" s="59"/>
    </row>
    <row r="158" spans="1:6" ht="24" customHeight="1" thickBot="1">
      <c r="A158" s="16" t="s">
        <v>2</v>
      </c>
      <c r="B158" s="60" t="s">
        <v>3</v>
      </c>
      <c r="C158" s="61"/>
      <c r="D158" s="62"/>
      <c r="E158" s="16" t="s">
        <v>0</v>
      </c>
      <c r="F158" s="16" t="s">
        <v>1</v>
      </c>
    </row>
    <row r="159" spans="1:6" ht="24" customHeight="1" thickBot="1">
      <c r="A159" s="16"/>
      <c r="B159" s="60" t="s">
        <v>30</v>
      </c>
      <c r="C159" s="61"/>
      <c r="D159" s="62"/>
      <c r="E159" s="13">
        <f>E155</f>
        <v>12383709</v>
      </c>
      <c r="F159" s="12"/>
    </row>
    <row r="160" spans="1:6" ht="24" customHeight="1">
      <c r="A160" s="8"/>
      <c r="B160" s="9"/>
      <c r="C160" s="9"/>
      <c r="D160" s="10"/>
      <c r="E160" s="1"/>
      <c r="F160" s="11"/>
    </row>
    <row r="161" spans="1:6" ht="24" customHeight="1">
      <c r="A161" s="8"/>
      <c r="B161" s="9"/>
      <c r="C161" s="9"/>
      <c r="D161" s="10"/>
      <c r="E161" s="1"/>
      <c r="F161" s="11"/>
    </row>
    <row r="162" spans="1:6" ht="24" customHeight="1">
      <c r="A162" s="8"/>
      <c r="B162" s="9"/>
      <c r="C162" s="9"/>
      <c r="D162" s="10"/>
      <c r="E162" s="1"/>
      <c r="F162" s="11"/>
    </row>
    <row r="163" spans="1:6" ht="24" customHeight="1">
      <c r="A163" s="8"/>
      <c r="B163" s="9"/>
      <c r="C163" s="9"/>
      <c r="D163" s="10"/>
      <c r="E163" s="1"/>
      <c r="F163" s="11"/>
    </row>
    <row r="164" spans="1:6" ht="24" customHeight="1">
      <c r="A164" s="8"/>
      <c r="B164" s="9"/>
      <c r="C164" s="9"/>
      <c r="D164" s="10"/>
      <c r="E164" s="1"/>
      <c r="F164" s="11"/>
    </row>
    <row r="165" spans="1:6" ht="24" customHeight="1">
      <c r="A165" s="8"/>
      <c r="B165" s="9"/>
      <c r="C165" s="9"/>
      <c r="D165" s="10"/>
      <c r="E165" s="1"/>
      <c r="F165" s="11"/>
    </row>
    <row r="166" spans="1:6" ht="24" customHeight="1">
      <c r="A166" s="8"/>
      <c r="B166" s="9"/>
      <c r="C166" s="9"/>
      <c r="D166" s="10"/>
      <c r="E166" s="1"/>
      <c r="F166" s="11"/>
    </row>
    <row r="167" spans="1:6" ht="24" customHeight="1">
      <c r="A167" s="8"/>
      <c r="B167" s="9"/>
      <c r="C167" s="9"/>
      <c r="D167" s="10"/>
      <c r="E167" s="1"/>
      <c r="F167" s="11"/>
    </row>
    <row r="168" spans="1:6" ht="24" customHeight="1">
      <c r="A168" s="8"/>
      <c r="B168" s="9"/>
      <c r="C168" s="9"/>
      <c r="D168" s="10"/>
      <c r="E168" s="1"/>
      <c r="F168" s="11"/>
    </row>
    <row r="169" spans="1:6" ht="24" customHeight="1" thickBot="1">
      <c r="A169" s="8"/>
      <c r="B169" s="9"/>
      <c r="C169" s="9"/>
      <c r="D169" s="10"/>
      <c r="E169" s="1"/>
      <c r="F169" s="11"/>
    </row>
    <row r="170" spans="1:6" ht="24" customHeight="1" thickBot="1">
      <c r="A170" s="12"/>
      <c r="B170" s="64" t="s">
        <v>4</v>
      </c>
      <c r="C170" s="65"/>
      <c r="D170" s="66"/>
      <c r="E170" s="18">
        <f>SUM(E159:E169)</f>
        <v>12383709</v>
      </c>
      <c r="F170" s="12"/>
    </row>
    <row r="173" spans="1:6" ht="24" customHeight="1">
      <c r="D173" s="63" t="s">
        <v>116</v>
      </c>
      <c r="E173" s="63"/>
      <c r="F173" s="63"/>
    </row>
  </sheetData>
  <mergeCells count="31">
    <mergeCell ref="D173:F173"/>
    <mergeCell ref="B124:D124"/>
    <mergeCell ref="A125:F125"/>
    <mergeCell ref="A126:F126"/>
    <mergeCell ref="B127:D127"/>
    <mergeCell ref="B128:D128"/>
    <mergeCell ref="B155:D155"/>
    <mergeCell ref="A156:F156"/>
    <mergeCell ref="A157:F157"/>
    <mergeCell ref="B158:D158"/>
    <mergeCell ref="B159:D159"/>
    <mergeCell ref="B170:D170"/>
    <mergeCell ref="B97:D97"/>
    <mergeCell ref="B34:D34"/>
    <mergeCell ref="B35:D35"/>
    <mergeCell ref="B62:D62"/>
    <mergeCell ref="A63:F63"/>
    <mergeCell ref="A64:F64"/>
    <mergeCell ref="B65:D65"/>
    <mergeCell ref="B66:D66"/>
    <mergeCell ref="B76:D76"/>
    <mergeCell ref="A94:F94"/>
    <mergeCell ref="A95:F95"/>
    <mergeCell ref="B96:D96"/>
    <mergeCell ref="D80:F80"/>
    <mergeCell ref="A33:F33"/>
    <mergeCell ref="A1:F1"/>
    <mergeCell ref="A2:F2"/>
    <mergeCell ref="B3:D3"/>
    <mergeCell ref="B31:D31"/>
    <mergeCell ref="A32:F3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G41" sqref="G41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328</v>
      </c>
      <c r="B1" s="58"/>
      <c r="C1" s="58"/>
      <c r="D1" s="58"/>
      <c r="E1" s="58"/>
      <c r="F1" s="58"/>
    </row>
    <row r="2" spans="1:6" ht="24" customHeight="1" thickBot="1">
      <c r="A2" s="59" t="s">
        <v>346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329</v>
      </c>
      <c r="C4" s="4"/>
      <c r="D4" s="5"/>
      <c r="E4" s="6">
        <v>4899</v>
      </c>
      <c r="F4" s="7"/>
    </row>
    <row r="5" spans="1:6" ht="24" customHeight="1">
      <c r="A5" s="8">
        <v>2</v>
      </c>
      <c r="B5" s="9" t="s">
        <v>330</v>
      </c>
      <c r="C5" s="9"/>
      <c r="D5" s="10"/>
      <c r="E5" s="1">
        <v>6853</v>
      </c>
      <c r="F5" s="11"/>
    </row>
    <row r="6" spans="1:6" ht="24" customHeight="1">
      <c r="A6" s="8">
        <v>3</v>
      </c>
      <c r="B6" s="9" t="s">
        <v>331</v>
      </c>
      <c r="C6" s="9"/>
      <c r="D6" s="10"/>
      <c r="E6" s="1">
        <v>3896</v>
      </c>
      <c r="F6" s="11"/>
    </row>
    <row r="7" spans="1:6" ht="24" customHeight="1">
      <c r="A7" s="8">
        <v>4</v>
      </c>
      <c r="B7" s="9" t="s">
        <v>151</v>
      </c>
      <c r="C7" s="9"/>
      <c r="D7" s="10"/>
      <c r="E7" s="1">
        <v>81574</v>
      </c>
      <c r="F7" s="11"/>
    </row>
    <row r="8" spans="1:6" ht="24" customHeight="1">
      <c r="A8" s="8">
        <v>5</v>
      </c>
      <c r="B8" s="9" t="s">
        <v>24</v>
      </c>
      <c r="C8" s="9"/>
      <c r="D8" s="10"/>
      <c r="E8" s="1">
        <v>29883</v>
      </c>
      <c r="F8" s="11"/>
    </row>
    <row r="9" spans="1:6" ht="24" customHeight="1">
      <c r="A9" s="8">
        <v>6</v>
      </c>
      <c r="B9" s="9" t="s">
        <v>332</v>
      </c>
      <c r="C9" s="9"/>
      <c r="D9" s="10"/>
      <c r="E9" s="1">
        <v>24360</v>
      </c>
      <c r="F9" s="11"/>
    </row>
    <row r="10" spans="1:6" ht="24" customHeight="1">
      <c r="A10" s="8">
        <v>7</v>
      </c>
      <c r="B10" s="9" t="s">
        <v>195</v>
      </c>
      <c r="C10" s="9"/>
      <c r="D10" s="10"/>
      <c r="E10" s="1">
        <v>18598</v>
      </c>
      <c r="F10" s="11"/>
    </row>
    <row r="11" spans="1:6" ht="24" customHeight="1">
      <c r="A11" s="8">
        <v>8</v>
      </c>
      <c r="B11" s="9" t="s">
        <v>333</v>
      </c>
      <c r="C11" s="9"/>
      <c r="D11" s="10"/>
      <c r="E11" s="1">
        <v>78785</v>
      </c>
      <c r="F11" s="11"/>
    </row>
    <row r="12" spans="1:6" ht="24" customHeight="1">
      <c r="A12" s="8">
        <v>9</v>
      </c>
      <c r="B12" s="9" t="s">
        <v>334</v>
      </c>
      <c r="C12" s="9"/>
      <c r="D12" s="10"/>
      <c r="E12" s="1">
        <v>4593</v>
      </c>
      <c r="F12" s="11"/>
    </row>
    <row r="13" spans="1:6" ht="24" customHeight="1">
      <c r="A13" s="8">
        <v>10</v>
      </c>
      <c r="B13" s="9" t="s">
        <v>335</v>
      </c>
      <c r="C13" s="9"/>
      <c r="D13" s="10"/>
      <c r="E13" s="1">
        <v>4291</v>
      </c>
      <c r="F13" s="11"/>
    </row>
    <row r="14" spans="1:6" ht="24" customHeight="1">
      <c r="A14" s="8">
        <v>11</v>
      </c>
      <c r="B14" s="9" t="s">
        <v>336</v>
      </c>
      <c r="C14" s="9"/>
      <c r="D14" s="10"/>
      <c r="E14" s="1">
        <v>2635</v>
      </c>
      <c r="F14" s="11"/>
    </row>
    <row r="15" spans="1:6" ht="24" customHeight="1">
      <c r="A15" s="8">
        <v>12</v>
      </c>
      <c r="B15" s="9" t="s">
        <v>337</v>
      </c>
      <c r="C15" s="9"/>
      <c r="D15" s="10"/>
      <c r="E15" s="1">
        <v>2435</v>
      </c>
      <c r="F15" s="11"/>
    </row>
    <row r="16" spans="1:6" ht="24" customHeight="1">
      <c r="A16" s="8">
        <v>13</v>
      </c>
      <c r="B16" s="9" t="s">
        <v>192</v>
      </c>
      <c r="C16" s="9"/>
      <c r="D16" s="10"/>
      <c r="E16" s="1">
        <v>19195</v>
      </c>
      <c r="F16" s="11"/>
    </row>
    <row r="17" spans="1:6" ht="24" customHeight="1">
      <c r="A17" s="8">
        <v>14</v>
      </c>
      <c r="B17" s="9" t="s">
        <v>193</v>
      </c>
      <c r="C17" s="9"/>
      <c r="D17" s="10"/>
      <c r="E17" s="1">
        <v>10737</v>
      </c>
      <c r="F17" s="11"/>
    </row>
    <row r="18" spans="1:6" ht="24" customHeight="1">
      <c r="A18" s="8">
        <v>15</v>
      </c>
      <c r="B18" s="9" t="s">
        <v>338</v>
      </c>
      <c r="C18" s="9"/>
      <c r="D18" s="10"/>
      <c r="E18" s="1">
        <v>38617</v>
      </c>
      <c r="F18" s="11"/>
    </row>
    <row r="19" spans="1:6" ht="24" customHeight="1">
      <c r="A19" s="8">
        <v>16</v>
      </c>
      <c r="B19" s="9" t="s">
        <v>74</v>
      </c>
      <c r="C19" s="9"/>
      <c r="D19" s="10"/>
      <c r="E19" s="1">
        <v>16232</v>
      </c>
      <c r="F19" s="11"/>
    </row>
    <row r="20" spans="1:6" ht="24" customHeight="1">
      <c r="A20" s="8">
        <v>17</v>
      </c>
      <c r="B20" s="9" t="s">
        <v>42</v>
      </c>
      <c r="C20" s="9"/>
      <c r="D20" s="10"/>
      <c r="E20" s="1">
        <v>25654</v>
      </c>
      <c r="F20" s="11"/>
    </row>
    <row r="21" spans="1:6" ht="24" customHeight="1">
      <c r="A21" s="8">
        <v>18</v>
      </c>
      <c r="B21" s="9" t="s">
        <v>339</v>
      </c>
      <c r="C21" s="9"/>
      <c r="D21" s="10"/>
      <c r="E21" s="1">
        <v>7905</v>
      </c>
      <c r="F21" s="11"/>
    </row>
    <row r="22" spans="1:6" ht="24" customHeight="1">
      <c r="A22" s="8">
        <v>19</v>
      </c>
      <c r="B22" s="9" t="s">
        <v>15</v>
      </c>
      <c r="C22" s="9"/>
      <c r="D22" s="10"/>
      <c r="E22" s="1">
        <v>7343</v>
      </c>
      <c r="F22" s="11"/>
    </row>
    <row r="23" spans="1:6" ht="24" customHeight="1">
      <c r="A23" s="8">
        <v>20</v>
      </c>
      <c r="B23" s="9" t="s">
        <v>14</v>
      </c>
      <c r="C23" s="9"/>
      <c r="D23" s="10"/>
      <c r="E23" s="1">
        <v>9782</v>
      </c>
      <c r="F23" s="11"/>
    </row>
    <row r="24" spans="1:6" ht="24" customHeight="1">
      <c r="A24" s="8">
        <v>21</v>
      </c>
      <c r="B24" s="9" t="s">
        <v>249</v>
      </c>
      <c r="C24" s="9"/>
      <c r="D24" s="10"/>
      <c r="E24" s="1">
        <v>6435</v>
      </c>
      <c r="F24" s="11"/>
    </row>
    <row r="25" spans="1:6" ht="24" customHeight="1">
      <c r="A25" s="8">
        <v>22</v>
      </c>
      <c r="B25" s="9" t="s">
        <v>340</v>
      </c>
      <c r="C25" s="9"/>
      <c r="D25" s="10"/>
      <c r="E25" s="1">
        <v>1461</v>
      </c>
      <c r="F25" s="11"/>
    </row>
    <row r="26" spans="1:6" ht="24" customHeight="1">
      <c r="A26" s="8">
        <v>23</v>
      </c>
      <c r="B26" s="9" t="s">
        <v>25</v>
      </c>
      <c r="C26" s="9"/>
      <c r="D26" s="10"/>
      <c r="E26" s="1">
        <v>15079</v>
      </c>
      <c r="F26" s="11"/>
    </row>
    <row r="27" spans="1:6" ht="24" customHeight="1">
      <c r="A27" s="8">
        <v>24</v>
      </c>
      <c r="B27" s="9" t="s">
        <v>341</v>
      </c>
      <c r="C27" s="9"/>
      <c r="D27" s="10"/>
      <c r="E27" s="1">
        <v>12704</v>
      </c>
      <c r="F27" s="11"/>
    </row>
    <row r="28" spans="1:6" ht="24" customHeight="1">
      <c r="A28" s="8">
        <v>25</v>
      </c>
      <c r="B28" s="9" t="s">
        <v>342</v>
      </c>
      <c r="C28" s="9"/>
      <c r="D28" s="10"/>
      <c r="E28" s="1">
        <v>2922</v>
      </c>
      <c r="F28" s="11"/>
    </row>
    <row r="29" spans="1:6" ht="24" customHeight="1">
      <c r="A29" s="8">
        <v>26</v>
      </c>
      <c r="B29" s="9" t="s">
        <v>343</v>
      </c>
      <c r="C29" s="9"/>
      <c r="D29" s="10"/>
      <c r="E29" s="1">
        <v>12175</v>
      </c>
      <c r="F29" s="11"/>
    </row>
    <row r="30" spans="1:6" ht="24" customHeight="1" thickBot="1">
      <c r="A30" s="8">
        <v>27</v>
      </c>
      <c r="B30" s="9" t="s">
        <v>14</v>
      </c>
      <c r="C30" s="9"/>
      <c r="D30" s="10"/>
      <c r="E30" s="1">
        <v>979</v>
      </c>
      <c r="F30" s="11"/>
    </row>
    <row r="31" spans="1:6" ht="24" customHeight="1" thickBot="1">
      <c r="A31" s="12"/>
      <c r="B31" s="60" t="s">
        <v>100</v>
      </c>
      <c r="C31" s="61"/>
      <c r="D31" s="62"/>
      <c r="E31" s="13">
        <f>SUM(E4:E30)</f>
        <v>450022</v>
      </c>
      <c r="F31" s="12"/>
    </row>
    <row r="32" spans="1:6" ht="24" customHeight="1">
      <c r="A32" s="58" t="s">
        <v>347</v>
      </c>
      <c r="B32" s="58"/>
      <c r="C32" s="58"/>
      <c r="D32" s="58"/>
      <c r="E32" s="58"/>
      <c r="F32" s="58"/>
    </row>
    <row r="33" spans="1:6" ht="24" customHeight="1" thickBot="1">
      <c r="A33" s="59" t="s">
        <v>348</v>
      </c>
      <c r="B33" s="59"/>
      <c r="C33" s="59"/>
      <c r="D33" s="59"/>
      <c r="E33" s="59"/>
      <c r="F33" s="59"/>
    </row>
    <row r="34" spans="1:6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6" ht="24" customHeight="1" thickBot="1">
      <c r="A35" s="16"/>
      <c r="B35" s="60" t="s">
        <v>30</v>
      </c>
      <c r="C35" s="61"/>
      <c r="D35" s="62"/>
      <c r="E35" s="13">
        <f>E31</f>
        <v>450022</v>
      </c>
      <c r="F35" s="12"/>
    </row>
    <row r="36" spans="1:6" ht="24" customHeight="1">
      <c r="A36" s="8">
        <v>28</v>
      </c>
      <c r="B36" s="9" t="s">
        <v>344</v>
      </c>
      <c r="C36" s="9"/>
      <c r="D36" s="10"/>
      <c r="E36" s="1">
        <v>6117</v>
      </c>
      <c r="F36" s="11"/>
    </row>
    <row r="37" spans="1:6" ht="24" customHeight="1">
      <c r="A37" s="8">
        <v>29</v>
      </c>
      <c r="B37" s="9" t="s">
        <v>47</v>
      </c>
      <c r="C37" s="9"/>
      <c r="D37" s="10"/>
      <c r="E37" s="15">
        <v>17285</v>
      </c>
      <c r="F37" s="11"/>
    </row>
    <row r="38" spans="1:6" ht="24" customHeight="1" thickBot="1">
      <c r="A38" s="8">
        <v>30</v>
      </c>
      <c r="B38" s="9" t="s">
        <v>345</v>
      </c>
      <c r="C38" s="9"/>
      <c r="D38" s="10"/>
      <c r="E38" s="1">
        <v>1851113</v>
      </c>
      <c r="F38" s="11"/>
    </row>
    <row r="39" spans="1:6" ht="24" customHeight="1" thickBot="1">
      <c r="A39" s="12"/>
      <c r="B39" s="64" t="s">
        <v>155</v>
      </c>
      <c r="C39" s="65"/>
      <c r="D39" s="66"/>
      <c r="E39" s="18">
        <f>SUM(E35:E38)</f>
        <v>2324537</v>
      </c>
      <c r="F39" s="12"/>
    </row>
    <row r="40" spans="1:6" ht="24" customHeight="1">
      <c r="A40" s="9"/>
      <c r="B40" s="36"/>
      <c r="C40" s="36"/>
      <c r="D40" s="36"/>
      <c r="E40" s="21"/>
      <c r="F40" s="9"/>
    </row>
    <row r="41" spans="1:6" ht="24" customHeight="1">
      <c r="A41" s="9"/>
      <c r="B41" s="36"/>
      <c r="C41" s="36"/>
      <c r="D41" s="36"/>
      <c r="E41" s="21"/>
      <c r="F41" s="9"/>
    </row>
    <row r="42" spans="1:6" ht="24" customHeight="1">
      <c r="A42" s="9"/>
      <c r="B42" s="36"/>
      <c r="C42" s="36"/>
      <c r="D42" s="36"/>
      <c r="E42" s="21"/>
      <c r="F42" s="9"/>
    </row>
    <row r="43" spans="1:6" ht="24" customHeight="1">
      <c r="D43" s="63" t="s">
        <v>116</v>
      </c>
      <c r="E43" s="63"/>
      <c r="F43" s="63"/>
    </row>
  </sheetData>
  <mergeCells count="10">
    <mergeCell ref="B34:D34"/>
    <mergeCell ref="B35:D35"/>
    <mergeCell ref="B39:D39"/>
    <mergeCell ref="D43:F43"/>
    <mergeCell ref="A33:F33"/>
    <mergeCell ref="A1:F1"/>
    <mergeCell ref="A2:F2"/>
    <mergeCell ref="B3:D3"/>
    <mergeCell ref="B31:D31"/>
    <mergeCell ref="A32:F3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22"/>
  <sheetViews>
    <sheetView tabSelected="1" workbookViewId="0">
      <selection activeCell="I16" sqref="I16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361</v>
      </c>
      <c r="B1" s="58"/>
      <c r="C1" s="58"/>
      <c r="D1" s="58"/>
      <c r="E1" s="58"/>
      <c r="F1" s="58"/>
    </row>
    <row r="2" spans="1:6" ht="24" customHeight="1" thickBot="1">
      <c r="A2" s="59" t="s">
        <v>353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354</v>
      </c>
      <c r="C4" s="4"/>
      <c r="D4" s="5"/>
      <c r="E4" s="6">
        <v>6250</v>
      </c>
      <c r="F4" s="7"/>
    </row>
    <row r="5" spans="1:6" ht="24" customHeight="1">
      <c r="A5" s="8"/>
      <c r="B5" s="9" t="s">
        <v>362</v>
      </c>
      <c r="C5" s="9"/>
      <c r="D5" s="10"/>
      <c r="E5" s="1"/>
      <c r="F5" s="11"/>
    </row>
    <row r="6" spans="1:6" ht="24" customHeight="1">
      <c r="A6" s="8"/>
      <c r="B6" s="9"/>
      <c r="C6" s="9"/>
      <c r="D6" s="10"/>
      <c r="E6" s="1"/>
      <c r="F6" s="11"/>
    </row>
    <row r="7" spans="1:6" ht="24" customHeight="1">
      <c r="A7" s="8"/>
      <c r="B7" s="30"/>
      <c r="C7" s="9"/>
      <c r="D7" s="10"/>
      <c r="E7" s="1"/>
      <c r="F7" s="11"/>
    </row>
    <row r="8" spans="1:6" ht="24" customHeight="1">
      <c r="A8" s="8"/>
      <c r="B8" s="9"/>
      <c r="C8" s="9"/>
      <c r="D8" s="10"/>
      <c r="E8" s="1"/>
      <c r="F8" s="11"/>
    </row>
    <row r="9" spans="1:6" ht="24" customHeight="1">
      <c r="A9" s="8"/>
      <c r="B9" s="9"/>
      <c r="C9" s="9"/>
      <c r="D9" s="10"/>
      <c r="E9" s="1"/>
      <c r="F9" s="11"/>
    </row>
    <row r="10" spans="1:6" ht="24" customHeight="1">
      <c r="A10" s="8"/>
      <c r="B10" s="30"/>
      <c r="C10" s="9"/>
      <c r="D10" s="10"/>
      <c r="E10" s="1"/>
      <c r="F10" s="11"/>
    </row>
    <row r="11" spans="1:6" ht="24" customHeight="1">
      <c r="A11" s="8"/>
      <c r="B11" s="30"/>
      <c r="C11" s="9"/>
      <c r="D11" s="10"/>
      <c r="E11" s="1"/>
      <c r="F11" s="11"/>
    </row>
    <row r="12" spans="1:6" ht="24" customHeight="1">
      <c r="A12" s="8"/>
      <c r="B12" s="30"/>
      <c r="C12" s="9"/>
      <c r="D12" s="10"/>
      <c r="E12" s="1"/>
      <c r="F12" s="11"/>
    </row>
    <row r="13" spans="1:6" ht="24" customHeight="1">
      <c r="A13" s="8"/>
      <c r="B13" s="9"/>
      <c r="C13" s="9"/>
      <c r="D13" s="10"/>
      <c r="E13" s="1"/>
      <c r="F13" s="11"/>
    </row>
    <row r="14" spans="1:6" ht="24" customHeight="1">
      <c r="A14" s="8"/>
      <c r="B14" s="9"/>
      <c r="C14" s="9"/>
      <c r="D14" s="10"/>
      <c r="E14" s="1"/>
      <c r="F14" s="11"/>
    </row>
    <row r="15" spans="1:6" ht="24" customHeight="1">
      <c r="A15" s="8"/>
      <c r="B15" s="9"/>
      <c r="C15" s="9"/>
      <c r="D15" s="10"/>
      <c r="E15" s="1"/>
      <c r="F15" s="11"/>
    </row>
    <row r="16" spans="1:6" ht="24" customHeight="1">
      <c r="A16" s="8"/>
      <c r="B16" s="9"/>
      <c r="C16" s="9"/>
      <c r="D16" s="10"/>
      <c r="E16" s="1"/>
      <c r="F16" s="11"/>
    </row>
    <row r="17" spans="1:6" ht="24" customHeight="1">
      <c r="A17" s="8"/>
      <c r="B17" s="9"/>
      <c r="C17" s="9"/>
      <c r="D17" s="10"/>
      <c r="E17" s="1"/>
      <c r="F17" s="11"/>
    </row>
    <row r="18" spans="1:6" ht="24" customHeight="1">
      <c r="A18" s="8"/>
      <c r="B18" s="9"/>
      <c r="C18" s="9"/>
      <c r="D18" s="10"/>
      <c r="E18" s="1"/>
      <c r="F18" s="11"/>
    </row>
    <row r="19" spans="1:6" ht="24" customHeight="1">
      <c r="A19" s="8"/>
      <c r="B19" s="9"/>
      <c r="C19" s="9"/>
      <c r="D19" s="10"/>
      <c r="E19" s="1"/>
      <c r="F19" s="11"/>
    </row>
    <row r="20" spans="1:6" ht="24" customHeight="1">
      <c r="A20" s="8"/>
      <c r="B20" s="9"/>
      <c r="C20" s="9"/>
      <c r="D20" s="10"/>
      <c r="E20" s="1"/>
      <c r="F20" s="11"/>
    </row>
    <row r="21" spans="1:6" ht="24" customHeight="1">
      <c r="A21" s="8"/>
      <c r="B21" s="9"/>
      <c r="C21" s="9"/>
      <c r="D21" s="10"/>
      <c r="E21" s="1"/>
      <c r="F21" s="11"/>
    </row>
    <row r="22" spans="1:6" ht="24" customHeight="1">
      <c r="A22" s="8"/>
      <c r="B22" s="9"/>
      <c r="C22" s="9"/>
      <c r="D22" s="10"/>
      <c r="E22" s="1"/>
      <c r="F22" s="11"/>
    </row>
    <row r="23" spans="1:6" ht="24" customHeight="1">
      <c r="A23" s="8"/>
      <c r="B23" s="9"/>
      <c r="C23" s="9"/>
      <c r="D23" s="10"/>
      <c r="E23" s="1"/>
      <c r="F23" s="11"/>
    </row>
    <row r="24" spans="1:6" ht="24" customHeight="1">
      <c r="A24" s="8"/>
      <c r="B24" s="9"/>
      <c r="C24" s="9"/>
      <c r="D24" s="10"/>
      <c r="E24" s="1"/>
      <c r="F24" s="11"/>
    </row>
    <row r="25" spans="1:6" ht="24" customHeight="1">
      <c r="A25" s="8"/>
      <c r="B25" s="9"/>
      <c r="C25" s="9"/>
      <c r="D25" s="10"/>
      <c r="E25" s="1"/>
      <c r="F25" s="11"/>
    </row>
    <row r="26" spans="1:6" ht="24" customHeight="1" thickBot="1">
      <c r="A26" s="8"/>
      <c r="B26" s="9"/>
      <c r="C26" s="9"/>
      <c r="D26" s="10"/>
      <c r="E26" s="1"/>
      <c r="F26" s="11"/>
    </row>
    <row r="27" spans="1:6" ht="24" customHeight="1" thickBot="1">
      <c r="A27" s="12"/>
      <c r="B27" s="64" t="s">
        <v>155</v>
      </c>
      <c r="C27" s="65"/>
      <c r="D27" s="66"/>
      <c r="E27" s="18">
        <f>SUM(E4:E26)</f>
        <v>6250</v>
      </c>
      <c r="F27" s="12"/>
    </row>
    <row r="28" spans="1:6" ht="24" customHeight="1">
      <c r="A28" s="9"/>
      <c r="B28" s="38"/>
      <c r="C28" s="38"/>
      <c r="D28" s="38"/>
      <c r="E28" s="21"/>
      <c r="F28" s="9"/>
    </row>
    <row r="29" spans="1:6" ht="24" customHeight="1">
      <c r="A29" s="9"/>
      <c r="B29" s="38"/>
      <c r="C29" s="38"/>
      <c r="D29" s="63" t="s">
        <v>116</v>
      </c>
      <c r="E29" s="63"/>
      <c r="F29" s="63"/>
    </row>
    <row r="30" spans="1:6" ht="24" customHeight="1">
      <c r="A30" s="9"/>
      <c r="B30" s="38"/>
      <c r="C30" s="38"/>
      <c r="D30" s="38"/>
      <c r="E30" s="21"/>
      <c r="F30" s="9"/>
    </row>
    <row r="31" spans="1:6" ht="24" customHeight="1">
      <c r="A31" s="9"/>
      <c r="B31" s="38"/>
      <c r="C31" s="38"/>
      <c r="D31" s="38"/>
      <c r="E31" s="21"/>
      <c r="F31" s="9"/>
    </row>
    <row r="32" spans="1:6" ht="24" customHeight="1">
      <c r="A32" s="9"/>
      <c r="B32" s="38"/>
      <c r="C32" s="38"/>
      <c r="D32" s="38"/>
      <c r="E32" s="21"/>
      <c r="F32" s="9"/>
    </row>
    <row r="33" spans="1:7" ht="24" customHeight="1">
      <c r="A33" s="9"/>
      <c r="B33" s="38"/>
      <c r="C33" s="38"/>
      <c r="D33" s="38"/>
      <c r="E33" s="21"/>
      <c r="F33" s="9"/>
    </row>
    <row r="34" spans="1:7" ht="24" customHeight="1">
      <c r="A34" s="9"/>
      <c r="B34" s="38"/>
      <c r="C34" s="38"/>
      <c r="D34" s="38"/>
      <c r="E34" s="21"/>
      <c r="F34" s="9"/>
    </row>
    <row r="35" spans="1:7" ht="24" customHeight="1">
      <c r="A35" s="9"/>
      <c r="B35" s="38"/>
      <c r="C35" s="38"/>
      <c r="D35" s="38"/>
      <c r="E35" s="21"/>
      <c r="F35" s="9"/>
    </row>
    <row r="36" spans="1:7" ht="24" customHeight="1">
      <c r="A36" s="9"/>
      <c r="B36" s="38"/>
      <c r="C36" s="38"/>
      <c r="D36" s="38"/>
      <c r="E36" s="21"/>
      <c r="F36" s="9"/>
    </row>
    <row r="37" spans="1:7" ht="24" customHeight="1">
      <c r="A37" s="9"/>
      <c r="B37" s="38"/>
      <c r="C37" s="38"/>
      <c r="D37" s="38"/>
      <c r="E37" s="21"/>
      <c r="F37" s="9"/>
    </row>
    <row r="38" spans="1:7" ht="24" customHeight="1">
      <c r="A38" s="9"/>
      <c r="B38" s="38"/>
      <c r="C38" s="38"/>
      <c r="D38" s="38"/>
      <c r="E38" s="21"/>
      <c r="F38" s="9"/>
    </row>
    <row r="39" spans="1:7" ht="24" customHeight="1">
      <c r="A39" s="9"/>
      <c r="B39" s="38"/>
      <c r="C39" s="38"/>
      <c r="D39" s="38"/>
      <c r="E39" s="21"/>
      <c r="F39" s="9"/>
    </row>
    <row r="40" spans="1:7" ht="24" customHeight="1">
      <c r="A40" s="9"/>
      <c r="B40" s="38"/>
      <c r="C40" s="38"/>
      <c r="D40" s="38"/>
      <c r="E40" s="21"/>
      <c r="F40" s="9"/>
    </row>
    <row r="41" spans="1:7" ht="24" customHeight="1">
      <c r="A41" s="9"/>
      <c r="B41" s="38"/>
      <c r="C41" s="38"/>
      <c r="D41" s="38"/>
      <c r="E41" s="21"/>
      <c r="F41" s="9"/>
    </row>
    <row r="42" spans="1:7" ht="24" customHeight="1">
      <c r="A42" s="9"/>
      <c r="B42" s="38"/>
      <c r="C42" s="38"/>
      <c r="D42" s="38"/>
      <c r="E42" s="21"/>
      <c r="F42" s="9"/>
    </row>
    <row r="43" spans="1:7" ht="24" customHeight="1">
      <c r="A43" s="58" t="s">
        <v>320</v>
      </c>
      <c r="B43" s="58"/>
      <c r="C43" s="58"/>
      <c r="D43" s="58"/>
      <c r="E43" s="58"/>
      <c r="F43" s="58"/>
    </row>
    <row r="44" spans="1:7" ht="24" customHeight="1" thickBot="1">
      <c r="A44" s="59" t="s">
        <v>117</v>
      </c>
      <c r="B44" s="59"/>
      <c r="C44" s="59"/>
      <c r="D44" s="59"/>
      <c r="E44" s="59"/>
      <c r="F44" s="59"/>
    </row>
    <row r="45" spans="1:7" ht="24" customHeight="1" thickBot="1">
      <c r="A45" s="16" t="s">
        <v>2</v>
      </c>
      <c r="B45" s="60" t="s">
        <v>3</v>
      </c>
      <c r="C45" s="61"/>
      <c r="D45" s="62"/>
      <c r="E45" s="16" t="s">
        <v>0</v>
      </c>
      <c r="F45" s="16" t="s">
        <v>1</v>
      </c>
    </row>
    <row r="46" spans="1:7" ht="24" customHeight="1" thickBot="1">
      <c r="A46" s="16"/>
      <c r="B46" s="60" t="s">
        <v>30</v>
      </c>
      <c r="C46" s="61"/>
      <c r="D46" s="62"/>
      <c r="E46" s="13" t="e">
        <f>#REF!</f>
        <v>#REF!</v>
      </c>
      <c r="F46" s="12"/>
    </row>
    <row r="47" spans="1:7" ht="24" customHeight="1">
      <c r="A47" s="8"/>
      <c r="B47" s="9"/>
      <c r="C47" s="9"/>
      <c r="D47" s="10"/>
      <c r="E47" s="1"/>
      <c r="F47" s="11"/>
      <c r="G47" s="14"/>
    </row>
    <row r="48" spans="1:7" ht="24" customHeight="1">
      <c r="A48" s="8"/>
      <c r="B48" s="9"/>
      <c r="C48" s="9"/>
      <c r="D48" s="10"/>
      <c r="E48" s="15"/>
      <c r="F48" s="11"/>
    </row>
    <row r="49" spans="1:6" ht="24" customHeight="1">
      <c r="A49" s="8"/>
      <c r="B49" s="9"/>
      <c r="C49" s="9"/>
      <c r="D49" s="10"/>
      <c r="E49" s="1"/>
      <c r="F49" s="11"/>
    </row>
    <row r="50" spans="1:6" ht="24" customHeight="1">
      <c r="A50" s="8"/>
      <c r="B50" s="9"/>
      <c r="C50" s="9"/>
      <c r="D50" s="10"/>
      <c r="E50" s="1"/>
      <c r="F50" s="11"/>
    </row>
    <row r="51" spans="1:6" ht="24" customHeight="1">
      <c r="A51" s="8"/>
      <c r="B51" s="9"/>
      <c r="C51" s="9"/>
      <c r="D51" s="10"/>
      <c r="E51" s="1"/>
      <c r="F51" s="11"/>
    </row>
    <row r="52" spans="1:6" ht="24" customHeight="1">
      <c r="A52" s="8"/>
      <c r="B52" s="9"/>
      <c r="C52" s="9"/>
      <c r="D52" s="10"/>
      <c r="E52" s="1"/>
      <c r="F52" s="11"/>
    </row>
    <row r="53" spans="1:6" ht="24" customHeight="1">
      <c r="A53" s="8"/>
      <c r="B53" s="9"/>
      <c r="C53" s="9"/>
      <c r="D53" s="10"/>
      <c r="E53" s="1"/>
      <c r="F53" s="11"/>
    </row>
    <row r="54" spans="1:6" ht="24" customHeight="1">
      <c r="A54" s="8"/>
      <c r="B54" s="9"/>
      <c r="C54" s="9"/>
      <c r="D54" s="10"/>
      <c r="E54" s="1"/>
      <c r="F54" s="11"/>
    </row>
    <row r="55" spans="1:6" ht="24" customHeight="1">
      <c r="A55" s="8"/>
      <c r="B55" s="9"/>
      <c r="C55" s="9"/>
      <c r="D55" s="10"/>
      <c r="E55" s="1"/>
      <c r="F55" s="11"/>
    </row>
    <row r="56" spans="1:6" ht="24" customHeight="1">
      <c r="A56" s="8"/>
      <c r="B56" s="9"/>
      <c r="C56" s="9"/>
      <c r="D56" s="10"/>
      <c r="E56" s="1"/>
      <c r="F56" s="11"/>
    </row>
    <row r="57" spans="1:6" ht="24" customHeight="1">
      <c r="A57" s="8"/>
      <c r="B57" s="9"/>
      <c r="C57" s="9"/>
      <c r="D57" s="10"/>
      <c r="E57" s="1"/>
      <c r="F57" s="11"/>
    </row>
    <row r="58" spans="1:6" ht="24" customHeight="1">
      <c r="A58" s="8"/>
      <c r="B58" s="9"/>
      <c r="C58" s="9"/>
      <c r="D58" s="10"/>
      <c r="E58" s="1"/>
      <c r="F58" s="11"/>
    </row>
    <row r="59" spans="1:6" ht="24" customHeight="1">
      <c r="A59" s="8"/>
      <c r="B59" s="9"/>
      <c r="C59" s="9"/>
      <c r="D59" s="10"/>
      <c r="E59" s="1"/>
      <c r="F59" s="11"/>
    </row>
    <row r="60" spans="1:6" ht="24" customHeight="1">
      <c r="A60" s="8"/>
      <c r="B60" s="9"/>
      <c r="C60" s="9"/>
      <c r="D60" s="10"/>
      <c r="E60" s="1"/>
      <c r="F60" s="11"/>
    </row>
    <row r="61" spans="1:6" ht="24" customHeight="1">
      <c r="A61" s="8"/>
      <c r="B61" s="9"/>
      <c r="C61" s="9"/>
      <c r="D61" s="10"/>
      <c r="E61" s="1"/>
      <c r="F61" s="11"/>
    </row>
    <row r="62" spans="1:6" ht="24" customHeight="1">
      <c r="A62" s="8"/>
      <c r="B62" s="9"/>
      <c r="C62" s="9"/>
      <c r="D62" s="10"/>
      <c r="E62" s="1"/>
      <c r="F62" s="11"/>
    </row>
    <row r="63" spans="1:6" ht="24" customHeight="1">
      <c r="A63" s="8"/>
      <c r="B63" s="9"/>
      <c r="C63" s="9"/>
      <c r="D63" s="10"/>
      <c r="E63" s="1"/>
      <c r="F63" s="11"/>
    </row>
    <row r="64" spans="1:6" ht="24" customHeight="1">
      <c r="A64" s="8"/>
      <c r="B64" s="9"/>
      <c r="C64" s="9"/>
      <c r="D64" s="10"/>
      <c r="E64" s="1"/>
      <c r="F64" s="11"/>
    </row>
    <row r="65" spans="1:6" ht="24" customHeight="1">
      <c r="A65" s="8"/>
      <c r="B65" s="9"/>
      <c r="C65" s="9"/>
      <c r="D65" s="10"/>
      <c r="E65" s="15"/>
      <c r="F65" s="11"/>
    </row>
    <row r="66" spans="1:6" ht="24" customHeight="1">
      <c r="A66" s="8"/>
      <c r="B66" s="9"/>
      <c r="C66" s="9"/>
      <c r="D66" s="10"/>
      <c r="E66" s="15"/>
      <c r="F66" s="11"/>
    </row>
    <row r="67" spans="1:6" ht="24" customHeight="1">
      <c r="A67" s="8"/>
      <c r="B67" s="9"/>
      <c r="C67" s="9"/>
      <c r="D67" s="10"/>
      <c r="E67" s="15"/>
      <c r="F67" s="11"/>
    </row>
    <row r="68" spans="1:6" ht="24" customHeight="1">
      <c r="A68" s="8"/>
      <c r="B68" s="9"/>
      <c r="C68" s="9"/>
      <c r="D68" s="10"/>
      <c r="E68" s="1"/>
      <c r="F68" s="11"/>
    </row>
    <row r="69" spans="1:6" ht="24" customHeight="1">
      <c r="A69" s="8"/>
      <c r="B69" s="9"/>
      <c r="C69" s="9"/>
      <c r="D69" s="10"/>
      <c r="E69" s="1"/>
      <c r="F69" s="11"/>
    </row>
    <row r="70" spans="1:6" ht="24" customHeight="1">
      <c r="A70" s="8"/>
      <c r="B70" s="9"/>
      <c r="C70" s="9"/>
      <c r="D70" s="10"/>
      <c r="E70" s="1"/>
      <c r="F70" s="11"/>
    </row>
    <row r="71" spans="1:6" ht="24" customHeight="1">
      <c r="A71" s="8"/>
      <c r="B71" s="9"/>
      <c r="C71" s="9"/>
      <c r="D71" s="10"/>
      <c r="E71" s="1"/>
      <c r="F71" s="11"/>
    </row>
    <row r="72" spans="1:6" ht="24" customHeight="1" thickBot="1">
      <c r="A72" s="8"/>
      <c r="B72" s="9"/>
      <c r="C72" s="9"/>
      <c r="D72" s="10"/>
      <c r="E72" s="1"/>
      <c r="F72" s="11"/>
    </row>
    <row r="73" spans="1:6" ht="24" customHeight="1" thickBot="1">
      <c r="A73" s="12"/>
      <c r="B73" s="60" t="s">
        <v>100</v>
      </c>
      <c r="C73" s="61"/>
      <c r="D73" s="62"/>
      <c r="E73" s="13" t="e">
        <f>SUM(E46:E72)</f>
        <v>#REF!</v>
      </c>
      <c r="F73" s="12"/>
    </row>
    <row r="74" spans="1:6" ht="24" customHeight="1">
      <c r="A74" s="58" t="s">
        <v>321</v>
      </c>
      <c r="B74" s="58"/>
      <c r="C74" s="58"/>
      <c r="D74" s="58"/>
      <c r="E74" s="58"/>
      <c r="F74" s="58"/>
    </row>
    <row r="75" spans="1:6" ht="24" customHeight="1" thickBot="1">
      <c r="A75" s="59" t="s">
        <v>117</v>
      </c>
      <c r="B75" s="59"/>
      <c r="C75" s="59"/>
      <c r="D75" s="59"/>
      <c r="E75" s="59"/>
      <c r="F75" s="59"/>
    </row>
    <row r="76" spans="1:6" ht="24" customHeight="1" thickBot="1">
      <c r="A76" s="16" t="s">
        <v>2</v>
      </c>
      <c r="B76" s="60" t="s">
        <v>3</v>
      </c>
      <c r="C76" s="61"/>
      <c r="D76" s="62"/>
      <c r="E76" s="16" t="s">
        <v>0</v>
      </c>
      <c r="F76" s="16" t="s">
        <v>1</v>
      </c>
    </row>
    <row r="77" spans="1:6" ht="24" customHeight="1" thickBot="1">
      <c r="A77" s="16"/>
      <c r="B77" s="60" t="s">
        <v>30</v>
      </c>
      <c r="C77" s="61"/>
      <c r="D77" s="62"/>
      <c r="E77" s="13" t="e">
        <f>E73</f>
        <v>#REF!</v>
      </c>
      <c r="F77" s="12"/>
    </row>
    <row r="78" spans="1:6" ht="24" customHeight="1">
      <c r="A78" s="8"/>
      <c r="B78" s="9"/>
      <c r="C78" s="9"/>
      <c r="D78" s="10"/>
      <c r="E78" s="1"/>
      <c r="F78" s="11"/>
    </row>
    <row r="79" spans="1:6" ht="24" customHeight="1">
      <c r="A79" s="8"/>
      <c r="B79" s="9"/>
      <c r="C79" s="9"/>
      <c r="D79" s="10"/>
      <c r="E79" s="1"/>
      <c r="F79" s="11"/>
    </row>
    <row r="80" spans="1:6" ht="24" customHeight="1">
      <c r="A80" s="8"/>
      <c r="B80" s="9"/>
      <c r="C80" s="9"/>
      <c r="D80" s="10"/>
      <c r="E80" s="1"/>
      <c r="F80" s="11"/>
    </row>
    <row r="81" spans="1:13" ht="24" customHeight="1">
      <c r="A81" s="8"/>
      <c r="B81" s="9"/>
      <c r="C81" s="9"/>
      <c r="D81" s="10"/>
      <c r="E81" s="1"/>
      <c r="F81" s="11"/>
    </row>
    <row r="82" spans="1:13" ht="24" customHeight="1">
      <c r="A82" s="8"/>
      <c r="B82" s="9"/>
      <c r="C82" s="9"/>
      <c r="D82" s="10"/>
      <c r="E82" s="1"/>
      <c r="F82" s="11"/>
    </row>
    <row r="83" spans="1:13" ht="24" customHeight="1">
      <c r="A83" s="8"/>
      <c r="B83" s="9"/>
      <c r="C83" s="9"/>
      <c r="D83" s="10"/>
      <c r="E83" s="15"/>
      <c r="F83" s="11"/>
    </row>
    <row r="84" spans="1:13" ht="24" customHeight="1">
      <c r="A84" s="8"/>
      <c r="B84" s="9"/>
      <c r="C84" s="9"/>
      <c r="D84" s="10"/>
      <c r="E84" s="1"/>
      <c r="F84" s="11"/>
    </row>
    <row r="85" spans="1:13" ht="24" customHeight="1">
      <c r="A85" s="8"/>
      <c r="B85" s="9"/>
      <c r="C85" s="9"/>
      <c r="D85" s="10"/>
      <c r="E85" s="1"/>
      <c r="F85" s="11"/>
    </row>
    <row r="86" spans="1:13" ht="24" customHeight="1">
      <c r="A86" s="8"/>
      <c r="B86" s="9"/>
      <c r="C86" s="9"/>
      <c r="D86" s="10"/>
      <c r="E86" s="1"/>
      <c r="F86" s="11"/>
    </row>
    <row r="87" spans="1:13" ht="24" customHeight="1">
      <c r="A87" s="8"/>
      <c r="B87" s="9"/>
      <c r="C87" s="9"/>
      <c r="D87" s="10"/>
      <c r="E87" s="1"/>
      <c r="F87" s="11"/>
    </row>
    <row r="88" spans="1:13" ht="24" customHeight="1">
      <c r="A88" s="8"/>
      <c r="B88" s="9"/>
      <c r="C88" s="9"/>
      <c r="D88" s="10"/>
      <c r="E88" s="1"/>
      <c r="F88" s="11"/>
    </row>
    <row r="89" spans="1:13" ht="24" customHeight="1">
      <c r="A89" s="8"/>
      <c r="B89" s="9"/>
      <c r="C89" s="9"/>
      <c r="D89" s="10"/>
      <c r="E89" s="1"/>
      <c r="F89" s="11"/>
    </row>
    <row r="90" spans="1:13" ht="24" customHeight="1">
      <c r="A90" s="8"/>
      <c r="B90" s="9"/>
      <c r="C90" s="9"/>
      <c r="D90" s="10"/>
      <c r="E90" s="1"/>
      <c r="F90" s="11"/>
    </row>
    <row r="91" spans="1:13" ht="24" customHeight="1">
      <c r="A91" s="8"/>
      <c r="B91" s="9"/>
      <c r="C91" s="9"/>
      <c r="D91" s="10"/>
      <c r="E91" s="1"/>
      <c r="F91" s="11"/>
      <c r="K91" s="14"/>
      <c r="M91" s="14"/>
    </row>
    <row r="92" spans="1:13" ht="24" customHeight="1">
      <c r="A92" s="8"/>
      <c r="B92" s="9"/>
      <c r="C92" s="9"/>
      <c r="D92" s="10"/>
      <c r="E92" s="1"/>
      <c r="F92" s="11"/>
    </row>
    <row r="93" spans="1:13" ht="24" customHeight="1">
      <c r="A93" s="8"/>
      <c r="B93" s="9"/>
      <c r="C93" s="9"/>
      <c r="D93" s="10"/>
      <c r="E93" s="1"/>
      <c r="F93" s="11"/>
      <c r="K93" s="14"/>
      <c r="M93" s="14"/>
    </row>
    <row r="94" spans="1:13" ht="24" customHeight="1">
      <c r="A94" s="8"/>
      <c r="B94" s="9"/>
      <c r="C94" s="9"/>
      <c r="D94" s="10"/>
      <c r="E94" s="1"/>
      <c r="F94" s="11"/>
    </row>
    <row r="95" spans="1:13" ht="24" customHeight="1">
      <c r="A95" s="8"/>
      <c r="B95" s="9"/>
      <c r="C95" s="9"/>
      <c r="D95" s="10"/>
      <c r="E95" s="1"/>
      <c r="F95" s="11"/>
    </row>
    <row r="96" spans="1:13" ht="24" customHeight="1">
      <c r="A96" s="8"/>
      <c r="B96" s="9"/>
      <c r="C96" s="9"/>
      <c r="D96" s="10"/>
      <c r="E96" s="1"/>
      <c r="F96" s="11"/>
    </row>
    <row r="97" spans="1:6" ht="24" customHeight="1">
      <c r="A97" s="8"/>
      <c r="B97" s="9"/>
      <c r="C97" s="9"/>
      <c r="D97" s="10"/>
      <c r="E97" s="1"/>
      <c r="F97" s="11"/>
    </row>
    <row r="98" spans="1:6" ht="24" customHeight="1">
      <c r="A98" s="8"/>
      <c r="B98" s="9"/>
      <c r="C98" s="9"/>
      <c r="D98" s="10"/>
      <c r="E98" s="1"/>
      <c r="F98" s="11"/>
    </row>
    <row r="99" spans="1:6" ht="24" customHeight="1">
      <c r="A99" s="8"/>
      <c r="B99" s="9"/>
      <c r="C99" s="9"/>
      <c r="D99" s="10"/>
      <c r="E99" s="1"/>
      <c r="F99" s="11"/>
    </row>
    <row r="100" spans="1:6" ht="24" customHeight="1">
      <c r="A100" s="8"/>
      <c r="B100" s="9"/>
      <c r="C100" s="9"/>
      <c r="D100" s="10"/>
      <c r="E100" s="15"/>
      <c r="F100" s="11"/>
    </row>
    <row r="101" spans="1:6" ht="24" customHeight="1">
      <c r="A101" s="8"/>
      <c r="B101" s="9"/>
      <c r="C101" s="9"/>
      <c r="D101" s="10"/>
      <c r="E101" s="15"/>
      <c r="F101" s="11"/>
    </row>
    <row r="102" spans="1:6" ht="24" customHeight="1">
      <c r="A102" s="8"/>
      <c r="B102" s="9"/>
      <c r="C102" s="9"/>
      <c r="D102" s="10"/>
      <c r="E102" s="15"/>
      <c r="F102" s="11"/>
    </row>
    <row r="103" spans="1:6" ht="24" customHeight="1" thickBot="1">
      <c r="A103" s="8"/>
      <c r="B103" s="9"/>
      <c r="C103" s="9"/>
      <c r="D103" s="10"/>
      <c r="E103" s="15"/>
      <c r="F103" s="11"/>
    </row>
    <row r="104" spans="1:6" ht="24" customHeight="1" thickBot="1">
      <c r="A104" s="12"/>
      <c r="B104" s="60" t="s">
        <v>100</v>
      </c>
      <c r="C104" s="61"/>
      <c r="D104" s="62"/>
      <c r="E104" s="13" t="e">
        <f>SUM(E77:E103)</f>
        <v>#REF!</v>
      </c>
      <c r="F104" s="12"/>
    </row>
    <row r="105" spans="1:6" ht="24" customHeight="1">
      <c r="A105" s="58" t="s">
        <v>321</v>
      </c>
      <c r="B105" s="58"/>
      <c r="C105" s="58"/>
      <c r="D105" s="58"/>
      <c r="E105" s="58"/>
      <c r="F105" s="58"/>
    </row>
    <row r="106" spans="1:6" ht="24" customHeight="1" thickBot="1">
      <c r="A106" s="59" t="s">
        <v>117</v>
      </c>
      <c r="B106" s="59"/>
      <c r="C106" s="59"/>
      <c r="D106" s="59"/>
      <c r="E106" s="59"/>
      <c r="F106" s="59"/>
    </row>
    <row r="107" spans="1:6" ht="24" customHeight="1" thickBot="1">
      <c r="A107" s="16" t="s">
        <v>2</v>
      </c>
      <c r="B107" s="60" t="s">
        <v>3</v>
      </c>
      <c r="C107" s="61"/>
      <c r="D107" s="62"/>
      <c r="E107" s="16" t="s">
        <v>0</v>
      </c>
      <c r="F107" s="16" t="s">
        <v>1</v>
      </c>
    </row>
    <row r="108" spans="1:6" ht="24" customHeight="1" thickBot="1">
      <c r="A108" s="16"/>
      <c r="B108" s="60" t="s">
        <v>30</v>
      </c>
      <c r="C108" s="61"/>
      <c r="D108" s="62"/>
      <c r="E108" s="13" t="e">
        <f>E104</f>
        <v>#REF!</v>
      </c>
      <c r="F108" s="12"/>
    </row>
    <row r="109" spans="1:6" ht="24" customHeight="1">
      <c r="A109" s="8"/>
      <c r="B109" s="9"/>
      <c r="C109" s="9"/>
      <c r="D109" s="10"/>
      <c r="E109" s="1"/>
      <c r="F109" s="11"/>
    </row>
    <row r="110" spans="1:6" ht="24" customHeight="1">
      <c r="A110" s="8"/>
      <c r="B110" s="9"/>
      <c r="C110" s="9"/>
      <c r="D110" s="10"/>
      <c r="E110" s="1"/>
      <c r="F110" s="11"/>
    </row>
    <row r="111" spans="1:6" ht="24" customHeight="1">
      <c r="A111" s="8"/>
      <c r="B111" s="9"/>
      <c r="C111" s="9"/>
      <c r="D111" s="10"/>
      <c r="E111" s="1"/>
      <c r="F111" s="11"/>
    </row>
    <row r="112" spans="1:6" ht="24" customHeight="1">
      <c r="A112" s="8"/>
      <c r="B112" s="9"/>
      <c r="C112" s="9"/>
      <c r="D112" s="10"/>
      <c r="E112" s="1"/>
      <c r="F112" s="11"/>
    </row>
    <row r="113" spans="1:6" ht="24" customHeight="1">
      <c r="A113" s="8"/>
      <c r="B113" s="9"/>
      <c r="C113" s="9"/>
      <c r="D113" s="10"/>
      <c r="E113" s="1"/>
      <c r="F113" s="11"/>
    </row>
    <row r="114" spans="1:6" ht="24" customHeight="1">
      <c r="A114" s="8"/>
      <c r="B114" s="9"/>
      <c r="C114" s="9"/>
      <c r="D114" s="10"/>
      <c r="E114" s="1"/>
      <c r="F114" s="11"/>
    </row>
    <row r="115" spans="1:6" ht="24" customHeight="1">
      <c r="A115" s="8"/>
      <c r="B115" s="9"/>
      <c r="C115" s="9"/>
      <c r="D115" s="10"/>
      <c r="E115" s="1"/>
      <c r="F115" s="11"/>
    </row>
    <row r="116" spans="1:6" ht="24" customHeight="1">
      <c r="A116" s="8"/>
      <c r="B116" s="9"/>
      <c r="C116" s="9"/>
      <c r="D116" s="10"/>
      <c r="E116" s="1"/>
      <c r="F116" s="11"/>
    </row>
    <row r="117" spans="1:6" ht="24" customHeight="1">
      <c r="A117" s="8"/>
      <c r="B117" s="9"/>
      <c r="C117" s="9"/>
      <c r="D117" s="10"/>
      <c r="E117" s="1"/>
      <c r="F117" s="11"/>
    </row>
    <row r="118" spans="1:6" ht="24" customHeight="1" thickBot="1">
      <c r="A118" s="8"/>
      <c r="B118" s="9"/>
      <c r="C118" s="9"/>
      <c r="D118" s="10"/>
      <c r="E118" s="1"/>
      <c r="F118" s="11"/>
    </row>
    <row r="119" spans="1:6" ht="24" customHeight="1" thickBot="1">
      <c r="A119" s="12"/>
      <c r="B119" s="64" t="s">
        <v>4</v>
      </c>
      <c r="C119" s="65"/>
      <c r="D119" s="66"/>
      <c r="E119" s="18" t="e">
        <f>SUM(E108:E118)</f>
        <v>#REF!</v>
      </c>
      <c r="F119" s="12"/>
    </row>
    <row r="122" spans="1:6" ht="24" customHeight="1">
      <c r="D122" s="63" t="s">
        <v>116</v>
      </c>
      <c r="E122" s="63"/>
      <c r="F122" s="63"/>
    </row>
  </sheetData>
  <mergeCells count="21">
    <mergeCell ref="D122:F122"/>
    <mergeCell ref="B104:D104"/>
    <mergeCell ref="A105:F105"/>
    <mergeCell ref="A106:F106"/>
    <mergeCell ref="B107:D107"/>
    <mergeCell ref="B108:D108"/>
    <mergeCell ref="B119:D119"/>
    <mergeCell ref="A1:F1"/>
    <mergeCell ref="A2:F2"/>
    <mergeCell ref="B3:D3"/>
    <mergeCell ref="B27:D27"/>
    <mergeCell ref="B77:D77"/>
    <mergeCell ref="D29:F29"/>
    <mergeCell ref="A43:F43"/>
    <mergeCell ref="A44:F44"/>
    <mergeCell ref="B45:D45"/>
    <mergeCell ref="B46:D46"/>
    <mergeCell ref="B73:D73"/>
    <mergeCell ref="A74:F74"/>
    <mergeCell ref="A75:F75"/>
    <mergeCell ref="B76:D76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selection activeCell="E10" sqref="E10"/>
    </sheetView>
  </sheetViews>
  <sheetFormatPr defaultRowHeight="24" customHeight="1"/>
  <cols>
    <col min="1" max="1" width="6.5" style="2" customWidth="1"/>
    <col min="2" max="3" width="9" style="2"/>
    <col min="4" max="4" width="30.25" style="2" customWidth="1"/>
    <col min="5" max="5" width="17.37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421</v>
      </c>
      <c r="B1" s="58"/>
      <c r="C1" s="58"/>
      <c r="D1" s="58"/>
      <c r="E1" s="58"/>
      <c r="F1" s="58"/>
    </row>
    <row r="2" spans="1:6" ht="24" customHeight="1" thickBot="1">
      <c r="A2" s="59" t="s">
        <v>356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2" t="s">
        <v>422</v>
      </c>
      <c r="C4" s="4"/>
      <c r="D4" s="5"/>
      <c r="E4" s="6">
        <v>1095000</v>
      </c>
      <c r="F4" s="7"/>
    </row>
    <row r="5" spans="1:6" ht="24" customHeight="1">
      <c r="A5" s="8"/>
      <c r="B5" s="9"/>
      <c r="C5" s="9"/>
      <c r="D5" s="10"/>
      <c r="E5" s="1"/>
      <c r="F5" s="11"/>
    </row>
    <row r="6" spans="1:6" ht="24" customHeight="1">
      <c r="A6" s="8"/>
      <c r="B6" s="9"/>
      <c r="C6" s="9"/>
      <c r="D6" s="10"/>
      <c r="E6" s="1"/>
      <c r="F6" s="11"/>
    </row>
    <row r="7" spans="1:6" ht="24" customHeight="1">
      <c r="A7" s="8"/>
      <c r="B7" s="30"/>
      <c r="C7" s="9"/>
      <c r="D7" s="10"/>
      <c r="E7" s="1"/>
      <c r="F7" s="11"/>
    </row>
    <row r="8" spans="1:6" ht="24" customHeight="1">
      <c r="A8" s="8"/>
      <c r="B8" s="9"/>
      <c r="C8" s="9"/>
      <c r="D8" s="10"/>
      <c r="E8" s="1"/>
      <c r="F8" s="11"/>
    </row>
    <row r="9" spans="1:6" ht="24" customHeight="1">
      <c r="A9" s="8"/>
      <c r="B9" s="9"/>
      <c r="C9" s="9"/>
      <c r="D9" s="10"/>
      <c r="E9" s="1"/>
      <c r="F9" s="11"/>
    </row>
    <row r="10" spans="1:6" ht="24" customHeight="1">
      <c r="A10" s="8"/>
      <c r="B10" s="30"/>
      <c r="C10" s="9"/>
      <c r="D10" s="10"/>
      <c r="E10" s="1"/>
      <c r="F10" s="11"/>
    </row>
    <row r="11" spans="1:6" ht="24" customHeight="1">
      <c r="A11" s="8"/>
      <c r="B11" s="30"/>
      <c r="C11" s="9"/>
      <c r="D11" s="10"/>
      <c r="E11" s="1"/>
      <c r="F11" s="11"/>
    </row>
    <row r="12" spans="1:6" ht="24" customHeight="1">
      <c r="A12" s="8"/>
      <c r="B12" s="30"/>
      <c r="C12" s="9"/>
      <c r="D12" s="10"/>
      <c r="E12" s="1"/>
      <c r="F12" s="11"/>
    </row>
    <row r="13" spans="1:6" ht="24" customHeight="1">
      <c r="A13" s="8"/>
      <c r="B13" s="9"/>
      <c r="C13" s="9"/>
      <c r="D13" s="10"/>
      <c r="E13" s="1"/>
      <c r="F13" s="11"/>
    </row>
    <row r="14" spans="1:6" ht="24" customHeight="1">
      <c r="A14" s="8"/>
      <c r="B14" s="9"/>
      <c r="C14" s="9"/>
      <c r="D14" s="10"/>
      <c r="E14" s="1"/>
      <c r="F14" s="11"/>
    </row>
    <row r="15" spans="1:6" ht="24" customHeight="1">
      <c r="A15" s="8"/>
      <c r="B15" s="9"/>
      <c r="C15" s="9"/>
      <c r="D15" s="10"/>
      <c r="E15" s="1"/>
      <c r="F15" s="11"/>
    </row>
    <row r="16" spans="1:6" ht="24" customHeight="1">
      <c r="A16" s="8"/>
      <c r="B16" s="9"/>
      <c r="C16" s="9"/>
      <c r="D16" s="10"/>
      <c r="E16" s="1"/>
      <c r="F16" s="11"/>
    </row>
    <row r="17" spans="1:6" ht="24" customHeight="1">
      <c r="A17" s="8"/>
      <c r="B17" s="9"/>
      <c r="C17" s="9"/>
      <c r="D17" s="10"/>
      <c r="E17" s="1"/>
      <c r="F17" s="11"/>
    </row>
    <row r="18" spans="1:6" ht="24" customHeight="1">
      <c r="A18" s="8"/>
      <c r="B18" s="9"/>
      <c r="C18" s="9"/>
      <c r="D18" s="10"/>
      <c r="E18" s="1"/>
      <c r="F18" s="11"/>
    </row>
    <row r="19" spans="1:6" ht="24" customHeight="1">
      <c r="A19" s="8"/>
      <c r="B19" s="9"/>
      <c r="C19" s="9"/>
      <c r="D19" s="10"/>
      <c r="E19" s="1"/>
      <c r="F19" s="11"/>
    </row>
    <row r="20" spans="1:6" ht="24" customHeight="1">
      <c r="A20" s="8"/>
      <c r="B20" s="9"/>
      <c r="C20" s="9"/>
      <c r="D20" s="10"/>
      <c r="E20" s="1"/>
      <c r="F20" s="11"/>
    </row>
    <row r="21" spans="1:6" ht="24" customHeight="1">
      <c r="A21" s="8"/>
      <c r="B21" s="9"/>
      <c r="C21" s="9"/>
      <c r="D21" s="10"/>
      <c r="E21" s="1"/>
      <c r="F21" s="11"/>
    </row>
    <row r="22" spans="1:6" ht="24" customHeight="1">
      <c r="A22" s="8"/>
      <c r="B22" s="9"/>
      <c r="C22" s="9"/>
      <c r="D22" s="10"/>
      <c r="E22" s="1"/>
      <c r="F22" s="11"/>
    </row>
    <row r="23" spans="1:6" ht="24" customHeight="1">
      <c r="A23" s="8"/>
      <c r="B23" s="9"/>
      <c r="C23" s="9"/>
      <c r="D23" s="10"/>
      <c r="E23" s="1"/>
      <c r="F23" s="11"/>
    </row>
    <row r="24" spans="1:6" ht="24" customHeight="1">
      <c r="A24" s="8"/>
      <c r="B24" s="9"/>
      <c r="C24" s="9"/>
      <c r="D24" s="10"/>
      <c r="E24" s="1"/>
      <c r="F24" s="11"/>
    </row>
    <row r="25" spans="1:6" ht="24" customHeight="1" thickBot="1">
      <c r="A25" s="8"/>
      <c r="B25" s="9"/>
      <c r="C25" s="9"/>
      <c r="D25" s="10"/>
      <c r="E25" s="1"/>
      <c r="F25" s="11"/>
    </row>
    <row r="26" spans="1:6" ht="24" customHeight="1" thickBot="1">
      <c r="A26" s="12"/>
      <c r="B26" s="64" t="s">
        <v>4</v>
      </c>
      <c r="C26" s="65"/>
      <c r="D26" s="66"/>
      <c r="E26" s="18">
        <f>SUM(E4:E25)</f>
        <v>1095000</v>
      </c>
      <c r="F26" s="12"/>
    </row>
    <row r="27" spans="1:6" ht="24" customHeight="1">
      <c r="A27" s="9"/>
      <c r="B27" s="41"/>
      <c r="C27" s="41"/>
      <c r="D27" s="41"/>
      <c r="E27" s="21"/>
      <c r="F27" s="9"/>
    </row>
    <row r="28" spans="1:6" ht="24" customHeight="1">
      <c r="A28" s="9"/>
      <c r="B28" s="41"/>
      <c r="C28" s="41"/>
      <c r="D28" s="41"/>
      <c r="E28" s="21"/>
      <c r="F28" s="9"/>
    </row>
    <row r="29" spans="1:6" ht="24" customHeight="1">
      <c r="A29" s="9"/>
      <c r="B29" s="41"/>
      <c r="C29" s="41"/>
      <c r="D29" s="63" t="s">
        <v>116</v>
      </c>
      <c r="E29" s="63"/>
      <c r="F29" s="63"/>
    </row>
    <row r="30" spans="1:6" ht="24" customHeight="1">
      <c r="A30" s="9"/>
      <c r="B30" s="41"/>
      <c r="C30" s="41"/>
      <c r="D30" s="41"/>
      <c r="E30" s="21"/>
      <c r="F30" s="9"/>
    </row>
    <row r="31" spans="1:6" ht="24" customHeight="1">
      <c r="A31" s="9"/>
      <c r="B31" s="41"/>
      <c r="C31" s="41"/>
      <c r="D31" s="41"/>
      <c r="E31" s="21"/>
      <c r="F31" s="9"/>
    </row>
    <row r="32" spans="1:6" ht="24" customHeight="1">
      <c r="A32" s="9"/>
      <c r="B32" s="41"/>
      <c r="C32" s="41"/>
      <c r="D32" s="41"/>
      <c r="E32" s="21"/>
      <c r="F32" s="9"/>
    </row>
    <row r="33" spans="1:6" ht="24" customHeight="1">
      <c r="A33" s="9"/>
      <c r="B33" s="41"/>
      <c r="C33" s="41"/>
      <c r="D33" s="41"/>
      <c r="E33" s="21"/>
      <c r="F33" s="9"/>
    </row>
    <row r="34" spans="1:6" ht="24" customHeight="1">
      <c r="A34" s="9"/>
      <c r="B34" s="41"/>
      <c r="C34" s="41"/>
      <c r="D34" s="41"/>
      <c r="E34" s="21"/>
      <c r="F34" s="9"/>
    </row>
    <row r="35" spans="1:6" ht="24" customHeight="1">
      <c r="A35" s="9"/>
      <c r="B35" s="41"/>
      <c r="C35" s="41"/>
      <c r="D35" s="41"/>
      <c r="E35" s="21"/>
      <c r="F35" s="9"/>
    </row>
    <row r="36" spans="1:6" ht="24" customHeight="1">
      <c r="A36" s="9"/>
      <c r="B36" s="41"/>
      <c r="C36" s="41"/>
      <c r="D36" s="41"/>
      <c r="E36" s="21"/>
      <c r="F36" s="9"/>
    </row>
    <row r="37" spans="1:6" ht="24" customHeight="1">
      <c r="A37" s="9"/>
      <c r="B37" s="41"/>
      <c r="C37" s="41"/>
      <c r="D37" s="41"/>
      <c r="E37" s="21"/>
      <c r="F37" s="9"/>
    </row>
  </sheetData>
  <mergeCells count="5">
    <mergeCell ref="D29:F29"/>
    <mergeCell ref="A1:F1"/>
    <mergeCell ref="A2:F2"/>
    <mergeCell ref="B3:D3"/>
    <mergeCell ref="B26:D26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selection activeCell="E5" sqref="E5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417</v>
      </c>
      <c r="B1" s="58"/>
      <c r="C1" s="58"/>
      <c r="D1" s="58"/>
      <c r="E1" s="58"/>
      <c r="F1" s="58"/>
    </row>
    <row r="2" spans="1:6" ht="24" customHeight="1" thickBot="1">
      <c r="A2" s="59" t="s">
        <v>360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418</v>
      </c>
      <c r="C4" s="4"/>
      <c r="D4" s="5"/>
      <c r="E4" s="6">
        <v>11508683.390000001</v>
      </c>
      <c r="F4" s="7"/>
    </row>
    <row r="5" spans="1:6" ht="24" customHeight="1">
      <c r="A5" s="8"/>
      <c r="B5" s="9"/>
      <c r="C5" s="9"/>
      <c r="D5" s="10"/>
      <c r="E5" s="1"/>
      <c r="F5" s="11"/>
    </row>
    <row r="6" spans="1:6" ht="24" customHeight="1">
      <c r="A6" s="8"/>
      <c r="B6" s="9"/>
      <c r="C6" s="9"/>
      <c r="D6" s="10"/>
      <c r="E6" s="1"/>
      <c r="F6" s="11"/>
    </row>
    <row r="7" spans="1:6" ht="24" customHeight="1">
      <c r="A7" s="8"/>
      <c r="B7" s="30"/>
      <c r="C7" s="9"/>
      <c r="D7" s="10"/>
      <c r="E7" s="1"/>
      <c r="F7" s="11"/>
    </row>
    <row r="8" spans="1:6" ht="24" customHeight="1">
      <c r="A8" s="8"/>
      <c r="B8" s="9"/>
      <c r="C8" s="9"/>
      <c r="D8" s="10"/>
      <c r="E8" s="1"/>
      <c r="F8" s="11"/>
    </row>
    <row r="9" spans="1:6" ht="24" customHeight="1">
      <c r="A9" s="8"/>
      <c r="B9" s="9"/>
      <c r="C9" s="9"/>
      <c r="D9" s="10"/>
      <c r="E9" s="1"/>
      <c r="F9" s="11"/>
    </row>
    <row r="10" spans="1:6" ht="24" customHeight="1">
      <c r="A10" s="8"/>
      <c r="B10" s="30"/>
      <c r="C10" s="9"/>
      <c r="D10" s="10"/>
      <c r="E10" s="1"/>
      <c r="F10" s="11"/>
    </row>
    <row r="11" spans="1:6" ht="24" customHeight="1">
      <c r="A11" s="8"/>
      <c r="B11" s="30"/>
      <c r="C11" s="9"/>
      <c r="D11" s="10"/>
      <c r="E11" s="1"/>
      <c r="F11" s="11"/>
    </row>
    <row r="12" spans="1:6" ht="24" customHeight="1">
      <c r="A12" s="8"/>
      <c r="B12" s="30"/>
      <c r="C12" s="9"/>
      <c r="D12" s="10"/>
      <c r="E12" s="1"/>
      <c r="F12" s="11"/>
    </row>
    <row r="13" spans="1:6" ht="24" customHeight="1">
      <c r="A13" s="8"/>
      <c r="B13" s="9"/>
      <c r="C13" s="9"/>
      <c r="D13" s="10"/>
      <c r="E13" s="1"/>
      <c r="F13" s="11"/>
    </row>
    <row r="14" spans="1:6" ht="24" customHeight="1">
      <c r="A14" s="8"/>
      <c r="B14" s="9"/>
      <c r="C14" s="9"/>
      <c r="D14" s="10"/>
      <c r="E14" s="1"/>
      <c r="F14" s="11"/>
    </row>
    <row r="15" spans="1:6" ht="24" customHeight="1">
      <c r="A15" s="8"/>
      <c r="B15" s="9"/>
      <c r="C15" s="9"/>
      <c r="D15" s="10"/>
      <c r="E15" s="1"/>
      <c r="F15" s="11"/>
    </row>
    <row r="16" spans="1:6" ht="24" customHeight="1">
      <c r="A16" s="8"/>
      <c r="B16" s="9"/>
      <c r="C16" s="9"/>
      <c r="D16" s="10"/>
      <c r="E16" s="1"/>
      <c r="F16" s="11"/>
    </row>
    <row r="17" spans="1:6" ht="24" customHeight="1">
      <c r="A17" s="8"/>
      <c r="B17" s="9"/>
      <c r="C17" s="9"/>
      <c r="D17" s="10"/>
      <c r="E17" s="1"/>
      <c r="F17" s="11"/>
    </row>
    <row r="18" spans="1:6" ht="24" customHeight="1">
      <c r="A18" s="8"/>
      <c r="B18" s="9"/>
      <c r="C18" s="9"/>
      <c r="D18" s="10"/>
      <c r="E18" s="1"/>
      <c r="F18" s="11"/>
    </row>
    <row r="19" spans="1:6" ht="24" customHeight="1">
      <c r="A19" s="8"/>
      <c r="B19" s="9"/>
      <c r="C19" s="9"/>
      <c r="D19" s="10"/>
      <c r="E19" s="1"/>
      <c r="F19" s="11"/>
    </row>
    <row r="20" spans="1:6" ht="24" customHeight="1">
      <c r="A20" s="8"/>
      <c r="B20" s="9"/>
      <c r="C20" s="9"/>
      <c r="D20" s="10"/>
      <c r="E20" s="1"/>
      <c r="F20" s="11"/>
    </row>
    <row r="21" spans="1:6" ht="24" customHeight="1">
      <c r="A21" s="8"/>
      <c r="B21" s="9"/>
      <c r="C21" s="9"/>
      <c r="D21" s="10"/>
      <c r="E21" s="1"/>
      <c r="F21" s="11"/>
    </row>
    <row r="22" spans="1:6" ht="24" customHeight="1">
      <c r="A22" s="8"/>
      <c r="B22" s="9"/>
      <c r="C22" s="9"/>
      <c r="D22" s="10"/>
      <c r="E22" s="1"/>
      <c r="F22" s="11"/>
    </row>
    <row r="23" spans="1:6" ht="24" customHeight="1">
      <c r="A23" s="8"/>
      <c r="B23" s="9"/>
      <c r="C23" s="9"/>
      <c r="D23" s="10"/>
      <c r="E23" s="1"/>
      <c r="F23" s="11"/>
    </row>
    <row r="24" spans="1:6" ht="24" customHeight="1">
      <c r="A24" s="8"/>
      <c r="B24" s="9"/>
      <c r="C24" s="9"/>
      <c r="D24" s="10"/>
      <c r="E24" s="1"/>
      <c r="F24" s="11"/>
    </row>
    <row r="25" spans="1:6" ht="24" customHeight="1">
      <c r="A25" s="8"/>
      <c r="B25" s="9"/>
      <c r="C25" s="9"/>
      <c r="D25" s="10"/>
      <c r="E25" s="1"/>
      <c r="F25" s="11"/>
    </row>
    <row r="26" spans="1:6" ht="24" customHeight="1" thickBot="1">
      <c r="A26" s="8"/>
      <c r="B26" s="9"/>
      <c r="C26" s="9"/>
      <c r="D26" s="10"/>
      <c r="E26" s="1"/>
      <c r="F26" s="11"/>
    </row>
    <row r="27" spans="1:6" ht="24" customHeight="1" thickBot="1">
      <c r="A27" s="12"/>
      <c r="B27" s="64" t="s">
        <v>155</v>
      </c>
      <c r="C27" s="65"/>
      <c r="D27" s="66"/>
      <c r="E27" s="18">
        <f>SUM(E4:E26)</f>
        <v>11508683.390000001</v>
      </c>
      <c r="F27" s="12"/>
    </row>
    <row r="28" spans="1:6" ht="12" customHeight="1">
      <c r="A28" s="9"/>
      <c r="B28" s="39"/>
      <c r="C28" s="39"/>
      <c r="D28" s="39"/>
      <c r="E28" s="40"/>
      <c r="F28" s="9"/>
    </row>
    <row r="29" spans="1:6" ht="24" customHeight="1">
      <c r="A29" s="9"/>
      <c r="B29" s="38"/>
      <c r="C29" s="38"/>
      <c r="D29" s="38"/>
      <c r="E29" s="21"/>
      <c r="F29" s="9"/>
    </row>
    <row r="30" spans="1:6" ht="24" customHeight="1">
      <c r="A30" s="9"/>
      <c r="B30" s="38"/>
      <c r="C30" s="38"/>
      <c r="D30" s="63" t="s">
        <v>116</v>
      </c>
      <c r="E30" s="63"/>
      <c r="F30" s="63"/>
    </row>
    <row r="31" spans="1:6" ht="24" customHeight="1">
      <c r="A31" s="9"/>
      <c r="B31" s="38"/>
      <c r="C31" s="38"/>
      <c r="D31" s="38"/>
      <c r="E31" s="21"/>
      <c r="F31" s="9"/>
    </row>
    <row r="32" spans="1:6" ht="24" customHeight="1">
      <c r="A32" s="9"/>
      <c r="B32" s="38"/>
      <c r="C32" s="38"/>
      <c r="D32" s="38"/>
      <c r="E32" s="21"/>
      <c r="F32" s="9"/>
    </row>
    <row r="33" spans="1:6" ht="24" customHeight="1">
      <c r="A33" s="9"/>
      <c r="B33" s="38"/>
      <c r="C33" s="38"/>
      <c r="D33" s="38"/>
      <c r="E33" s="21"/>
      <c r="F33" s="9"/>
    </row>
  </sheetData>
  <mergeCells count="5">
    <mergeCell ref="A1:F1"/>
    <mergeCell ref="A2:F2"/>
    <mergeCell ref="B3:D3"/>
    <mergeCell ref="B27:D27"/>
    <mergeCell ref="D30:F30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>
      <selection activeCell="E5" sqref="E5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6" ht="24" customHeight="1">
      <c r="A1" s="58" t="s">
        <v>419</v>
      </c>
      <c r="B1" s="58"/>
      <c r="C1" s="58"/>
      <c r="D1" s="58"/>
      <c r="E1" s="58"/>
      <c r="F1" s="58"/>
    </row>
    <row r="2" spans="1:6" ht="24" customHeight="1" thickBot="1">
      <c r="A2" s="59" t="s">
        <v>360</v>
      </c>
      <c r="B2" s="59"/>
      <c r="C2" s="59"/>
      <c r="D2" s="59"/>
      <c r="E2" s="59"/>
      <c r="F2" s="59"/>
    </row>
    <row r="3" spans="1:6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6" ht="24" customHeight="1">
      <c r="A4" s="3">
        <v>1</v>
      </c>
      <c r="B4" s="4" t="s">
        <v>420</v>
      </c>
      <c r="C4" s="4"/>
      <c r="D4" s="5"/>
      <c r="E4" s="6">
        <v>7102174.9900000002</v>
      </c>
      <c r="F4" s="7"/>
    </row>
    <row r="5" spans="1:6" ht="24" customHeight="1">
      <c r="A5" s="8"/>
      <c r="B5" s="9"/>
      <c r="C5" s="9"/>
      <c r="D5" s="10"/>
      <c r="E5" s="1"/>
      <c r="F5" s="11"/>
    </row>
    <row r="6" spans="1:6" ht="24" customHeight="1">
      <c r="A6" s="8"/>
      <c r="B6" s="9"/>
      <c r="C6" s="9"/>
      <c r="D6" s="10"/>
      <c r="E6" s="1"/>
      <c r="F6" s="11"/>
    </row>
    <row r="7" spans="1:6" ht="24" customHeight="1">
      <c r="A7" s="8"/>
      <c r="B7" s="30"/>
      <c r="C7" s="9"/>
      <c r="D7" s="10"/>
      <c r="E7" s="1"/>
      <c r="F7" s="11"/>
    </row>
    <row r="8" spans="1:6" ht="24" customHeight="1">
      <c r="A8" s="8"/>
      <c r="B8" s="9"/>
      <c r="C8" s="9"/>
      <c r="D8" s="10"/>
      <c r="E8" s="1"/>
      <c r="F8" s="11"/>
    </row>
    <row r="9" spans="1:6" ht="24" customHeight="1">
      <c r="A9" s="8"/>
      <c r="B9" s="9"/>
      <c r="C9" s="9"/>
      <c r="D9" s="10"/>
      <c r="E9" s="1"/>
      <c r="F9" s="11"/>
    </row>
    <row r="10" spans="1:6" ht="24" customHeight="1">
      <c r="A10" s="8"/>
      <c r="B10" s="30"/>
      <c r="C10" s="9"/>
      <c r="D10" s="10"/>
      <c r="E10" s="1"/>
      <c r="F10" s="11"/>
    </row>
    <row r="11" spans="1:6" ht="24" customHeight="1">
      <c r="A11" s="8"/>
      <c r="B11" s="30"/>
      <c r="C11" s="9"/>
      <c r="D11" s="10"/>
      <c r="E11" s="1"/>
      <c r="F11" s="11"/>
    </row>
    <row r="12" spans="1:6" ht="24" customHeight="1">
      <c r="A12" s="8"/>
      <c r="B12" s="30"/>
      <c r="C12" s="9"/>
      <c r="D12" s="10"/>
      <c r="E12" s="1"/>
      <c r="F12" s="11"/>
    </row>
    <row r="13" spans="1:6" ht="24" customHeight="1">
      <c r="A13" s="8"/>
      <c r="B13" s="9"/>
      <c r="C13" s="9"/>
      <c r="D13" s="10"/>
      <c r="E13" s="1"/>
      <c r="F13" s="11"/>
    </row>
    <row r="14" spans="1:6" ht="24" customHeight="1">
      <c r="A14" s="8"/>
      <c r="B14" s="9"/>
      <c r="C14" s="9"/>
      <c r="D14" s="10"/>
      <c r="E14" s="1"/>
      <c r="F14" s="11"/>
    </row>
    <row r="15" spans="1:6" ht="24" customHeight="1">
      <c r="A15" s="8"/>
      <c r="B15" s="9"/>
      <c r="C15" s="9"/>
      <c r="D15" s="10"/>
      <c r="E15" s="1"/>
      <c r="F15" s="11"/>
    </row>
    <row r="16" spans="1:6" ht="24" customHeight="1">
      <c r="A16" s="8"/>
      <c r="B16" s="9"/>
      <c r="C16" s="9"/>
      <c r="D16" s="10"/>
      <c r="E16" s="1"/>
      <c r="F16" s="11"/>
    </row>
    <row r="17" spans="1:6" ht="24" customHeight="1">
      <c r="A17" s="8"/>
      <c r="B17" s="9"/>
      <c r="C17" s="9"/>
      <c r="D17" s="10"/>
      <c r="E17" s="1"/>
      <c r="F17" s="11"/>
    </row>
    <row r="18" spans="1:6" ht="24" customHeight="1">
      <c r="A18" s="8"/>
      <c r="B18" s="9"/>
      <c r="C18" s="9"/>
      <c r="D18" s="10"/>
      <c r="E18" s="1"/>
      <c r="F18" s="11"/>
    </row>
    <row r="19" spans="1:6" ht="24" customHeight="1">
      <c r="A19" s="8"/>
      <c r="B19" s="9"/>
      <c r="C19" s="9"/>
      <c r="D19" s="10"/>
      <c r="E19" s="1"/>
      <c r="F19" s="11"/>
    </row>
    <row r="20" spans="1:6" ht="24" customHeight="1">
      <c r="A20" s="8"/>
      <c r="B20" s="9"/>
      <c r="C20" s="9"/>
      <c r="D20" s="10"/>
      <c r="E20" s="1"/>
      <c r="F20" s="11"/>
    </row>
    <row r="21" spans="1:6" ht="24" customHeight="1">
      <c r="A21" s="8"/>
      <c r="B21" s="9"/>
      <c r="C21" s="9"/>
      <c r="D21" s="10"/>
      <c r="E21" s="1"/>
      <c r="F21" s="11"/>
    </row>
    <row r="22" spans="1:6" ht="24" customHeight="1">
      <c r="A22" s="8"/>
      <c r="B22" s="9"/>
      <c r="C22" s="9"/>
      <c r="D22" s="10"/>
      <c r="E22" s="1"/>
      <c r="F22" s="11"/>
    </row>
    <row r="23" spans="1:6" ht="24" customHeight="1">
      <c r="A23" s="8"/>
      <c r="B23" s="9"/>
      <c r="C23" s="9"/>
      <c r="D23" s="10"/>
      <c r="E23" s="1"/>
      <c r="F23" s="11"/>
    </row>
    <row r="24" spans="1:6" ht="24" customHeight="1">
      <c r="A24" s="8"/>
      <c r="B24" s="9"/>
      <c r="C24" s="9"/>
      <c r="D24" s="10"/>
      <c r="E24" s="1"/>
      <c r="F24" s="11"/>
    </row>
    <row r="25" spans="1:6" ht="24" customHeight="1">
      <c r="A25" s="8"/>
      <c r="B25" s="9"/>
      <c r="C25" s="9"/>
      <c r="D25" s="10"/>
      <c r="E25" s="1"/>
      <c r="F25" s="11"/>
    </row>
    <row r="26" spans="1:6" ht="24" customHeight="1" thickBot="1">
      <c r="A26" s="8"/>
      <c r="B26" s="9"/>
      <c r="C26" s="9"/>
      <c r="D26" s="10"/>
      <c r="E26" s="1"/>
      <c r="F26" s="11"/>
    </row>
    <row r="27" spans="1:6" ht="24" customHeight="1" thickBot="1">
      <c r="A27" s="12"/>
      <c r="B27" s="64" t="s">
        <v>155</v>
      </c>
      <c r="C27" s="65"/>
      <c r="D27" s="66"/>
      <c r="E27" s="18">
        <f>SUM(E4:E26)</f>
        <v>7102174.9900000002</v>
      </c>
      <c r="F27" s="12"/>
    </row>
    <row r="28" spans="1:6" ht="12" customHeight="1">
      <c r="A28" s="9"/>
      <c r="B28" s="39"/>
      <c r="C28" s="39"/>
      <c r="D28" s="39"/>
      <c r="E28" s="40"/>
      <c r="F28" s="9"/>
    </row>
    <row r="29" spans="1:6" ht="24" customHeight="1">
      <c r="A29" s="9"/>
      <c r="B29" s="43"/>
      <c r="C29" s="43"/>
      <c r="D29" s="43"/>
      <c r="E29" s="21"/>
      <c r="F29" s="9"/>
    </row>
    <row r="30" spans="1:6" ht="24" customHeight="1">
      <c r="A30" s="9"/>
      <c r="B30" s="43"/>
      <c r="C30" s="43"/>
      <c r="D30" s="63" t="s">
        <v>116</v>
      </c>
      <c r="E30" s="63"/>
      <c r="F30" s="63"/>
    </row>
    <row r="31" spans="1:6" ht="24" customHeight="1">
      <c r="A31" s="9"/>
      <c r="B31" s="43"/>
      <c r="C31" s="43"/>
      <c r="D31" s="43"/>
      <c r="E31" s="21"/>
      <c r="F31" s="9"/>
    </row>
    <row r="32" spans="1:6" ht="24" customHeight="1">
      <c r="A32" s="9"/>
      <c r="B32" s="43"/>
      <c r="C32" s="43"/>
      <c r="D32" s="43"/>
      <c r="E32" s="21"/>
      <c r="F32" s="9"/>
    </row>
    <row r="33" spans="1:6" ht="24" customHeight="1">
      <c r="A33" s="9"/>
      <c r="B33" s="43"/>
      <c r="C33" s="43"/>
      <c r="D33" s="43"/>
      <c r="E33" s="21"/>
      <c r="F33" s="9"/>
    </row>
    <row r="34" spans="1:6" ht="24" customHeight="1">
      <c r="A34" s="9"/>
      <c r="B34" s="43"/>
      <c r="C34" s="43"/>
      <c r="D34" s="43"/>
      <c r="E34" s="21"/>
      <c r="F34" s="9"/>
    </row>
    <row r="35" spans="1:6" ht="24" customHeight="1">
      <c r="A35" s="9"/>
      <c r="B35" s="43"/>
      <c r="C35" s="43"/>
      <c r="D35" s="43"/>
      <c r="E35" s="21"/>
      <c r="F35" s="9"/>
    </row>
    <row r="36" spans="1:6" ht="24" customHeight="1">
      <c r="A36" s="9"/>
      <c r="B36" s="43"/>
      <c r="C36" s="43"/>
      <c r="D36" s="43"/>
      <c r="E36" s="21"/>
      <c r="F36" s="9"/>
    </row>
    <row r="37" spans="1:6" ht="24" customHeight="1">
      <c r="A37" s="9"/>
      <c r="B37" s="43"/>
      <c r="C37" s="43"/>
      <c r="D37" s="43"/>
      <c r="E37" s="21"/>
      <c r="F37" s="9"/>
    </row>
    <row r="38" spans="1:6" ht="24" customHeight="1">
      <c r="A38" s="9"/>
      <c r="B38" s="43"/>
      <c r="C38" s="43"/>
      <c r="D38" s="43"/>
      <c r="E38" s="21"/>
      <c r="F38" s="9"/>
    </row>
    <row r="39" spans="1:6" ht="24" customHeight="1">
      <c r="A39" s="9"/>
      <c r="B39" s="43"/>
      <c r="C39" s="43"/>
      <c r="D39" s="43"/>
      <c r="E39" s="21"/>
      <c r="F39" s="9"/>
    </row>
    <row r="40" spans="1:6" ht="24" customHeight="1">
      <c r="A40" s="9"/>
      <c r="B40" s="43"/>
      <c r="C40" s="43"/>
      <c r="D40" s="43"/>
      <c r="E40" s="21"/>
      <c r="F40" s="9"/>
    </row>
  </sheetData>
  <mergeCells count="5">
    <mergeCell ref="A1:F1"/>
    <mergeCell ref="A2:F2"/>
    <mergeCell ref="B3:D3"/>
    <mergeCell ref="B27:D27"/>
    <mergeCell ref="D30:F30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83"/>
  <sheetViews>
    <sheetView topLeftCell="A22" workbookViewId="0">
      <selection activeCell="A84" sqref="A84:XFD187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10" ht="24" customHeight="1">
      <c r="A1" s="58" t="s">
        <v>380</v>
      </c>
      <c r="B1" s="58"/>
      <c r="C1" s="58"/>
      <c r="D1" s="58"/>
      <c r="E1" s="58"/>
      <c r="F1" s="58"/>
    </row>
    <row r="2" spans="1:10" ht="24" customHeight="1" thickBot="1">
      <c r="A2" s="59" t="s">
        <v>346</v>
      </c>
      <c r="B2" s="59"/>
      <c r="C2" s="59"/>
      <c r="D2" s="59"/>
      <c r="E2" s="59"/>
      <c r="F2" s="59"/>
    </row>
    <row r="3" spans="1:10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10" ht="24" customHeight="1">
      <c r="A4" s="8">
        <v>1</v>
      </c>
      <c r="B4" s="9" t="s">
        <v>47</v>
      </c>
      <c r="C4" s="9"/>
      <c r="D4" s="10"/>
      <c r="E4" s="1">
        <v>54162</v>
      </c>
      <c r="F4" s="11"/>
    </row>
    <row r="5" spans="1:10" ht="24" customHeight="1">
      <c r="A5" s="8">
        <v>2</v>
      </c>
      <c r="B5" s="9" t="s">
        <v>382</v>
      </c>
      <c r="C5" s="9"/>
      <c r="D5" s="10"/>
      <c r="E5" s="1">
        <v>9063</v>
      </c>
      <c r="F5" s="11"/>
      <c r="G5" s="9"/>
      <c r="H5" s="9"/>
      <c r="I5" s="9"/>
      <c r="J5" s="21"/>
    </row>
    <row r="6" spans="1:10" ht="24" customHeight="1">
      <c r="A6" s="8">
        <v>3</v>
      </c>
      <c r="B6" s="9" t="s">
        <v>383</v>
      </c>
      <c r="C6" s="9"/>
      <c r="D6" s="10"/>
      <c r="E6" s="1">
        <v>127842</v>
      </c>
      <c r="F6" s="11"/>
    </row>
    <row r="7" spans="1:10" ht="24" customHeight="1">
      <c r="A7" s="8">
        <v>4</v>
      </c>
      <c r="B7" s="50" t="s">
        <v>384</v>
      </c>
      <c r="C7" s="9"/>
      <c r="D7" s="10"/>
      <c r="E7" s="1">
        <v>30507</v>
      </c>
      <c r="F7" s="11"/>
    </row>
    <row r="8" spans="1:10" ht="24" customHeight="1">
      <c r="A8" s="8">
        <v>5</v>
      </c>
      <c r="B8" s="9" t="s">
        <v>81</v>
      </c>
      <c r="C8" s="9"/>
      <c r="D8" s="10"/>
      <c r="E8" s="1">
        <v>15855</v>
      </c>
      <c r="F8" s="11"/>
    </row>
    <row r="9" spans="1:10" ht="24" customHeight="1">
      <c r="A9" s="8">
        <v>6</v>
      </c>
      <c r="B9" s="9" t="s">
        <v>365</v>
      </c>
      <c r="C9" s="9"/>
      <c r="D9" s="10"/>
      <c r="E9" s="1">
        <v>12084</v>
      </c>
      <c r="F9" s="11"/>
      <c r="G9" s="14"/>
    </row>
    <row r="10" spans="1:10" ht="24" customHeight="1">
      <c r="A10" s="8">
        <v>7</v>
      </c>
      <c r="B10" s="9" t="s">
        <v>385</v>
      </c>
      <c r="C10" s="9"/>
      <c r="D10" s="10"/>
      <c r="E10" s="1">
        <v>9036</v>
      </c>
      <c r="F10" s="11"/>
    </row>
    <row r="11" spans="1:10" ht="24" customHeight="1">
      <c r="A11" s="8">
        <v>8</v>
      </c>
      <c r="B11" s="9" t="s">
        <v>386</v>
      </c>
      <c r="C11" s="9"/>
      <c r="D11" s="10"/>
      <c r="E11" s="1">
        <v>73963</v>
      </c>
      <c r="F11" s="11"/>
    </row>
    <row r="12" spans="1:10" ht="24" customHeight="1">
      <c r="A12" s="8">
        <v>9</v>
      </c>
      <c r="B12" s="9" t="s">
        <v>377</v>
      </c>
      <c r="C12" s="9"/>
      <c r="D12" s="10"/>
      <c r="E12" s="1">
        <v>16614</v>
      </c>
      <c r="F12" s="11"/>
    </row>
    <row r="13" spans="1:10" ht="24" customHeight="1">
      <c r="A13" s="8">
        <v>10</v>
      </c>
      <c r="B13" s="9" t="s">
        <v>45</v>
      </c>
      <c r="C13" s="9"/>
      <c r="D13" s="10"/>
      <c r="E13" s="1">
        <v>24130</v>
      </c>
      <c r="F13" s="11"/>
    </row>
    <row r="14" spans="1:10" ht="24" customHeight="1">
      <c r="A14" s="8">
        <v>11</v>
      </c>
      <c r="B14" s="9" t="s">
        <v>387</v>
      </c>
      <c r="C14" s="9"/>
      <c r="D14" s="10"/>
      <c r="E14" s="1">
        <v>15105</v>
      </c>
      <c r="F14" s="11"/>
    </row>
    <row r="15" spans="1:10" ht="24" customHeight="1">
      <c r="A15" s="8">
        <v>12</v>
      </c>
      <c r="B15" s="9" t="s">
        <v>74</v>
      </c>
      <c r="C15" s="9"/>
      <c r="D15" s="10"/>
      <c r="E15" s="1">
        <v>59105</v>
      </c>
      <c r="F15" s="11"/>
      <c r="G15" s="14"/>
    </row>
    <row r="16" spans="1:10" ht="24" customHeight="1">
      <c r="A16" s="8">
        <v>13</v>
      </c>
      <c r="B16" s="9" t="s">
        <v>378</v>
      </c>
      <c r="C16" s="9"/>
      <c r="D16" s="10"/>
      <c r="E16" s="1">
        <v>10572</v>
      </c>
      <c r="F16" s="11"/>
    </row>
    <row r="17" spans="1:7" ht="24" customHeight="1">
      <c r="A17" s="8">
        <v>14</v>
      </c>
      <c r="B17" s="9" t="s">
        <v>388</v>
      </c>
      <c r="C17" s="9"/>
      <c r="D17" s="10"/>
      <c r="E17" s="1">
        <v>12048</v>
      </c>
      <c r="F17" s="11"/>
    </row>
    <row r="18" spans="1:7" ht="24" customHeight="1">
      <c r="A18" s="8">
        <v>15</v>
      </c>
      <c r="B18" s="9" t="s">
        <v>389</v>
      </c>
      <c r="C18" s="9"/>
      <c r="D18" s="10"/>
      <c r="E18" s="15">
        <v>6544</v>
      </c>
      <c r="F18" s="11"/>
    </row>
    <row r="19" spans="1:7" ht="24" customHeight="1">
      <c r="A19" s="8">
        <v>16</v>
      </c>
      <c r="B19" s="9" t="s">
        <v>48</v>
      </c>
      <c r="C19" s="9"/>
      <c r="D19" s="10"/>
      <c r="E19" s="1">
        <v>264395</v>
      </c>
      <c r="F19" s="11"/>
      <c r="G19" s="14"/>
    </row>
    <row r="20" spans="1:7" ht="24" customHeight="1">
      <c r="A20" s="8">
        <v>17</v>
      </c>
      <c r="B20" s="9" t="s">
        <v>390</v>
      </c>
      <c r="C20" s="9"/>
      <c r="D20" s="10"/>
      <c r="E20" s="1">
        <v>50956</v>
      </c>
      <c r="F20" s="11"/>
    </row>
    <row r="21" spans="1:7" ht="24" customHeight="1">
      <c r="A21" s="8">
        <v>18</v>
      </c>
      <c r="B21" s="9" t="s">
        <v>376</v>
      </c>
      <c r="C21" s="9"/>
      <c r="D21" s="10"/>
      <c r="E21" s="1">
        <v>44219</v>
      </c>
      <c r="F21" s="11"/>
    </row>
    <row r="22" spans="1:7" ht="24" customHeight="1">
      <c r="A22" s="8">
        <v>19</v>
      </c>
      <c r="B22" s="9" t="s">
        <v>290</v>
      </c>
      <c r="C22" s="9"/>
      <c r="D22" s="10"/>
      <c r="E22" s="1">
        <v>3021</v>
      </c>
      <c r="F22" s="11"/>
    </row>
    <row r="23" spans="1:7" ht="24" customHeight="1">
      <c r="A23" s="8">
        <v>20</v>
      </c>
      <c r="B23" s="9" t="s">
        <v>21</v>
      </c>
      <c r="C23" s="9"/>
      <c r="D23" s="10"/>
      <c r="E23" s="1">
        <v>27129</v>
      </c>
      <c r="F23" s="11"/>
    </row>
    <row r="24" spans="1:7" ht="24" customHeight="1">
      <c r="A24" s="8">
        <v>21</v>
      </c>
      <c r="B24" s="9" t="s">
        <v>391</v>
      </c>
      <c r="C24" s="9"/>
      <c r="D24" s="10"/>
      <c r="E24" s="1">
        <v>61207</v>
      </c>
      <c r="F24" s="11"/>
      <c r="G24" s="14"/>
    </row>
    <row r="25" spans="1:7" ht="24" customHeight="1">
      <c r="A25" s="8">
        <v>22</v>
      </c>
      <c r="B25" s="9" t="s">
        <v>392</v>
      </c>
      <c r="C25" s="9"/>
      <c r="D25" s="10"/>
      <c r="E25" s="1">
        <v>277884</v>
      </c>
      <c r="F25" s="11"/>
    </row>
    <row r="26" spans="1:7" ht="24" customHeight="1">
      <c r="A26" s="8">
        <v>23</v>
      </c>
      <c r="B26" s="9" t="s">
        <v>355</v>
      </c>
      <c r="C26" s="9"/>
      <c r="D26" s="10"/>
      <c r="E26" s="1">
        <v>27135</v>
      </c>
      <c r="F26" s="11"/>
    </row>
    <row r="27" spans="1:7" ht="24" customHeight="1">
      <c r="A27" s="8">
        <v>24</v>
      </c>
      <c r="B27" s="9" t="s">
        <v>212</v>
      </c>
      <c r="C27" s="9"/>
      <c r="D27" s="10"/>
      <c r="E27" s="1">
        <v>33225</v>
      </c>
      <c r="F27" s="11"/>
      <c r="G27" s="14"/>
    </row>
    <row r="28" spans="1:7" ht="24" customHeight="1">
      <c r="A28" s="8">
        <v>25</v>
      </c>
      <c r="B28" s="9" t="s">
        <v>393</v>
      </c>
      <c r="C28" s="9"/>
      <c r="D28" s="10"/>
      <c r="E28" s="1">
        <v>6042</v>
      </c>
      <c r="F28" s="11"/>
    </row>
    <row r="29" spans="1:7" ht="24" customHeight="1">
      <c r="A29" s="8">
        <v>26</v>
      </c>
      <c r="B29" s="9" t="s">
        <v>371</v>
      </c>
      <c r="C29" s="9"/>
      <c r="D29" s="10"/>
      <c r="E29" s="1">
        <v>93417</v>
      </c>
      <c r="F29" s="11"/>
    </row>
    <row r="30" spans="1:7" ht="24" customHeight="1" thickBot="1">
      <c r="A30" s="8">
        <v>27</v>
      </c>
      <c r="B30" s="9" t="s">
        <v>394</v>
      </c>
      <c r="C30" s="9"/>
      <c r="D30" s="10"/>
      <c r="E30" s="1">
        <v>52854</v>
      </c>
      <c r="F30" s="11"/>
    </row>
    <row r="31" spans="1:7" ht="24" customHeight="1" thickBot="1">
      <c r="A31" s="12"/>
      <c r="B31" s="60" t="s">
        <v>100</v>
      </c>
      <c r="C31" s="61"/>
      <c r="D31" s="62"/>
      <c r="E31" s="13">
        <f>SUM(E4:E30)</f>
        <v>1418114</v>
      </c>
      <c r="F31" s="12"/>
    </row>
    <row r="32" spans="1:7" ht="24" customHeight="1">
      <c r="A32" s="59" t="s">
        <v>381</v>
      </c>
      <c r="B32" s="59"/>
      <c r="C32" s="59"/>
      <c r="D32" s="59"/>
      <c r="E32" s="59"/>
      <c r="F32" s="59"/>
    </row>
    <row r="33" spans="1:7" ht="24" customHeight="1" thickBot="1">
      <c r="A33" s="59" t="s">
        <v>346</v>
      </c>
      <c r="B33" s="59"/>
      <c r="C33" s="59"/>
      <c r="D33" s="59"/>
      <c r="E33" s="59"/>
      <c r="F33" s="59"/>
    </row>
    <row r="34" spans="1:7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7" ht="24" customHeight="1" thickBot="1">
      <c r="A35" s="16"/>
      <c r="B35" s="60" t="s">
        <v>30</v>
      </c>
      <c r="C35" s="61"/>
      <c r="D35" s="62"/>
      <c r="E35" s="13">
        <f>E31</f>
        <v>1418114</v>
      </c>
      <c r="F35" s="12"/>
    </row>
    <row r="36" spans="1:7" ht="24" customHeight="1">
      <c r="A36" s="3">
        <v>28</v>
      </c>
      <c r="B36" s="9" t="s">
        <v>363</v>
      </c>
      <c r="C36" s="9"/>
      <c r="D36" s="10"/>
      <c r="E36" s="1">
        <v>15074</v>
      </c>
      <c r="F36" s="11"/>
    </row>
    <row r="37" spans="1:7" ht="24" customHeight="1">
      <c r="A37" s="8">
        <v>29</v>
      </c>
      <c r="B37" s="9" t="s">
        <v>151</v>
      </c>
      <c r="C37" s="9"/>
      <c r="D37" s="10"/>
      <c r="E37" s="1">
        <v>87549</v>
      </c>
      <c r="F37" s="11"/>
      <c r="G37" s="14"/>
    </row>
    <row r="38" spans="1:7" ht="24" customHeight="1">
      <c r="A38" s="8">
        <v>30</v>
      </c>
      <c r="B38" s="9" t="s">
        <v>395</v>
      </c>
      <c r="C38" s="9"/>
      <c r="D38" s="10"/>
      <c r="E38" s="1">
        <v>123810</v>
      </c>
      <c r="F38" s="11"/>
    </row>
    <row r="39" spans="1:7" ht="24" customHeight="1">
      <c r="A39" s="8">
        <v>31</v>
      </c>
      <c r="B39" s="9" t="s">
        <v>111</v>
      </c>
      <c r="C39" s="9"/>
      <c r="D39" s="10"/>
      <c r="E39" s="1">
        <v>3021</v>
      </c>
      <c r="F39" s="11"/>
    </row>
    <row r="40" spans="1:7" ht="24" customHeight="1">
      <c r="A40" s="8">
        <v>32</v>
      </c>
      <c r="B40" s="9" t="s">
        <v>396</v>
      </c>
      <c r="C40" s="9"/>
      <c r="D40" s="10"/>
      <c r="E40" s="1">
        <v>9030</v>
      </c>
      <c r="F40" s="11"/>
    </row>
    <row r="41" spans="1:7" ht="24" customHeight="1">
      <c r="A41" s="8">
        <v>33</v>
      </c>
      <c r="B41" s="9" t="s">
        <v>397</v>
      </c>
      <c r="C41" s="9"/>
      <c r="D41" s="10"/>
      <c r="E41" s="1">
        <v>130717</v>
      </c>
      <c r="F41" s="11"/>
    </row>
    <row r="42" spans="1:7" ht="24" customHeight="1">
      <c r="A42" s="8">
        <v>34</v>
      </c>
      <c r="B42" s="9" t="s">
        <v>329</v>
      </c>
      <c r="C42" s="9"/>
      <c r="D42" s="10"/>
      <c r="E42" s="1">
        <v>3012</v>
      </c>
      <c r="F42" s="11"/>
    </row>
    <row r="43" spans="1:7" ht="24" customHeight="1">
      <c r="A43" s="8">
        <v>35</v>
      </c>
      <c r="B43" s="9" t="s">
        <v>250</v>
      </c>
      <c r="C43" s="9"/>
      <c r="D43" s="10"/>
      <c r="E43" s="1">
        <v>16563</v>
      </c>
      <c r="F43" s="11"/>
    </row>
    <row r="44" spans="1:7" ht="24" customHeight="1">
      <c r="A44" s="8">
        <v>36</v>
      </c>
      <c r="B44" s="9" t="s">
        <v>398</v>
      </c>
      <c r="C44" s="9"/>
      <c r="D44" s="10"/>
      <c r="E44" s="1">
        <v>62862</v>
      </c>
      <c r="F44" s="11"/>
      <c r="G44" s="14"/>
    </row>
    <row r="45" spans="1:7" ht="24" customHeight="1">
      <c r="A45" s="8">
        <v>37</v>
      </c>
      <c r="B45" s="9" t="s">
        <v>399</v>
      </c>
      <c r="C45" s="9"/>
      <c r="D45" s="10"/>
      <c r="E45" s="1">
        <v>9063</v>
      </c>
      <c r="F45" s="11"/>
    </row>
    <row r="46" spans="1:7" ht="24" customHeight="1">
      <c r="A46" s="8">
        <v>38</v>
      </c>
      <c r="B46" s="9" t="s">
        <v>364</v>
      </c>
      <c r="C46" s="9"/>
      <c r="D46" s="10"/>
      <c r="E46" s="1">
        <v>7544</v>
      </c>
      <c r="F46" s="11"/>
    </row>
    <row r="47" spans="1:7" ht="24" customHeight="1">
      <c r="A47" s="8">
        <v>39</v>
      </c>
      <c r="B47" s="9" t="s">
        <v>268</v>
      </c>
      <c r="C47" s="9"/>
      <c r="D47" s="10"/>
      <c r="E47" s="1">
        <v>28599</v>
      </c>
      <c r="F47" s="11"/>
    </row>
    <row r="48" spans="1:7" ht="24" customHeight="1">
      <c r="A48" s="8">
        <v>40</v>
      </c>
      <c r="B48" s="9" t="s">
        <v>199</v>
      </c>
      <c r="C48" s="9"/>
      <c r="D48" s="10"/>
      <c r="E48" s="1">
        <v>25369</v>
      </c>
      <c r="F48" s="11"/>
    </row>
    <row r="49" spans="1:7" ht="24" customHeight="1">
      <c r="A49" s="8">
        <v>41</v>
      </c>
      <c r="B49" s="9" t="s">
        <v>400</v>
      </c>
      <c r="C49" s="9"/>
      <c r="D49" s="10"/>
      <c r="E49" s="1">
        <v>9054</v>
      </c>
      <c r="F49" s="11"/>
    </row>
    <row r="50" spans="1:7" ht="24" customHeight="1">
      <c r="A50" s="8">
        <v>42</v>
      </c>
      <c r="B50" s="9" t="s">
        <v>271</v>
      </c>
      <c r="C50" s="9"/>
      <c r="D50" s="10"/>
      <c r="E50" s="1">
        <v>45120</v>
      </c>
      <c r="F50" s="11"/>
    </row>
    <row r="51" spans="1:7" ht="24" customHeight="1">
      <c r="A51" s="8">
        <v>43</v>
      </c>
      <c r="B51" s="9" t="s">
        <v>401</v>
      </c>
      <c r="C51" s="9"/>
      <c r="D51" s="10"/>
      <c r="E51" s="1">
        <v>3021</v>
      </c>
      <c r="F51" s="11"/>
    </row>
    <row r="52" spans="1:7" ht="24" customHeight="1">
      <c r="A52" s="8">
        <v>44</v>
      </c>
      <c r="B52" s="9" t="s">
        <v>402</v>
      </c>
      <c r="C52" s="9"/>
      <c r="D52" s="10"/>
      <c r="E52" s="1">
        <v>47480</v>
      </c>
      <c r="F52" s="11"/>
      <c r="G52" s="14"/>
    </row>
    <row r="53" spans="1:7" ht="24" customHeight="1">
      <c r="A53" s="8">
        <v>45</v>
      </c>
      <c r="B53" s="9" t="s">
        <v>403</v>
      </c>
      <c r="C53" s="9"/>
      <c r="D53" s="10"/>
      <c r="E53" s="1">
        <v>40161</v>
      </c>
      <c r="F53" s="11"/>
    </row>
    <row r="54" spans="1:7" ht="24" customHeight="1">
      <c r="A54" s="8">
        <v>46</v>
      </c>
      <c r="B54" s="9" t="s">
        <v>404</v>
      </c>
      <c r="C54" s="9"/>
      <c r="D54" s="10"/>
      <c r="E54" s="1">
        <v>13258</v>
      </c>
      <c r="F54" s="11"/>
    </row>
    <row r="55" spans="1:7" ht="24" customHeight="1">
      <c r="A55" s="8">
        <v>47</v>
      </c>
      <c r="B55" s="9" t="s">
        <v>67</v>
      </c>
      <c r="C55" s="9"/>
      <c r="D55" s="10"/>
      <c r="E55" s="1">
        <v>7551</v>
      </c>
      <c r="F55" s="11"/>
    </row>
    <row r="56" spans="1:7" ht="24" customHeight="1">
      <c r="A56" s="8">
        <v>48</v>
      </c>
      <c r="B56" s="9" t="s">
        <v>19</v>
      </c>
      <c r="C56" s="9"/>
      <c r="D56" s="10"/>
      <c r="E56" s="1">
        <v>8532</v>
      </c>
      <c r="F56" s="11"/>
    </row>
    <row r="57" spans="1:7" ht="24" customHeight="1">
      <c r="A57" s="8">
        <v>49</v>
      </c>
      <c r="B57" s="9" t="s">
        <v>405</v>
      </c>
      <c r="C57" s="9"/>
      <c r="D57" s="10"/>
      <c r="E57" s="1">
        <v>15654</v>
      </c>
      <c r="F57" s="11"/>
    </row>
    <row r="58" spans="1:7" ht="24" customHeight="1">
      <c r="A58" s="8">
        <v>50</v>
      </c>
      <c r="B58" s="9" t="s">
        <v>241</v>
      </c>
      <c r="C58" s="9"/>
      <c r="D58" s="10"/>
      <c r="E58" s="1">
        <v>20328</v>
      </c>
      <c r="F58" s="11"/>
    </row>
    <row r="59" spans="1:7" ht="24" customHeight="1">
      <c r="A59" s="8">
        <v>51</v>
      </c>
      <c r="B59" s="9" t="s">
        <v>318</v>
      </c>
      <c r="C59" s="9"/>
      <c r="D59" s="10"/>
      <c r="E59" s="1">
        <v>3017</v>
      </c>
      <c r="F59" s="11"/>
    </row>
    <row r="60" spans="1:7" ht="24" customHeight="1">
      <c r="A60" s="8">
        <v>52</v>
      </c>
      <c r="B60" s="9" t="s">
        <v>377</v>
      </c>
      <c r="C60" s="9"/>
      <c r="D60" s="10"/>
      <c r="E60" s="1">
        <v>19635</v>
      </c>
      <c r="F60" s="11"/>
    </row>
    <row r="61" spans="1:7" ht="24" customHeight="1" thickBot="1">
      <c r="A61" s="44">
        <v>53</v>
      </c>
      <c r="B61" s="9" t="s">
        <v>375</v>
      </c>
      <c r="C61" s="9"/>
      <c r="D61" s="10"/>
      <c r="E61" s="45">
        <v>61923</v>
      </c>
      <c r="F61" s="11"/>
    </row>
    <row r="62" spans="1:7" ht="24" customHeight="1" thickBot="1">
      <c r="A62" s="12"/>
      <c r="B62" s="60" t="s">
        <v>100</v>
      </c>
      <c r="C62" s="61"/>
      <c r="D62" s="62"/>
      <c r="E62" s="13">
        <f>SUM(E35:E61)</f>
        <v>2235061</v>
      </c>
      <c r="F62" s="12"/>
    </row>
    <row r="63" spans="1:7" ht="24" customHeight="1">
      <c r="A63" s="58" t="s">
        <v>416</v>
      </c>
      <c r="B63" s="58"/>
      <c r="C63" s="58"/>
      <c r="D63" s="58"/>
      <c r="E63" s="58"/>
      <c r="F63" s="58"/>
    </row>
    <row r="64" spans="1:7" ht="22.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49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E62</f>
        <v>2235061</v>
      </c>
      <c r="F66" s="7"/>
    </row>
    <row r="67" spans="1:7" ht="24" customHeight="1">
      <c r="A67" s="8">
        <v>54</v>
      </c>
      <c r="B67" s="9" t="s">
        <v>406</v>
      </c>
      <c r="C67" s="9"/>
      <c r="D67" s="10"/>
      <c r="E67" s="45">
        <v>63424</v>
      </c>
      <c r="F67" s="7"/>
      <c r="G67" s="14"/>
    </row>
    <row r="68" spans="1:7" ht="24" customHeight="1">
      <c r="A68" s="8">
        <v>55</v>
      </c>
      <c r="B68" s="9" t="s">
        <v>407</v>
      </c>
      <c r="C68" s="9"/>
      <c r="D68" s="10"/>
      <c r="E68" s="45">
        <v>15000</v>
      </c>
      <c r="F68" s="11"/>
    </row>
    <row r="69" spans="1:7" ht="24" customHeight="1">
      <c r="A69" s="8">
        <v>56</v>
      </c>
      <c r="B69" s="9" t="s">
        <v>408</v>
      </c>
      <c r="C69" s="9"/>
      <c r="D69" s="10"/>
      <c r="E69" s="45">
        <v>26417</v>
      </c>
      <c r="F69" s="11"/>
    </row>
    <row r="70" spans="1:7" ht="24" customHeight="1">
      <c r="A70" s="8">
        <v>57</v>
      </c>
      <c r="B70" s="9" t="s">
        <v>409</v>
      </c>
      <c r="C70" s="9"/>
      <c r="D70" s="10"/>
      <c r="E70" s="45">
        <v>1724533</v>
      </c>
      <c r="F70" s="11"/>
    </row>
    <row r="71" spans="1:7" ht="24" customHeight="1">
      <c r="A71" s="8">
        <v>58</v>
      </c>
      <c r="B71" s="9" t="s">
        <v>368</v>
      </c>
      <c r="C71" s="9"/>
      <c r="D71" s="10"/>
      <c r="E71" s="45">
        <v>15165</v>
      </c>
      <c r="F71" s="11"/>
    </row>
    <row r="72" spans="1:7" ht="24" customHeight="1">
      <c r="A72" s="8">
        <v>59</v>
      </c>
      <c r="B72" s="9" t="s">
        <v>410</v>
      </c>
      <c r="C72" s="9"/>
      <c r="D72" s="10"/>
      <c r="E72" s="45">
        <v>2512</v>
      </c>
      <c r="F72" s="11"/>
    </row>
    <row r="73" spans="1:7" ht="24" customHeight="1">
      <c r="A73" s="8">
        <v>60</v>
      </c>
      <c r="B73" s="9" t="s">
        <v>411</v>
      </c>
      <c r="C73" s="9"/>
      <c r="D73" s="10"/>
      <c r="E73" s="45">
        <v>6052</v>
      </c>
      <c r="F73" s="11"/>
    </row>
    <row r="74" spans="1:7" ht="24" customHeight="1">
      <c r="A74" s="8">
        <v>61</v>
      </c>
      <c r="B74" s="9" t="s">
        <v>412</v>
      </c>
      <c r="C74" s="9"/>
      <c r="D74" s="10"/>
      <c r="E74" s="45">
        <v>22305</v>
      </c>
      <c r="F74" s="11"/>
    </row>
    <row r="75" spans="1:7" ht="24" customHeight="1">
      <c r="A75" s="8">
        <v>62</v>
      </c>
      <c r="B75" s="9" t="s">
        <v>413</v>
      </c>
      <c r="C75" s="9"/>
      <c r="D75" s="10"/>
      <c r="E75" s="45">
        <v>17593</v>
      </c>
      <c r="F75" s="11"/>
    </row>
    <row r="76" spans="1:7" ht="24" customHeight="1">
      <c r="A76" s="8">
        <v>63</v>
      </c>
      <c r="B76" s="9" t="s">
        <v>414</v>
      </c>
      <c r="C76" s="9"/>
      <c r="D76" s="10"/>
      <c r="E76" s="45">
        <v>636384</v>
      </c>
      <c r="F76" s="11"/>
    </row>
    <row r="77" spans="1:7" ht="24" customHeight="1" thickBot="1">
      <c r="A77" s="8">
        <v>64</v>
      </c>
      <c r="B77" s="9" t="s">
        <v>415</v>
      </c>
      <c r="C77" s="9"/>
      <c r="D77" s="10"/>
      <c r="E77" s="45">
        <v>21163</v>
      </c>
      <c r="F77" s="11"/>
    </row>
    <row r="78" spans="1:7" ht="24" customHeight="1" thickBot="1">
      <c r="A78" s="16"/>
      <c r="B78" s="64" t="s">
        <v>155</v>
      </c>
      <c r="C78" s="65"/>
      <c r="D78" s="66"/>
      <c r="E78" s="18">
        <f>SUM(E66:E77)</f>
        <v>4785609</v>
      </c>
      <c r="F78" s="12"/>
    </row>
    <row r="79" spans="1:7" ht="24" customHeight="1">
      <c r="A79" s="53"/>
      <c r="B79" s="39"/>
      <c r="C79" s="39"/>
      <c r="D79" s="39"/>
      <c r="E79" s="40"/>
      <c r="F79" s="9"/>
    </row>
    <row r="80" spans="1:7" ht="24" customHeight="1">
      <c r="A80" s="53"/>
      <c r="B80" s="39"/>
      <c r="C80" s="39"/>
      <c r="D80" s="39"/>
      <c r="E80" s="40"/>
      <c r="F80" s="9"/>
    </row>
    <row r="81" spans="1:6" ht="24" customHeight="1">
      <c r="A81" s="53"/>
      <c r="B81" s="39"/>
      <c r="C81" s="39"/>
      <c r="D81" s="39"/>
      <c r="E81" s="40"/>
      <c r="F81" s="9"/>
    </row>
    <row r="82" spans="1:6" ht="24" customHeight="1">
      <c r="A82" s="53"/>
      <c r="B82" s="39"/>
      <c r="C82" s="39"/>
      <c r="D82" s="63" t="s">
        <v>116</v>
      </c>
      <c r="E82" s="63"/>
      <c r="F82" s="63"/>
    </row>
    <row r="83" spans="1:6" ht="24" customHeight="1">
      <c r="A83" s="56"/>
      <c r="B83" s="39"/>
      <c r="C83" s="39"/>
      <c r="D83" s="57"/>
      <c r="E83" s="57"/>
      <c r="F83" s="57"/>
    </row>
  </sheetData>
  <mergeCells count="15">
    <mergeCell ref="A33:F33"/>
    <mergeCell ref="A1:F1"/>
    <mergeCell ref="A2:F2"/>
    <mergeCell ref="B3:D3"/>
    <mergeCell ref="B31:D31"/>
    <mergeCell ref="A32:F32"/>
    <mergeCell ref="B34:D34"/>
    <mergeCell ref="B35:D35"/>
    <mergeCell ref="B62:D62"/>
    <mergeCell ref="A63:F63"/>
    <mergeCell ref="A64:F64"/>
    <mergeCell ref="B65:D65"/>
    <mergeCell ref="B66:D66"/>
    <mergeCell ref="B78:D78"/>
    <mergeCell ref="D82:F82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54"/>
  <sheetViews>
    <sheetView topLeftCell="A16" workbookViewId="0">
      <selection activeCell="F78" sqref="F78"/>
    </sheetView>
  </sheetViews>
  <sheetFormatPr defaultRowHeight="24" customHeight="1"/>
  <cols>
    <col min="1" max="1" width="6.5" style="2" customWidth="1"/>
    <col min="2" max="3" width="9" style="2"/>
    <col min="4" max="4" width="19.25" style="2" customWidth="1"/>
    <col min="5" max="5" width="20.125" style="2" customWidth="1"/>
    <col min="6" max="6" width="13.5" style="2" customWidth="1"/>
    <col min="7" max="7" width="18.625" style="2" customWidth="1"/>
    <col min="8" max="10" width="9" style="2"/>
    <col min="11" max="11" width="11.375" style="2" bestFit="1" customWidth="1"/>
    <col min="12" max="12" width="9" style="2"/>
    <col min="13" max="13" width="11.375" style="2" bestFit="1" customWidth="1"/>
    <col min="14" max="16384" width="9" style="2"/>
  </cols>
  <sheetData>
    <row r="1" spans="1:10" ht="24" customHeight="1">
      <c r="A1" s="58" t="s">
        <v>369</v>
      </c>
      <c r="B1" s="58"/>
      <c r="C1" s="58"/>
      <c r="D1" s="58"/>
      <c r="E1" s="58"/>
      <c r="F1" s="58"/>
    </row>
    <row r="2" spans="1:10" ht="24" customHeight="1" thickBot="1">
      <c r="A2" s="59" t="s">
        <v>117</v>
      </c>
      <c r="B2" s="59"/>
      <c r="C2" s="59"/>
      <c r="D2" s="59"/>
      <c r="E2" s="59"/>
      <c r="F2" s="59"/>
    </row>
    <row r="3" spans="1:10" ht="24" customHeight="1" thickBot="1">
      <c r="A3" s="16" t="s">
        <v>2</v>
      </c>
      <c r="B3" s="60" t="s">
        <v>3</v>
      </c>
      <c r="C3" s="61"/>
      <c r="D3" s="62"/>
      <c r="E3" s="16" t="s">
        <v>0</v>
      </c>
      <c r="F3" s="16" t="s">
        <v>1</v>
      </c>
    </row>
    <row r="4" spans="1:10" ht="24" customHeight="1">
      <c r="A4" s="8">
        <v>1</v>
      </c>
      <c r="B4" s="9" t="s">
        <v>224</v>
      </c>
      <c r="C4" s="9"/>
      <c r="D4" s="10"/>
      <c r="E4" s="1">
        <v>450941</v>
      </c>
      <c r="F4" s="11"/>
    </row>
    <row r="5" spans="1:10" ht="24" customHeight="1">
      <c r="A5" s="8">
        <v>2</v>
      </c>
      <c r="B5" s="9" t="s">
        <v>224</v>
      </c>
      <c r="C5" s="9"/>
      <c r="D5" s="10"/>
      <c r="E5" s="1">
        <v>531444</v>
      </c>
      <c r="F5" s="11"/>
      <c r="G5" s="9"/>
      <c r="H5" s="9"/>
      <c r="I5" s="9"/>
      <c r="J5" s="21"/>
    </row>
    <row r="6" spans="1:10" ht="24" customHeight="1">
      <c r="A6" s="8">
        <v>3</v>
      </c>
      <c r="B6" s="9" t="s">
        <v>224</v>
      </c>
      <c r="C6" s="9"/>
      <c r="D6" s="10"/>
      <c r="E6" s="1">
        <v>401940</v>
      </c>
      <c r="F6" s="11"/>
    </row>
    <row r="7" spans="1:10" ht="24" customHeight="1">
      <c r="A7" s="8">
        <v>4</v>
      </c>
      <c r="B7" s="9" t="s">
        <v>224</v>
      </c>
      <c r="C7" s="9"/>
      <c r="D7" s="10"/>
      <c r="E7" s="1">
        <v>702811</v>
      </c>
      <c r="F7" s="11"/>
    </row>
    <row r="8" spans="1:10" ht="24" customHeight="1">
      <c r="A8" s="8">
        <v>5</v>
      </c>
      <c r="B8" s="9" t="s">
        <v>224</v>
      </c>
      <c r="C8" s="9"/>
      <c r="D8" s="10"/>
      <c r="E8" s="1">
        <v>694120</v>
      </c>
      <c r="F8" s="11"/>
    </row>
    <row r="9" spans="1:10" ht="24" customHeight="1">
      <c r="A9" s="8">
        <v>6</v>
      </c>
      <c r="B9" s="9" t="s">
        <v>224</v>
      </c>
      <c r="C9" s="9"/>
      <c r="D9" s="10"/>
      <c r="E9" s="1">
        <v>364916</v>
      </c>
      <c r="F9" s="11"/>
      <c r="G9" s="14"/>
    </row>
    <row r="10" spans="1:10" ht="24" customHeight="1">
      <c r="A10" s="8">
        <v>7</v>
      </c>
      <c r="B10" s="9" t="s">
        <v>224</v>
      </c>
      <c r="C10" s="9"/>
      <c r="D10" s="10"/>
      <c r="E10" s="1">
        <v>395788</v>
      </c>
      <c r="F10" s="11"/>
    </row>
    <row r="11" spans="1:10" ht="24" customHeight="1">
      <c r="A11" s="8">
        <v>8</v>
      </c>
      <c r="B11" s="9" t="s">
        <v>167</v>
      </c>
      <c r="C11" s="9"/>
      <c r="D11" s="10"/>
      <c r="E11" s="1">
        <v>177000</v>
      </c>
      <c r="F11" s="11"/>
    </row>
    <row r="12" spans="1:10" ht="24" customHeight="1">
      <c r="A12" s="8">
        <v>9</v>
      </c>
      <c r="B12" s="9" t="s">
        <v>176</v>
      </c>
      <c r="C12" s="9"/>
      <c r="D12" s="10"/>
      <c r="E12" s="1">
        <v>385900</v>
      </c>
      <c r="F12" s="11"/>
    </row>
    <row r="13" spans="1:10" ht="24" customHeight="1">
      <c r="A13" s="8">
        <v>10</v>
      </c>
      <c r="B13" s="9" t="s">
        <v>163</v>
      </c>
      <c r="C13" s="9"/>
      <c r="D13" s="10"/>
      <c r="E13" s="1">
        <v>72000</v>
      </c>
      <c r="F13" s="11"/>
    </row>
    <row r="14" spans="1:10" ht="24" customHeight="1">
      <c r="A14" s="8">
        <v>11</v>
      </c>
      <c r="B14" s="9" t="s">
        <v>216</v>
      </c>
      <c r="C14" s="9"/>
      <c r="D14" s="10"/>
      <c r="E14" s="1">
        <v>70400</v>
      </c>
      <c r="F14" s="11"/>
    </row>
    <row r="15" spans="1:10" ht="24" customHeight="1">
      <c r="A15" s="8">
        <v>12</v>
      </c>
      <c r="B15" s="9" t="s">
        <v>216</v>
      </c>
      <c r="C15" s="9"/>
      <c r="D15" s="10"/>
      <c r="E15" s="1">
        <v>498100</v>
      </c>
      <c r="F15" s="11"/>
      <c r="G15" s="14"/>
    </row>
    <row r="16" spans="1:10" ht="24" customHeight="1">
      <c r="A16" s="8">
        <v>13</v>
      </c>
      <c r="B16" s="9" t="s">
        <v>174</v>
      </c>
      <c r="C16" s="9"/>
      <c r="D16" s="10"/>
      <c r="E16" s="1">
        <v>300000</v>
      </c>
      <c r="F16" s="11"/>
    </row>
    <row r="17" spans="1:7" ht="24" customHeight="1">
      <c r="A17" s="8">
        <v>14</v>
      </c>
      <c r="B17" s="9" t="s">
        <v>184</v>
      </c>
      <c r="C17" s="9"/>
      <c r="D17" s="10"/>
      <c r="E17" s="1">
        <v>480200</v>
      </c>
      <c r="F17" s="11"/>
    </row>
    <row r="18" spans="1:7" ht="24" customHeight="1">
      <c r="A18" s="8">
        <v>15</v>
      </c>
      <c r="B18" s="9" t="s">
        <v>185</v>
      </c>
      <c r="C18" s="9"/>
      <c r="D18" s="10"/>
      <c r="E18" s="15">
        <v>166900</v>
      </c>
      <c r="F18" s="11"/>
    </row>
    <row r="19" spans="1:7" ht="24" customHeight="1">
      <c r="A19" s="8">
        <v>16</v>
      </c>
      <c r="B19" s="9" t="s">
        <v>172</v>
      </c>
      <c r="C19" s="9"/>
      <c r="D19" s="10"/>
      <c r="E19" s="1">
        <v>299950</v>
      </c>
      <c r="F19" s="11"/>
      <c r="G19" s="14"/>
    </row>
    <row r="20" spans="1:7" ht="24" customHeight="1">
      <c r="A20" s="8">
        <v>17</v>
      </c>
      <c r="B20" s="9" t="s">
        <v>223</v>
      </c>
      <c r="C20" s="9"/>
      <c r="D20" s="10"/>
      <c r="E20" s="1">
        <v>122055</v>
      </c>
      <c r="F20" s="11"/>
    </row>
    <row r="21" spans="1:7" ht="24" customHeight="1">
      <c r="A21" s="8">
        <v>18</v>
      </c>
      <c r="B21" s="9" t="s">
        <v>175</v>
      </c>
      <c r="C21" s="9"/>
      <c r="D21" s="10"/>
      <c r="E21" s="1">
        <v>123200</v>
      </c>
      <c r="F21" s="11"/>
    </row>
    <row r="22" spans="1:7" ht="24" customHeight="1">
      <c r="A22" s="8">
        <v>19</v>
      </c>
      <c r="B22" s="9" t="s">
        <v>175</v>
      </c>
      <c r="C22" s="9"/>
      <c r="D22" s="10"/>
      <c r="E22" s="1">
        <v>52800</v>
      </c>
      <c r="F22" s="11"/>
    </row>
    <row r="23" spans="1:7" ht="24" customHeight="1">
      <c r="A23" s="8">
        <v>20</v>
      </c>
      <c r="B23" s="9" t="s">
        <v>223</v>
      </c>
      <c r="C23" s="9"/>
      <c r="D23" s="10"/>
      <c r="E23" s="1">
        <v>120225</v>
      </c>
      <c r="F23" s="11"/>
    </row>
    <row r="24" spans="1:7" ht="24" customHeight="1">
      <c r="A24" s="8">
        <v>21</v>
      </c>
      <c r="B24" s="9" t="s">
        <v>216</v>
      </c>
      <c r="C24" s="9"/>
      <c r="D24" s="10"/>
      <c r="E24" s="1">
        <v>55200</v>
      </c>
      <c r="F24" s="11"/>
      <c r="G24" s="14"/>
    </row>
    <row r="25" spans="1:7" ht="24" customHeight="1">
      <c r="A25" s="8">
        <v>22</v>
      </c>
      <c r="B25" s="9" t="s">
        <v>372</v>
      </c>
      <c r="C25" s="9"/>
      <c r="D25" s="10"/>
      <c r="E25" s="1">
        <v>105400</v>
      </c>
      <c r="F25" s="11"/>
    </row>
    <row r="26" spans="1:7" ht="24" customHeight="1">
      <c r="A26" s="8">
        <v>23</v>
      </c>
      <c r="B26" s="9" t="s">
        <v>373</v>
      </c>
      <c r="C26" s="9"/>
      <c r="D26" s="10"/>
      <c r="E26" s="1">
        <v>54800</v>
      </c>
      <c r="F26" s="11"/>
    </row>
    <row r="27" spans="1:7" ht="24" customHeight="1">
      <c r="A27" s="8">
        <v>24</v>
      </c>
      <c r="B27" s="9" t="s">
        <v>187</v>
      </c>
      <c r="C27" s="9"/>
      <c r="D27" s="10"/>
      <c r="E27" s="1">
        <v>283800</v>
      </c>
      <c r="F27" s="11"/>
      <c r="G27" s="14"/>
    </row>
    <row r="28" spans="1:7" ht="24" customHeight="1">
      <c r="A28" s="8">
        <v>25</v>
      </c>
      <c r="B28" s="9" t="s">
        <v>187</v>
      </c>
      <c r="C28" s="9"/>
      <c r="D28" s="10"/>
      <c r="E28" s="1">
        <v>257400</v>
      </c>
      <c r="F28" s="11"/>
    </row>
    <row r="29" spans="1:7" ht="24" customHeight="1">
      <c r="A29" s="8">
        <v>26</v>
      </c>
      <c r="B29" s="9" t="s">
        <v>186</v>
      </c>
      <c r="C29" s="9"/>
      <c r="D29" s="10"/>
      <c r="E29" s="1">
        <v>335900</v>
      </c>
      <c r="F29" s="11"/>
    </row>
    <row r="30" spans="1:7" ht="24" customHeight="1" thickBot="1">
      <c r="A30" s="8">
        <v>27</v>
      </c>
      <c r="B30" s="9" t="s">
        <v>168</v>
      </c>
      <c r="C30" s="9"/>
      <c r="D30" s="10"/>
      <c r="E30" s="1">
        <v>87600</v>
      </c>
      <c r="F30" s="11"/>
    </row>
    <row r="31" spans="1:7" ht="24" customHeight="1" thickBot="1">
      <c r="A31" s="12"/>
      <c r="B31" s="60" t="s">
        <v>100</v>
      </c>
      <c r="C31" s="61"/>
      <c r="D31" s="62"/>
      <c r="E31" s="13">
        <f>SUM(E4:E30)</f>
        <v>7590790</v>
      </c>
      <c r="F31" s="12"/>
    </row>
    <row r="32" spans="1:7" ht="24" customHeight="1">
      <c r="A32" s="59" t="s">
        <v>369</v>
      </c>
      <c r="B32" s="59"/>
      <c r="C32" s="59"/>
      <c r="D32" s="59"/>
      <c r="E32" s="59"/>
      <c r="F32" s="59"/>
    </row>
    <row r="33" spans="1:7" ht="24" customHeight="1" thickBot="1">
      <c r="A33" s="59" t="s">
        <v>117</v>
      </c>
      <c r="B33" s="59"/>
      <c r="C33" s="59"/>
      <c r="D33" s="59"/>
      <c r="E33" s="59"/>
      <c r="F33" s="59"/>
    </row>
    <row r="34" spans="1:7" ht="24" customHeight="1" thickBot="1">
      <c r="A34" s="16" t="s">
        <v>2</v>
      </c>
      <c r="B34" s="60" t="s">
        <v>3</v>
      </c>
      <c r="C34" s="61"/>
      <c r="D34" s="62"/>
      <c r="E34" s="16" t="s">
        <v>0</v>
      </c>
      <c r="F34" s="16" t="s">
        <v>1</v>
      </c>
    </row>
    <row r="35" spans="1:7" ht="24" customHeight="1" thickBot="1">
      <c r="A35" s="16"/>
      <c r="B35" s="60" t="s">
        <v>30</v>
      </c>
      <c r="C35" s="61"/>
      <c r="D35" s="62"/>
      <c r="E35" s="13">
        <f>E31</f>
        <v>7590790</v>
      </c>
      <c r="F35" s="12"/>
    </row>
    <row r="36" spans="1:7" ht="24" customHeight="1">
      <c r="A36" s="8">
        <v>28</v>
      </c>
      <c r="B36" s="9" t="s">
        <v>217</v>
      </c>
      <c r="C36" s="9"/>
      <c r="D36" s="10"/>
      <c r="E36" s="1">
        <v>70400</v>
      </c>
      <c r="F36" s="11"/>
    </row>
    <row r="37" spans="1:7" ht="24" customHeight="1">
      <c r="A37" s="8">
        <v>29</v>
      </c>
      <c r="B37" s="9" t="s">
        <v>217</v>
      </c>
      <c r="C37" s="9"/>
      <c r="D37" s="10"/>
      <c r="E37" s="1">
        <v>70400</v>
      </c>
      <c r="F37" s="11"/>
      <c r="G37" s="14"/>
    </row>
    <row r="38" spans="1:7" ht="24" customHeight="1">
      <c r="A38" s="8">
        <v>30</v>
      </c>
      <c r="B38" s="9" t="s">
        <v>359</v>
      </c>
      <c r="C38" s="9"/>
      <c r="D38" s="10"/>
      <c r="E38" s="1">
        <v>180450</v>
      </c>
      <c r="F38" s="11"/>
    </row>
    <row r="39" spans="1:7" ht="24" customHeight="1">
      <c r="A39" s="8">
        <v>31</v>
      </c>
      <c r="B39" s="9" t="s">
        <v>219</v>
      </c>
      <c r="C39" s="9"/>
      <c r="D39" s="10"/>
      <c r="E39" s="1">
        <v>12400</v>
      </c>
      <c r="F39" s="11"/>
    </row>
    <row r="40" spans="1:7" ht="24" customHeight="1">
      <c r="A40" s="8">
        <v>32</v>
      </c>
      <c r="B40" s="9" t="s">
        <v>220</v>
      </c>
      <c r="C40" s="9"/>
      <c r="D40" s="10"/>
      <c r="E40" s="1">
        <v>105750</v>
      </c>
      <c r="F40" s="11"/>
    </row>
    <row r="41" spans="1:7" ht="24" customHeight="1">
      <c r="A41" s="8">
        <v>33</v>
      </c>
      <c r="B41" s="9" t="s">
        <v>179</v>
      </c>
      <c r="C41" s="9"/>
      <c r="D41" s="10"/>
      <c r="E41" s="1">
        <v>153600</v>
      </c>
      <c r="F41" s="11"/>
    </row>
    <row r="42" spans="1:7" ht="24" customHeight="1">
      <c r="A42" s="8">
        <v>34</v>
      </c>
      <c r="B42" s="9" t="s">
        <v>357</v>
      </c>
      <c r="C42" s="9"/>
      <c r="D42" s="10"/>
      <c r="E42" s="1">
        <v>48000</v>
      </c>
      <c r="F42" s="11"/>
    </row>
    <row r="43" spans="1:7" ht="24" customHeight="1">
      <c r="A43" s="8">
        <v>35</v>
      </c>
      <c r="B43" s="9" t="s">
        <v>184</v>
      </c>
      <c r="C43" s="9"/>
      <c r="D43" s="10"/>
      <c r="E43" s="1">
        <v>52800</v>
      </c>
      <c r="F43" s="11"/>
    </row>
    <row r="44" spans="1:7" ht="24" customHeight="1">
      <c r="A44" s="8">
        <v>36</v>
      </c>
      <c r="B44" s="9" t="s">
        <v>184</v>
      </c>
      <c r="C44" s="9"/>
      <c r="D44" s="10"/>
      <c r="E44" s="1">
        <v>70400</v>
      </c>
      <c r="F44" s="11"/>
      <c r="G44" s="14"/>
    </row>
    <row r="45" spans="1:7" ht="24" customHeight="1">
      <c r="A45" s="8">
        <v>37</v>
      </c>
      <c r="B45" s="9" t="s">
        <v>358</v>
      </c>
      <c r="C45" s="9"/>
      <c r="D45" s="10"/>
      <c r="E45" s="1">
        <v>22100</v>
      </c>
      <c r="F45" s="11"/>
    </row>
    <row r="46" spans="1:7" ht="24" customHeight="1">
      <c r="A46" s="8">
        <v>38</v>
      </c>
      <c r="B46" s="9" t="s">
        <v>351</v>
      </c>
      <c r="C46" s="9"/>
      <c r="D46" s="10"/>
      <c r="E46" s="1">
        <v>20400</v>
      </c>
      <c r="F46" s="11"/>
    </row>
    <row r="47" spans="1:7" ht="24" customHeight="1">
      <c r="A47" s="8">
        <v>39</v>
      </c>
      <c r="B47" s="9" t="s">
        <v>163</v>
      </c>
      <c r="C47" s="9"/>
      <c r="D47" s="10"/>
      <c r="E47" s="1">
        <v>35200</v>
      </c>
      <c r="F47" s="11"/>
    </row>
    <row r="48" spans="1:7" ht="24" customHeight="1">
      <c r="A48" s="8">
        <v>40</v>
      </c>
      <c r="B48" s="9" t="s">
        <v>349</v>
      </c>
      <c r="C48" s="9"/>
      <c r="D48" s="10"/>
      <c r="E48" s="1">
        <v>506600</v>
      </c>
      <c r="F48" s="11"/>
    </row>
    <row r="49" spans="1:7" ht="24" customHeight="1">
      <c r="A49" s="8">
        <v>41</v>
      </c>
      <c r="B49" s="9" t="s">
        <v>179</v>
      </c>
      <c r="C49" s="9"/>
      <c r="D49" s="10"/>
      <c r="E49" s="1">
        <v>22400</v>
      </c>
      <c r="F49" s="11"/>
    </row>
    <row r="50" spans="1:7" ht="24" customHeight="1">
      <c r="A50" s="8">
        <v>42</v>
      </c>
      <c r="B50" s="9" t="s">
        <v>179</v>
      </c>
      <c r="C50" s="9"/>
      <c r="D50" s="10"/>
      <c r="E50" s="1">
        <v>26600</v>
      </c>
      <c r="F50" s="11"/>
    </row>
    <row r="51" spans="1:7" ht="24" customHeight="1">
      <c r="A51" s="8">
        <v>43</v>
      </c>
      <c r="B51" s="9" t="s">
        <v>179</v>
      </c>
      <c r="C51" s="9"/>
      <c r="D51" s="10"/>
      <c r="E51" s="1">
        <v>27000</v>
      </c>
      <c r="F51" s="11"/>
    </row>
    <row r="52" spans="1:7" ht="24" customHeight="1">
      <c r="A52" s="8">
        <v>44</v>
      </c>
      <c r="B52" s="9" t="s">
        <v>179</v>
      </c>
      <c r="C52" s="9"/>
      <c r="D52" s="10"/>
      <c r="E52" s="1">
        <v>26000</v>
      </c>
      <c r="F52" s="11"/>
      <c r="G52" s="14"/>
    </row>
    <row r="53" spans="1:7" ht="24" customHeight="1">
      <c r="A53" s="8">
        <v>45</v>
      </c>
      <c r="B53" s="9" t="s">
        <v>179</v>
      </c>
      <c r="C53" s="9"/>
      <c r="D53" s="10"/>
      <c r="E53" s="1">
        <v>32600</v>
      </c>
      <c r="F53" s="11"/>
    </row>
    <row r="54" spans="1:7" ht="24" customHeight="1">
      <c r="A54" s="8">
        <v>46</v>
      </c>
      <c r="B54" s="9" t="s">
        <v>170</v>
      </c>
      <c r="C54" s="9"/>
      <c r="D54" s="10"/>
      <c r="E54" s="1">
        <v>36000</v>
      </c>
      <c r="F54" s="11"/>
    </row>
    <row r="55" spans="1:7" ht="24" customHeight="1">
      <c r="A55" s="8">
        <v>47</v>
      </c>
      <c r="B55" s="9" t="s">
        <v>165</v>
      </c>
      <c r="C55" s="9"/>
      <c r="D55" s="10"/>
      <c r="E55" s="1">
        <v>124000</v>
      </c>
      <c r="F55" s="11"/>
    </row>
    <row r="56" spans="1:7" ht="24" customHeight="1">
      <c r="A56" s="8">
        <v>48</v>
      </c>
      <c r="B56" s="9" t="s">
        <v>181</v>
      </c>
      <c r="C56" s="9"/>
      <c r="D56" s="10"/>
      <c r="E56" s="1">
        <v>55200</v>
      </c>
      <c r="F56" s="11"/>
    </row>
    <row r="57" spans="1:7" ht="24" customHeight="1">
      <c r="A57" s="8">
        <v>49</v>
      </c>
      <c r="B57" s="9" t="s">
        <v>161</v>
      </c>
      <c r="C57" s="9"/>
      <c r="D57" s="10"/>
      <c r="E57" s="1">
        <v>17600</v>
      </c>
      <c r="F57" s="11"/>
    </row>
    <row r="58" spans="1:7" ht="24" customHeight="1">
      <c r="A58" s="8">
        <v>50</v>
      </c>
      <c r="B58" s="9" t="s">
        <v>158</v>
      </c>
      <c r="C58" s="9"/>
      <c r="D58" s="10"/>
      <c r="E58" s="1">
        <v>17600</v>
      </c>
      <c r="F58" s="11"/>
    </row>
    <row r="59" spans="1:7" ht="24" customHeight="1">
      <c r="A59" s="8">
        <v>51</v>
      </c>
      <c r="B59" s="9" t="s">
        <v>171</v>
      </c>
      <c r="C59" s="9"/>
      <c r="D59" s="10"/>
      <c r="E59" s="1">
        <v>72000</v>
      </c>
      <c r="F59" s="11"/>
    </row>
    <row r="60" spans="1:7" ht="24" customHeight="1">
      <c r="A60" s="8">
        <v>52</v>
      </c>
      <c r="B60" s="9" t="s">
        <v>182</v>
      </c>
      <c r="C60" s="9"/>
      <c r="D60" s="10"/>
      <c r="E60" s="1">
        <v>48000</v>
      </c>
      <c r="F60" s="11"/>
    </row>
    <row r="61" spans="1:7" ht="24" customHeight="1" thickBot="1">
      <c r="A61" s="8">
        <v>53</v>
      </c>
      <c r="B61" s="9" t="s">
        <v>159</v>
      </c>
      <c r="C61" s="9"/>
      <c r="D61" s="10"/>
      <c r="E61" s="1">
        <v>40800</v>
      </c>
      <c r="F61" s="11"/>
    </row>
    <row r="62" spans="1:7" ht="24" customHeight="1" thickBot="1">
      <c r="A62" s="12"/>
      <c r="B62" s="60" t="s">
        <v>100</v>
      </c>
      <c r="C62" s="61"/>
      <c r="D62" s="62"/>
      <c r="E62" s="13">
        <f>SUM(E35:E61)</f>
        <v>9485090</v>
      </c>
      <c r="F62" s="12"/>
    </row>
    <row r="63" spans="1:7" ht="24" customHeight="1">
      <c r="A63" s="58" t="s">
        <v>370</v>
      </c>
      <c r="B63" s="58"/>
      <c r="C63" s="58"/>
      <c r="D63" s="58"/>
      <c r="E63" s="58"/>
      <c r="F63" s="58"/>
    </row>
    <row r="64" spans="1:7" ht="22.5" customHeight="1" thickBot="1">
      <c r="A64" s="59" t="s">
        <v>117</v>
      </c>
      <c r="B64" s="59"/>
      <c r="C64" s="59"/>
      <c r="D64" s="59"/>
      <c r="E64" s="59"/>
      <c r="F64" s="59"/>
    </row>
    <row r="65" spans="1:7" ht="24" customHeight="1" thickBot="1">
      <c r="A65" s="52" t="s">
        <v>2</v>
      </c>
      <c r="B65" s="60" t="s">
        <v>3</v>
      </c>
      <c r="C65" s="61"/>
      <c r="D65" s="62"/>
      <c r="E65" s="16" t="s">
        <v>0</v>
      </c>
      <c r="F65" s="16" t="s">
        <v>1</v>
      </c>
    </row>
    <row r="66" spans="1:7" ht="24" customHeight="1" thickBot="1">
      <c r="A66" s="16"/>
      <c r="B66" s="60" t="s">
        <v>30</v>
      </c>
      <c r="C66" s="61"/>
      <c r="D66" s="62"/>
      <c r="E66" s="13">
        <f>E62</f>
        <v>9485090</v>
      </c>
      <c r="F66" s="7"/>
    </row>
    <row r="67" spans="1:7" ht="24" customHeight="1">
      <c r="A67" s="3">
        <v>54</v>
      </c>
      <c r="B67" s="9" t="s">
        <v>327</v>
      </c>
      <c r="C67" s="9"/>
      <c r="D67" s="10"/>
      <c r="E67" s="45">
        <v>28800</v>
      </c>
      <c r="F67" s="7"/>
      <c r="G67" s="14"/>
    </row>
    <row r="68" spans="1:7" ht="24" customHeight="1">
      <c r="A68" s="8">
        <v>55</v>
      </c>
      <c r="B68" s="9" t="s">
        <v>374</v>
      </c>
      <c r="C68" s="9"/>
      <c r="D68" s="10"/>
      <c r="E68" s="45">
        <v>7050</v>
      </c>
      <c r="F68" s="11"/>
      <c r="G68" s="14"/>
    </row>
    <row r="69" spans="1:7" ht="24" customHeight="1">
      <c r="A69" s="8">
        <v>56</v>
      </c>
      <c r="B69" s="9" t="s">
        <v>162</v>
      </c>
      <c r="C69" s="9"/>
      <c r="D69" s="10"/>
      <c r="E69" s="45">
        <v>17600</v>
      </c>
      <c r="F69" s="11"/>
    </row>
    <row r="70" spans="1:7" ht="24" customHeight="1">
      <c r="A70" s="8">
        <v>57</v>
      </c>
      <c r="B70" s="9" t="s">
        <v>186</v>
      </c>
      <c r="C70" s="9"/>
      <c r="D70" s="10"/>
      <c r="E70" s="45">
        <v>3900</v>
      </c>
      <c r="F70" s="11"/>
    </row>
    <row r="71" spans="1:7" ht="24" customHeight="1">
      <c r="A71" s="8">
        <v>58</v>
      </c>
      <c r="B71" s="9" t="s">
        <v>374</v>
      </c>
      <c r="C71" s="9"/>
      <c r="D71" s="10"/>
      <c r="E71" s="45">
        <v>6600</v>
      </c>
      <c r="F71" s="11"/>
      <c r="G71" s="14"/>
    </row>
    <row r="72" spans="1:7" ht="24" customHeight="1">
      <c r="A72" s="8">
        <v>59</v>
      </c>
      <c r="B72" s="9" t="s">
        <v>374</v>
      </c>
      <c r="C72" s="9"/>
      <c r="D72" s="10"/>
      <c r="E72" s="45">
        <v>6600</v>
      </c>
      <c r="F72" s="11"/>
    </row>
    <row r="73" spans="1:7" ht="24" customHeight="1">
      <c r="A73" s="8">
        <v>60</v>
      </c>
      <c r="B73" s="9" t="s">
        <v>177</v>
      </c>
      <c r="C73" s="9"/>
      <c r="D73" s="10"/>
      <c r="E73" s="45">
        <v>67200</v>
      </c>
      <c r="F73" s="11"/>
      <c r="G73" s="14"/>
    </row>
    <row r="74" spans="1:7" ht="24" customHeight="1">
      <c r="A74" s="8">
        <v>61</v>
      </c>
      <c r="B74" s="9" t="s">
        <v>163</v>
      </c>
      <c r="C74" s="9"/>
      <c r="D74" s="10"/>
      <c r="E74" s="45">
        <v>409550</v>
      </c>
      <c r="F74" s="11"/>
    </row>
    <row r="75" spans="1:7" ht="24" customHeight="1" thickBot="1">
      <c r="A75" s="8">
        <v>62</v>
      </c>
      <c r="B75" s="9" t="s">
        <v>175</v>
      </c>
      <c r="C75" s="9"/>
      <c r="D75" s="10"/>
      <c r="E75" s="45">
        <v>1308850</v>
      </c>
      <c r="F75" s="11"/>
    </row>
    <row r="76" spans="1:7" ht="24" customHeight="1" thickBot="1">
      <c r="A76" s="16"/>
      <c r="B76" s="64" t="s">
        <v>155</v>
      </c>
      <c r="C76" s="65"/>
      <c r="D76" s="66"/>
      <c r="E76" s="18">
        <f>SUM(E66:E75)</f>
        <v>11341240</v>
      </c>
      <c r="F76" s="12"/>
    </row>
    <row r="77" spans="1:7" ht="24" customHeight="1">
      <c r="A77" s="54"/>
      <c r="B77" s="39"/>
      <c r="C77" s="39"/>
      <c r="D77" s="39"/>
      <c r="E77" s="40"/>
      <c r="F77" s="9"/>
    </row>
    <row r="78" spans="1:7" ht="24" customHeight="1">
      <c r="A78" s="54"/>
      <c r="B78" s="39"/>
      <c r="C78" s="39"/>
      <c r="D78" s="39"/>
      <c r="E78" s="40"/>
      <c r="F78" s="9"/>
    </row>
    <row r="79" spans="1:7" ht="24" customHeight="1">
      <c r="A79" s="54"/>
      <c r="B79" s="39"/>
      <c r="C79" s="39"/>
      <c r="D79" s="39"/>
      <c r="E79" s="40"/>
      <c r="F79" s="9"/>
    </row>
    <row r="80" spans="1:7" ht="24" customHeight="1">
      <c r="A80" s="54"/>
      <c r="B80" s="39"/>
      <c r="C80" s="39"/>
      <c r="D80" s="63" t="s">
        <v>116</v>
      </c>
      <c r="E80" s="63"/>
      <c r="F80" s="63"/>
    </row>
    <row r="81" spans="1:6" ht="24" customHeight="1">
      <c r="A81" s="54"/>
      <c r="B81" s="39"/>
      <c r="C81" s="39"/>
      <c r="D81" s="39"/>
      <c r="E81" s="40"/>
      <c r="F81" s="9"/>
    </row>
    <row r="82" spans="1:6" ht="24" customHeight="1">
      <c r="A82" s="54"/>
      <c r="B82" s="39"/>
      <c r="C82" s="39"/>
      <c r="D82" s="39"/>
      <c r="E82" s="40"/>
      <c r="F82" s="9"/>
    </row>
    <row r="83" spans="1:6" ht="24" customHeight="1">
      <c r="A83" s="54"/>
      <c r="B83" s="39"/>
      <c r="C83" s="39"/>
      <c r="D83" s="39"/>
      <c r="E83" s="40"/>
      <c r="F83" s="9"/>
    </row>
    <row r="84" spans="1:6" ht="24" customHeight="1">
      <c r="A84" s="54"/>
      <c r="B84" s="39"/>
      <c r="C84" s="39"/>
      <c r="D84" s="39"/>
      <c r="E84" s="40"/>
      <c r="F84" s="9"/>
    </row>
    <row r="85" spans="1:6" ht="24" customHeight="1">
      <c r="A85" s="54"/>
      <c r="B85" s="39"/>
      <c r="C85" s="39"/>
      <c r="D85" s="39"/>
      <c r="E85" s="40"/>
      <c r="F85" s="9"/>
    </row>
    <row r="86" spans="1:6" ht="24" customHeight="1">
      <c r="A86" s="54"/>
      <c r="B86" s="39"/>
      <c r="C86" s="39"/>
      <c r="D86" s="39"/>
      <c r="E86" s="40"/>
      <c r="F86" s="9"/>
    </row>
    <row r="87" spans="1:6" ht="24" customHeight="1">
      <c r="A87" s="54"/>
      <c r="B87" s="39"/>
      <c r="C87" s="39"/>
      <c r="D87" s="39"/>
      <c r="E87" s="40"/>
      <c r="F87" s="9"/>
    </row>
    <row r="88" spans="1:6" ht="24" customHeight="1">
      <c r="A88" s="54"/>
      <c r="B88" s="39"/>
      <c r="C88" s="39"/>
      <c r="D88" s="39"/>
      <c r="E88" s="40"/>
      <c r="F88" s="9"/>
    </row>
    <row r="89" spans="1:6" ht="24" customHeight="1">
      <c r="A89" s="54"/>
      <c r="B89" s="39"/>
      <c r="C89" s="39"/>
      <c r="D89" s="39"/>
      <c r="E89" s="40"/>
      <c r="F89" s="9"/>
    </row>
    <row r="90" spans="1:6" ht="24" customHeight="1">
      <c r="A90" s="54"/>
      <c r="B90" s="39"/>
      <c r="C90" s="39"/>
      <c r="D90" s="39"/>
      <c r="E90" s="40"/>
      <c r="F90" s="9"/>
    </row>
    <row r="91" spans="1:6" ht="24" customHeight="1">
      <c r="A91" s="54"/>
      <c r="B91" s="39"/>
      <c r="C91" s="39"/>
      <c r="D91" s="39"/>
      <c r="E91" s="40"/>
      <c r="F91" s="9"/>
    </row>
    <row r="92" spans="1:6" ht="24" customHeight="1">
      <c r="A92" s="54"/>
      <c r="B92" s="39"/>
      <c r="C92" s="39"/>
      <c r="D92" s="39"/>
      <c r="E92" s="40"/>
      <c r="F92" s="9"/>
    </row>
    <row r="93" spans="1:6" ht="24" customHeight="1">
      <c r="A93" s="54"/>
      <c r="B93" s="39"/>
      <c r="C93" s="39"/>
      <c r="D93" s="39"/>
      <c r="E93" s="40"/>
      <c r="F93" s="9"/>
    </row>
    <row r="94" spans="1:6" ht="24" customHeight="1">
      <c r="A94" s="58" t="s">
        <v>367</v>
      </c>
      <c r="B94" s="58"/>
      <c r="C94" s="58"/>
      <c r="D94" s="58"/>
      <c r="E94" s="58"/>
      <c r="F94" s="58"/>
    </row>
    <row r="95" spans="1:6" ht="24" customHeight="1" thickBot="1">
      <c r="A95" s="59" t="s">
        <v>117</v>
      </c>
      <c r="B95" s="59"/>
      <c r="C95" s="59"/>
      <c r="D95" s="59"/>
      <c r="E95" s="59"/>
      <c r="F95" s="59"/>
    </row>
    <row r="96" spans="1:6" ht="24" customHeight="1" thickBot="1">
      <c r="A96" s="16" t="s">
        <v>2</v>
      </c>
      <c r="B96" s="60" t="s">
        <v>3</v>
      </c>
      <c r="C96" s="61"/>
      <c r="D96" s="62"/>
      <c r="E96" s="16" t="s">
        <v>0</v>
      </c>
      <c r="F96" s="16" t="s">
        <v>1</v>
      </c>
    </row>
    <row r="97" spans="1:7" ht="24" customHeight="1" thickBot="1">
      <c r="A97" s="16"/>
      <c r="B97" s="60" t="s">
        <v>30</v>
      </c>
      <c r="C97" s="61"/>
      <c r="D97" s="62"/>
      <c r="E97" s="13">
        <f>E76</f>
        <v>11341240</v>
      </c>
      <c r="F97" s="12"/>
    </row>
    <row r="98" spans="1:7" ht="24" customHeight="1">
      <c r="A98" s="8">
        <v>80</v>
      </c>
      <c r="B98" s="9"/>
      <c r="C98" s="9"/>
      <c r="D98" s="10"/>
      <c r="E98" s="45"/>
      <c r="F98" s="7"/>
    </row>
    <row r="99" spans="1:7" ht="24" customHeight="1">
      <c r="A99" s="8">
        <v>81</v>
      </c>
      <c r="B99" s="9"/>
      <c r="C99" s="9"/>
      <c r="D99" s="10"/>
      <c r="E99" s="45"/>
      <c r="F99" s="11"/>
      <c r="G99" s="14"/>
    </row>
    <row r="100" spans="1:7" ht="24" customHeight="1">
      <c r="A100" s="8">
        <v>82</v>
      </c>
      <c r="B100" s="9"/>
      <c r="C100" s="9"/>
      <c r="D100" s="10"/>
      <c r="E100" s="48"/>
      <c r="F100" s="11"/>
    </row>
    <row r="101" spans="1:7" ht="24" customHeight="1">
      <c r="A101" s="8">
        <v>83</v>
      </c>
      <c r="B101" s="9"/>
      <c r="C101" s="9"/>
      <c r="D101" s="10"/>
      <c r="E101" s="45"/>
      <c r="F101" s="11"/>
    </row>
    <row r="102" spans="1:7" ht="24" customHeight="1">
      <c r="A102" s="8">
        <v>84</v>
      </c>
      <c r="B102" s="9"/>
      <c r="C102" s="9"/>
      <c r="D102" s="10"/>
      <c r="E102" s="45"/>
      <c r="F102" s="11"/>
    </row>
    <row r="103" spans="1:7" ht="24" customHeight="1">
      <c r="A103" s="8">
        <v>85</v>
      </c>
      <c r="B103" s="9"/>
      <c r="C103" s="9"/>
      <c r="D103" s="10"/>
      <c r="E103" s="45"/>
      <c r="F103" s="11"/>
    </row>
    <row r="104" spans="1:7" ht="24" customHeight="1">
      <c r="A104" s="8">
        <v>86</v>
      </c>
      <c r="B104" s="9"/>
      <c r="C104" s="9"/>
      <c r="D104" s="10"/>
      <c r="E104" s="45"/>
      <c r="F104" s="11"/>
    </row>
    <row r="105" spans="1:7" ht="24" customHeight="1">
      <c r="A105" s="8">
        <v>87</v>
      </c>
      <c r="B105" s="9"/>
      <c r="C105" s="9"/>
      <c r="D105" s="10"/>
      <c r="E105" s="45"/>
      <c r="F105" s="11"/>
    </row>
    <row r="106" spans="1:7" ht="24" customHeight="1">
      <c r="A106" s="8">
        <v>88</v>
      </c>
      <c r="B106" s="9"/>
      <c r="C106" s="9"/>
      <c r="D106" s="10"/>
      <c r="E106" s="45"/>
      <c r="F106" s="11"/>
    </row>
    <row r="107" spans="1:7" ht="24" customHeight="1">
      <c r="A107" s="8">
        <v>89</v>
      </c>
      <c r="B107" s="9"/>
      <c r="C107" s="9"/>
      <c r="D107" s="10"/>
      <c r="E107" s="45"/>
      <c r="F107" s="11"/>
    </row>
    <row r="108" spans="1:7" ht="24" customHeight="1">
      <c r="A108" s="8">
        <v>90</v>
      </c>
      <c r="B108" s="9"/>
      <c r="C108" s="9"/>
      <c r="D108" s="10"/>
      <c r="E108" s="45"/>
      <c r="F108" s="11"/>
      <c r="G108" s="14"/>
    </row>
    <row r="109" spans="1:7" ht="24" customHeight="1">
      <c r="A109" s="8">
        <v>91</v>
      </c>
      <c r="B109" s="9"/>
      <c r="C109" s="9"/>
      <c r="D109" s="10"/>
      <c r="E109" s="45"/>
      <c r="F109" s="11"/>
      <c r="G109" s="14"/>
    </row>
    <row r="110" spans="1:7" ht="24" customHeight="1">
      <c r="A110" s="8">
        <v>92</v>
      </c>
      <c r="B110" s="9"/>
      <c r="C110" s="9"/>
      <c r="D110" s="10"/>
      <c r="E110" s="45"/>
      <c r="F110" s="11"/>
    </row>
    <row r="111" spans="1:7" ht="24" customHeight="1">
      <c r="A111" s="8">
        <v>93</v>
      </c>
      <c r="B111" s="9"/>
      <c r="C111" s="9"/>
      <c r="D111" s="10"/>
      <c r="E111" s="45"/>
      <c r="F111" s="11"/>
    </row>
    <row r="112" spans="1:7" ht="24" customHeight="1">
      <c r="A112" s="8">
        <v>94</v>
      </c>
      <c r="B112" s="9"/>
      <c r="C112" s="9"/>
      <c r="D112" s="10"/>
      <c r="E112" s="45"/>
      <c r="F112" s="11"/>
    </row>
    <row r="113" spans="1:7" ht="24" customHeight="1">
      <c r="A113" s="8">
        <v>95</v>
      </c>
      <c r="B113" s="9"/>
      <c r="C113" s="9"/>
      <c r="D113" s="10"/>
      <c r="E113" s="45"/>
      <c r="F113" s="11"/>
    </row>
    <row r="114" spans="1:7" ht="24" customHeight="1">
      <c r="A114" s="8">
        <v>96</v>
      </c>
      <c r="B114" s="9"/>
      <c r="C114" s="9"/>
      <c r="D114" s="10"/>
      <c r="E114" s="45"/>
      <c r="F114" s="11"/>
      <c r="G114" s="14"/>
    </row>
    <row r="115" spans="1:7" ht="24" customHeight="1">
      <c r="A115" s="8">
        <v>97</v>
      </c>
      <c r="B115" s="9"/>
      <c r="C115" s="9"/>
      <c r="D115" s="10"/>
      <c r="E115" s="45"/>
      <c r="F115" s="11"/>
    </row>
    <row r="116" spans="1:7" ht="24" customHeight="1">
      <c r="A116" s="8">
        <v>98</v>
      </c>
      <c r="B116" s="9"/>
      <c r="C116" s="9"/>
      <c r="D116" s="10"/>
      <c r="E116" s="45"/>
      <c r="F116" s="11"/>
    </row>
    <row r="117" spans="1:7" ht="24" customHeight="1">
      <c r="A117" s="8">
        <v>99</v>
      </c>
      <c r="B117" s="9"/>
      <c r="C117" s="9"/>
      <c r="D117" s="10"/>
      <c r="E117" s="48"/>
      <c r="F117" s="11"/>
    </row>
    <row r="118" spans="1:7" ht="24" customHeight="1">
      <c r="A118" s="8">
        <v>100</v>
      </c>
      <c r="B118" s="9"/>
      <c r="C118" s="9"/>
      <c r="D118" s="10"/>
      <c r="E118" s="48"/>
      <c r="F118" s="11"/>
    </row>
    <row r="119" spans="1:7" ht="24" customHeight="1">
      <c r="A119" s="8">
        <v>101</v>
      </c>
      <c r="B119" s="9"/>
      <c r="C119" s="9"/>
      <c r="D119" s="10"/>
      <c r="E119" s="48"/>
      <c r="F119" s="11"/>
    </row>
    <row r="120" spans="1:7" ht="24" customHeight="1">
      <c r="A120" s="8">
        <v>102</v>
      </c>
      <c r="B120" s="9"/>
      <c r="C120" s="9"/>
      <c r="D120" s="10"/>
      <c r="E120" s="45"/>
      <c r="F120" s="11"/>
      <c r="G120" s="14"/>
    </row>
    <row r="121" spans="1:7" ht="24" customHeight="1">
      <c r="A121" s="8">
        <v>103</v>
      </c>
      <c r="B121" s="9"/>
      <c r="C121" s="9"/>
      <c r="D121" s="10"/>
      <c r="E121" s="45"/>
      <c r="F121" s="11"/>
    </row>
    <row r="122" spans="1:7" ht="24" customHeight="1">
      <c r="A122" s="8">
        <v>104</v>
      </c>
      <c r="B122" s="9"/>
      <c r="C122" s="9"/>
      <c r="D122" s="10"/>
      <c r="E122" s="45"/>
      <c r="F122" s="11"/>
    </row>
    <row r="123" spans="1:7" ht="24" customHeight="1" thickBot="1">
      <c r="A123" s="8">
        <v>105</v>
      </c>
      <c r="B123" s="9"/>
      <c r="C123" s="9"/>
      <c r="D123" s="10"/>
      <c r="E123" s="45"/>
      <c r="F123" s="46"/>
    </row>
    <row r="124" spans="1:7" ht="24" customHeight="1" thickBot="1">
      <c r="A124" s="12"/>
      <c r="B124" s="60" t="s">
        <v>100</v>
      </c>
      <c r="C124" s="61"/>
      <c r="D124" s="62"/>
      <c r="E124" s="13">
        <f>SUM(E97:E123)</f>
        <v>11341240</v>
      </c>
      <c r="F124" s="12"/>
    </row>
    <row r="125" spans="1:7" ht="24" customHeight="1">
      <c r="A125" s="58" t="s">
        <v>366</v>
      </c>
      <c r="B125" s="58"/>
      <c r="C125" s="58"/>
      <c r="D125" s="58"/>
      <c r="E125" s="58"/>
      <c r="F125" s="58"/>
    </row>
    <row r="126" spans="1:7" ht="24" customHeight="1" thickBot="1">
      <c r="A126" s="59" t="s">
        <v>117</v>
      </c>
      <c r="B126" s="59"/>
      <c r="C126" s="59"/>
      <c r="D126" s="59"/>
      <c r="E126" s="59"/>
      <c r="F126" s="59"/>
    </row>
    <row r="127" spans="1:7" ht="24" customHeight="1" thickBot="1">
      <c r="A127" s="16" t="s">
        <v>2</v>
      </c>
      <c r="B127" s="60" t="s">
        <v>3</v>
      </c>
      <c r="C127" s="61"/>
      <c r="D127" s="62"/>
      <c r="E127" s="16" t="s">
        <v>0</v>
      </c>
      <c r="F127" s="16" t="s">
        <v>1</v>
      </c>
    </row>
    <row r="128" spans="1:7" ht="24" customHeight="1" thickBot="1">
      <c r="A128" s="16"/>
      <c r="B128" s="60" t="s">
        <v>30</v>
      </c>
      <c r="C128" s="61"/>
      <c r="D128" s="62"/>
      <c r="E128" s="13">
        <f>E124</f>
        <v>11341240</v>
      </c>
      <c r="F128" s="12"/>
    </row>
    <row r="129" spans="1:13" ht="24" customHeight="1">
      <c r="A129" s="8">
        <v>106</v>
      </c>
      <c r="B129" s="9"/>
      <c r="C129" s="9"/>
      <c r="D129" s="47"/>
      <c r="E129" s="1"/>
      <c r="F129" s="11"/>
    </row>
    <row r="130" spans="1:13" ht="24" customHeight="1">
      <c r="A130" s="8">
        <v>107</v>
      </c>
      <c r="B130" s="9"/>
      <c r="C130" s="9"/>
      <c r="D130" s="10"/>
      <c r="E130" s="1"/>
      <c r="F130" s="11"/>
    </row>
    <row r="131" spans="1:13" ht="24" customHeight="1">
      <c r="A131" s="8">
        <v>108</v>
      </c>
      <c r="B131" s="9"/>
      <c r="C131" s="9"/>
      <c r="D131" s="10"/>
      <c r="E131" s="1"/>
      <c r="F131" s="11"/>
    </row>
    <row r="132" spans="1:13" ht="24" customHeight="1">
      <c r="A132" s="8">
        <v>109</v>
      </c>
      <c r="B132" s="9"/>
      <c r="C132" s="9"/>
      <c r="D132" s="10"/>
      <c r="E132" s="1"/>
      <c r="F132" s="11"/>
    </row>
    <row r="133" spans="1:13" ht="24" customHeight="1">
      <c r="A133" s="8">
        <v>110</v>
      </c>
      <c r="B133" s="9"/>
      <c r="C133" s="9"/>
      <c r="D133" s="10"/>
      <c r="E133" s="1"/>
      <c r="F133" s="11"/>
    </row>
    <row r="134" spans="1:13" ht="24" customHeight="1">
      <c r="A134" s="8">
        <v>111</v>
      </c>
      <c r="B134" s="9"/>
      <c r="C134" s="9"/>
      <c r="D134" s="10"/>
      <c r="E134" s="1"/>
      <c r="F134" s="11"/>
      <c r="G134" s="14"/>
    </row>
    <row r="135" spans="1:13" ht="24" customHeight="1">
      <c r="A135" s="8">
        <v>112</v>
      </c>
      <c r="B135" s="9"/>
      <c r="C135" s="9"/>
      <c r="D135" s="10"/>
      <c r="E135" s="15"/>
      <c r="F135" s="11"/>
      <c r="G135" s="14"/>
    </row>
    <row r="136" spans="1:13" ht="24" customHeight="1">
      <c r="A136" s="8">
        <v>113</v>
      </c>
      <c r="B136" s="9"/>
      <c r="C136" s="9"/>
      <c r="D136" s="10"/>
      <c r="E136" s="1"/>
      <c r="F136" s="11"/>
      <c r="G136" s="14"/>
    </row>
    <row r="137" spans="1:13" ht="24" customHeight="1">
      <c r="A137" s="8"/>
      <c r="B137" s="9"/>
      <c r="C137" s="9"/>
      <c r="D137" s="10"/>
      <c r="E137" s="1"/>
      <c r="F137" s="11"/>
    </row>
    <row r="138" spans="1:13" ht="24" customHeight="1">
      <c r="A138" s="8"/>
      <c r="B138" s="9"/>
      <c r="C138" s="9"/>
      <c r="D138" s="10"/>
      <c r="E138" s="1"/>
      <c r="F138" s="11"/>
    </row>
    <row r="139" spans="1:13" ht="24" customHeight="1">
      <c r="A139" s="8"/>
      <c r="B139" s="9"/>
      <c r="C139" s="9"/>
      <c r="D139" s="10"/>
      <c r="E139" s="1"/>
      <c r="F139" s="11"/>
      <c r="K139" s="14"/>
      <c r="M139" s="14"/>
    </row>
    <row r="140" spans="1:13" ht="24" customHeight="1">
      <c r="A140" s="8"/>
      <c r="B140" s="9"/>
      <c r="C140" s="9"/>
      <c r="D140" s="10"/>
      <c r="E140" s="1"/>
      <c r="F140" s="11"/>
    </row>
    <row r="141" spans="1:13" ht="24" customHeight="1">
      <c r="A141" s="8"/>
      <c r="B141" s="9"/>
      <c r="C141" s="9"/>
      <c r="D141" s="10"/>
      <c r="E141" s="1"/>
      <c r="F141" s="11"/>
    </row>
    <row r="142" spans="1:13" ht="24" customHeight="1">
      <c r="A142" s="8"/>
      <c r="B142" s="9"/>
      <c r="C142" s="9"/>
      <c r="D142" s="10"/>
      <c r="E142" s="1"/>
      <c r="F142" s="11"/>
    </row>
    <row r="143" spans="1:13" ht="24" customHeight="1">
      <c r="A143" s="8"/>
      <c r="B143" s="9"/>
      <c r="C143" s="9"/>
      <c r="D143" s="10"/>
      <c r="E143" s="1"/>
      <c r="F143" s="11"/>
    </row>
    <row r="144" spans="1:13" ht="24" customHeight="1">
      <c r="A144" s="8"/>
      <c r="B144" s="9"/>
      <c r="C144" s="9"/>
      <c r="D144" s="10"/>
      <c r="E144" s="1"/>
      <c r="F144" s="11"/>
    </row>
    <row r="145" spans="1:6" ht="24" customHeight="1">
      <c r="A145" s="8"/>
      <c r="B145" s="9"/>
      <c r="C145" s="9"/>
      <c r="D145" s="10"/>
      <c r="E145" s="1"/>
      <c r="F145" s="11"/>
    </row>
    <row r="146" spans="1:6" ht="24" customHeight="1">
      <c r="A146" s="8"/>
      <c r="B146" s="9"/>
      <c r="C146" s="9"/>
      <c r="D146" s="10"/>
      <c r="E146" s="15"/>
      <c r="F146" s="11"/>
    </row>
    <row r="147" spans="1:6" ht="24" customHeight="1">
      <c r="A147" s="8"/>
      <c r="B147" s="9"/>
      <c r="C147" s="9"/>
      <c r="D147" s="10"/>
      <c r="E147" s="15"/>
      <c r="F147" s="11"/>
    </row>
    <row r="148" spans="1:6" ht="24" customHeight="1" thickBot="1">
      <c r="A148" s="8"/>
      <c r="B148" s="9"/>
      <c r="C148" s="9"/>
      <c r="D148" s="10"/>
      <c r="E148" s="15"/>
      <c r="F148" s="11"/>
    </row>
    <row r="149" spans="1:6" ht="24" customHeight="1" thickBot="1">
      <c r="A149" s="12"/>
      <c r="B149" s="60" t="s">
        <v>100</v>
      </c>
      <c r="C149" s="61"/>
      <c r="D149" s="62"/>
      <c r="E149" s="13">
        <f>SUM(E128:E148)</f>
        <v>11341240</v>
      </c>
      <c r="F149" s="12"/>
    </row>
    <row r="150" spans="1:6" ht="24" customHeight="1">
      <c r="A150" s="9"/>
      <c r="B150" s="51"/>
      <c r="C150" s="51"/>
      <c r="D150" s="51"/>
      <c r="E150" s="21"/>
      <c r="F150" s="9"/>
    </row>
    <row r="151" spans="1:6" ht="24" customHeight="1">
      <c r="A151" s="9"/>
      <c r="B151" s="51"/>
      <c r="C151" s="51"/>
      <c r="D151" s="51"/>
      <c r="E151" s="21"/>
      <c r="F151" s="9"/>
    </row>
    <row r="154" spans="1:6" ht="24" customHeight="1">
      <c r="D154" s="63" t="s">
        <v>116</v>
      </c>
      <c r="E154" s="63"/>
      <c r="F154" s="63"/>
    </row>
  </sheetData>
  <mergeCells count="26">
    <mergeCell ref="A33:F33"/>
    <mergeCell ref="A1:F1"/>
    <mergeCell ref="A2:F2"/>
    <mergeCell ref="B3:D3"/>
    <mergeCell ref="B31:D31"/>
    <mergeCell ref="A32:F32"/>
    <mergeCell ref="B97:D97"/>
    <mergeCell ref="B34:D34"/>
    <mergeCell ref="B35:D35"/>
    <mergeCell ref="B62:D62"/>
    <mergeCell ref="A63:F63"/>
    <mergeCell ref="A64:F64"/>
    <mergeCell ref="B65:D65"/>
    <mergeCell ref="B66:D66"/>
    <mergeCell ref="B76:D76"/>
    <mergeCell ref="A94:F94"/>
    <mergeCell ref="A95:F95"/>
    <mergeCell ref="B96:D96"/>
    <mergeCell ref="D80:F80"/>
    <mergeCell ref="D154:F154"/>
    <mergeCell ref="B124:D124"/>
    <mergeCell ref="A125:F125"/>
    <mergeCell ref="A126:F126"/>
    <mergeCell ref="B127:D127"/>
    <mergeCell ref="B128:D128"/>
    <mergeCell ref="B149:D149"/>
  </mergeCells>
  <pageMargins left="0.82677165354330717" right="0.23622047244094491" top="0.59055118110236227" bottom="0.59055118110236227" header="0.31496062992125984" footer="0.31496062992125984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17</vt:i4>
      </vt:variant>
    </vt:vector>
  </HeadingPairs>
  <TitlesOfParts>
    <vt:vector size="17" baseType="lpstr">
      <vt:lpstr>โอทีหมอ พย.66</vt:lpstr>
      <vt:lpstr>ฎีกา 53</vt:lpstr>
      <vt:lpstr>ฎีกา 54</vt:lpstr>
      <vt:lpstr>ฎีกา 55</vt:lpstr>
      <vt:lpstr>ฎีกา 56</vt:lpstr>
      <vt:lpstr>ฎีกา 61</vt:lpstr>
      <vt:lpstr>ฎีกา 62</vt:lpstr>
      <vt:lpstr>ฎีกา 63</vt:lpstr>
      <vt:lpstr>ฎีกา 64</vt:lpstr>
      <vt:lpstr>ฎีกา 65</vt:lpstr>
      <vt:lpstr>ฎีกา 67</vt:lpstr>
      <vt:lpstr>ค่าเดินทาง</vt:lpstr>
      <vt:lpstr>ไม่ทำเวช</vt:lpstr>
      <vt:lpstr>ค่าจ้างพกส.</vt:lpstr>
      <vt:lpstr>ลูกจ้างชั่วคราว</vt:lpstr>
      <vt:lpstr>P4P</vt:lpstr>
      <vt:lpstr>โอทีหมอ2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2026-08-25T01:56:30Z</cp:lastPrinted>
  <dcterms:created xsi:type="dcterms:W3CDTF">2022-12-24T02:39:40Z</dcterms:created>
  <dcterms:modified xsi:type="dcterms:W3CDTF">2026-09-11T04:06:30Z</dcterms:modified>
</cp:coreProperties>
</file>