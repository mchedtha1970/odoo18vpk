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ไฟฟ้า งปม." sheetId="1" r:id="rId1"/>
  </sheets>
  <definedNames>
    <definedName name="_xlnm._FilterDatabase" localSheetId="0" hidden="1">'ไฟฟ้า งปม.'!$A$5:$E$5</definedName>
    <definedName name="_xlnm.Print_Area" localSheetId="0">'ไฟฟ้า งปม.'!$A$2:$L$17</definedName>
  </definedNames>
  <calcPr calcId="124519"/>
</workbook>
</file>

<file path=xl/calcChain.xml><?xml version="1.0" encoding="utf-8"?>
<calcChain xmlns="http://schemas.openxmlformats.org/spreadsheetml/2006/main">
  <c r="I6" i="1"/>
  <c r="J6"/>
  <c r="K6" s="1"/>
  <c r="L6"/>
  <c r="I7"/>
  <c r="J7"/>
  <c r="K7" s="1"/>
  <c r="L7"/>
  <c r="I8"/>
  <c r="J8"/>
  <c r="K8" s="1"/>
  <c r="L8"/>
  <c r="I9"/>
  <c r="J9"/>
  <c r="K9" s="1"/>
  <c r="L9"/>
  <c r="I10"/>
  <c r="J10"/>
  <c r="K10" s="1"/>
  <c r="L10"/>
  <c r="I11"/>
  <c r="J11"/>
  <c r="K11" s="1"/>
  <c r="L11"/>
  <c r="I12"/>
  <c r="J12"/>
  <c r="K12" s="1"/>
  <c r="L12"/>
  <c r="I13"/>
  <c r="J13"/>
  <c r="K13" s="1"/>
  <c r="L13"/>
  <c r="I14"/>
  <c r="J14"/>
  <c r="K14"/>
  <c r="L14"/>
  <c r="I15"/>
  <c r="J15"/>
  <c r="K15" s="1"/>
  <c r="L15"/>
  <c r="I16"/>
  <c r="J16"/>
  <c r="K16" s="1"/>
  <c r="L16"/>
  <c r="I17"/>
  <c r="J17"/>
  <c r="K17" s="1"/>
  <c r="L17"/>
  <c r="D18"/>
  <c r="E18"/>
  <c r="F18"/>
  <c r="E22" s="1"/>
  <c r="G18"/>
  <c r="H18"/>
  <c r="D22"/>
  <c r="F22"/>
  <c r="G22"/>
</calcChain>
</file>

<file path=xl/sharedStrings.xml><?xml version="1.0" encoding="utf-8"?>
<sst xmlns="http://schemas.openxmlformats.org/spreadsheetml/2006/main" count="43" uniqueCount="35">
  <si>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</si>
  <si>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</si>
  <si>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</si>
  <si>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</si>
  <si>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</si>
  <si>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3431-002-0004/5(68)</t>
  </si>
  <si>
    <t>หม้อแปลงไฟฟ้า</t>
  </si>
  <si>
    <t>3431-002-0004/4(68)</t>
  </si>
  <si>
    <t>6115-005-0001/2(68)</t>
  </si>
  <si>
    <t>เครื่องกำเนิดไฟฟ้า</t>
  </si>
  <si>
    <t>6115-005-0001/1(67)</t>
  </si>
  <si>
    <t>3431-002-0004/2(67)</t>
  </si>
  <si>
    <t>3431-002-0004/167)</t>
  </si>
  <si>
    <t>5835-001-0001/1(67)</t>
  </si>
  <si>
    <t>ตู้เก็บเครื่องเสียง 12 ยูนิต พร้อมรางปลั๊ก</t>
  </si>
  <si>
    <t>3431-002-0004/1(64)</t>
  </si>
  <si>
    <t>เครื่องปั่นไฟ ขนาดไม่น้อยกว่า 5 Kva</t>
  </si>
  <si>
    <t>5820-015-0008/5-6</t>
  </si>
  <si>
    <t>ชนิด 0600001 เครื่องรับส่งระบบวิทยุ</t>
  </si>
  <si>
    <t>7730-001-0004/1(52)</t>
  </si>
  <si>
    <t>ชนิด 0600008 หม้อแปลงไฟฟ้า</t>
  </si>
  <si>
    <t>7730-001-0003/1(52)</t>
  </si>
  <si>
    <t>ชนิด 0600007 ตัวปรับกระแสไฟฟ้า</t>
  </si>
  <si>
    <t>6115-005-0004/1</t>
  </si>
  <si>
    <t>ชนิด 0600006 ชุดควบคุมการทำงานเครื่องกำเนิดไฟ้า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</si>
  <si>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</si>
  <si>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</si>
  <si>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</si>
  <si>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</si>
  <si>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</si>
  <si>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</si>
  <si>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</si>
  <si>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</si>
  <si>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ประเภทครุภัณฑ์ ไฟฟ้าและวิทยุ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</si>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</sst>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[$-101041E]d\ mmm\ yy;@"/>
  </numFmts>
  <fonts count="7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6" fillId="0" borderId="0">
      <alignment vertical="top"/>
    </xf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42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1" applyFont="1" applyFill="1"/>
    <xf numFmtId="0" fontId="2" fillId="0" borderId="0" xfId="0" applyFont="1" applyAlignment="1">
      <alignment horizontal="center"/>
    </xf>
    <xf numFmtId="43" fontId="3" fillId="0" borderId="0" xfId="1" applyFont="1"/>
    <xf numFmtId="43" fontId="3" fillId="0" borderId="0" xfId="0" applyNumberFormat="1" applyFont="1"/>
    <xf numFmtId="43" fontId="3" fillId="0" borderId="0" xfId="1" applyFont="1" applyFill="1"/>
    <xf numFmtId="43" fontId="2" fillId="2" borderId="0" xfId="2" applyFont="1" applyFill="1" applyBorder="1" applyAlignment="1">
      <alignment horizontal="center"/>
    </xf>
    <xf numFmtId="43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1" xfId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43" fontId="2" fillId="0" borderId="1" xfId="0" applyNumberFormat="1" applyFont="1" applyBorder="1"/>
    <xf numFmtId="43" fontId="2" fillId="0" borderId="2" xfId="0" applyNumberFormat="1" applyFont="1" applyBorder="1"/>
    <xf numFmtId="0" fontId="5" fillId="0" borderId="1" xfId="3" applyFont="1" applyBorder="1" applyAlignment="1">
      <alignment horizontal="center"/>
    </xf>
    <xf numFmtId="43" fontId="2" fillId="0" borderId="1" xfId="4" applyFont="1" applyFill="1" applyBorder="1"/>
    <xf numFmtId="0" fontId="2" fillId="0" borderId="1" xfId="5" applyFont="1" applyBorder="1"/>
    <xf numFmtId="0" fontId="2" fillId="0" borderId="1" xfId="6" applyFont="1" applyBorder="1"/>
    <xf numFmtId="0" fontId="5" fillId="0" borderId="1" xfId="7" applyFont="1" applyFill="1" applyBorder="1" applyAlignment="1">
      <alignment horizontal="center" vertical="center"/>
    </xf>
    <xf numFmtId="0" fontId="2" fillId="0" borderId="1" xfId="3" applyFont="1" applyBorder="1"/>
    <xf numFmtId="0" fontId="5" fillId="0" borderId="1" xfId="3" applyFont="1" applyBorder="1"/>
    <xf numFmtId="43" fontId="2" fillId="0" borderId="1" xfId="8" applyFont="1" applyBorder="1"/>
    <xf numFmtId="43" fontId="5" fillId="0" borderId="1" xfId="9" applyFont="1" applyFill="1" applyBorder="1"/>
    <xf numFmtId="14" fontId="5" fillId="0" borderId="1" xfId="3" applyNumberFormat="1" applyFont="1" applyBorder="1"/>
    <xf numFmtId="187" fontId="5" fillId="0" borderId="1" xfId="3" applyNumberFormat="1" applyFont="1" applyBorder="1" applyAlignment="1">
      <alignment horizontal="left"/>
    </xf>
    <xf numFmtId="0" fontId="5" fillId="0" borderId="1" xfId="7" applyFont="1" applyFill="1" applyBorder="1" applyAlignment="1">
      <alignment horizontal="center"/>
    </xf>
    <xf numFmtId="43" fontId="2" fillId="0" borderId="1" xfId="10" applyFont="1" applyFill="1" applyBorder="1"/>
    <xf numFmtId="0" fontId="2" fillId="0" borderId="1" xfId="11" applyFont="1" applyFill="1" applyBorder="1"/>
    <xf numFmtId="0" fontId="5" fillId="0" borderId="1" xfId="12" applyFont="1" applyBorder="1" applyAlignment="1">
      <alignment horizontal="center"/>
    </xf>
    <xf numFmtId="43" fontId="2" fillId="0" borderId="1" xfId="13" applyFont="1" applyFill="1" applyBorder="1"/>
    <xf numFmtId="0" fontId="2" fillId="0" borderId="1" xfId="12" applyFont="1" applyBorder="1"/>
    <xf numFmtId="14" fontId="5" fillId="0" borderId="1" xfId="12" applyNumberFormat="1" applyFont="1" applyBorder="1"/>
    <xf numFmtId="0" fontId="5" fillId="0" borderId="1" xfId="14" applyFont="1" applyBorder="1" applyAlignment="1">
      <alignment horizontal="left" vertical="center"/>
    </xf>
    <xf numFmtId="0" fontId="5" fillId="0" borderId="1" xfId="15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32">
    <cellStyle name="Comma" xfId="1" builtinId="3"/>
    <cellStyle name="Comma 2" xfId="13"/>
    <cellStyle name="Comma 3" xfId="16"/>
    <cellStyle name="Comma 6" xfId="17"/>
    <cellStyle name="Normal" xfId="0" builtinId="0"/>
    <cellStyle name="Normal 2" xfId="12"/>
    <cellStyle name="Normal 2 2" xfId="18"/>
    <cellStyle name="Normal 3" xfId="7"/>
    <cellStyle name="Normal 3 2" xfId="19"/>
    <cellStyle name="เครื่องหมายจุลภาค 2" xfId="2"/>
    <cellStyle name="จุลภาค 10 2" xfId="8"/>
    <cellStyle name="จุลภาค 11 3" xfId="20"/>
    <cellStyle name="จุลภาค 13" xfId="21"/>
    <cellStyle name="จุลภาค 2" xfId="9"/>
    <cellStyle name="จุลภาค 2 2" xfId="22"/>
    <cellStyle name="จุลภาค 3" xfId="10"/>
    <cellStyle name="จุลภาค 4" xfId="23"/>
    <cellStyle name="จุลภาค 5" xfId="4"/>
    <cellStyle name="ปกติ 11" xfId="24"/>
    <cellStyle name="ปกติ 12" xfId="25"/>
    <cellStyle name="ปกติ 2" xfId="15"/>
    <cellStyle name="ปกติ 2 2" xfId="26"/>
    <cellStyle name="ปกติ 2 2 2" xfId="6"/>
    <cellStyle name="ปกติ 3" xfId="14"/>
    <cellStyle name="ปกติ 3 2" xfId="27"/>
    <cellStyle name="ปกติ 4" xfId="28"/>
    <cellStyle name="ปกติ 4 2" xfId="11"/>
    <cellStyle name="ปกติ 5" xfId="29"/>
    <cellStyle name="ปกติ 5 2" xfId="30"/>
    <cellStyle name="ปกติ 6" xfId="3"/>
    <cellStyle name="ปกติ 7" xfId="5"/>
    <cellStyle name="ปกติ 8" xfId="3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L22"/>
  <sheetViews>
    <sheetView tabSelected="1" topLeftCell="A2" zoomScaleSheetLayoutView="90" workbookViewId="0">
      <selection activeCell="P12" sqref="P12"/>
    </sheetView>
  </sheetViews>
  <sheetFormatPr defaultColWidth="9" defaultRowHeight="23.25"/>
  <cols>
    <col min="1" max="1" width="9" style="1"/>
    <col min="2" max="2" width="48.25" style="1" customWidth="1"/>
    <col min="3" max="3" width="22.5" style="4" customWidth="1"/>
    <col min="4" max="4" width="14.875" style="3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41" t="s">
        <v>34</v>
      </c>
      <c r="B2" s="41"/>
      <c r="C2" s="41"/>
      <c r="D2" s="41"/>
      <c r="E2" s="41"/>
    </row>
    <row r="3" spans="1:12">
      <c r="A3" s="4"/>
      <c r="B3" s="4"/>
      <c r="D3" s="4"/>
      <c r="E3" s="4"/>
    </row>
    <row r="4" spans="1:12">
      <c r="B4" s="1" t="s">
        <v>33</v>
      </c>
      <c r="D4" s="1"/>
    </row>
    <row r="5" spans="1:12">
      <c r="A5" s="36" t="s">
        <v>32</v>
      </c>
      <c r="B5" s="36" t="s">
        <v>31</v>
      </c>
      <c r="C5" s="36" t="s">
        <v>30</v>
      </c>
      <c r="D5" s="40" t="s">
        <v>4</v>
      </c>
      <c r="E5" s="39" t="s">
        <v>29</v>
      </c>
      <c r="F5" s="38" t="s">
        <v>28</v>
      </c>
      <c r="G5" s="38" t="s">
        <v>27</v>
      </c>
      <c r="H5" s="38" t="s">
        <v>26</v>
      </c>
      <c r="I5" s="37" t="s">
        <v>28</v>
      </c>
      <c r="J5" s="37" t="s">
        <v>27</v>
      </c>
      <c r="K5" s="37" t="s">
        <v>26</v>
      </c>
      <c r="L5" s="37" t="s">
        <v>25</v>
      </c>
    </row>
    <row r="6" spans="1:12">
      <c r="A6" s="36">
        <v>1</v>
      </c>
      <c r="B6" s="35" t="s">
        <v>24</v>
      </c>
      <c r="C6" s="34" t="s">
        <v>23</v>
      </c>
      <c r="D6" s="11">
        <v>330000</v>
      </c>
      <c r="E6" s="12"/>
      <c r="F6" s="11">
        <v>0</v>
      </c>
      <c r="G6" s="11">
        <v>329999</v>
      </c>
      <c r="H6" s="11">
        <v>1</v>
      </c>
      <c r="I6" s="15">
        <f t="shared" ref="I6:I17" si="0">F6</f>
        <v>0</v>
      </c>
      <c r="J6" s="14">
        <f t="shared" ref="J6:J17" si="1">G6-F6</f>
        <v>329999</v>
      </c>
      <c r="K6" s="14">
        <f t="shared" ref="K6:K11" si="2">D6-J6</f>
        <v>1</v>
      </c>
      <c r="L6" s="14">
        <f t="shared" ref="L6:L17" si="3">I6</f>
        <v>0</v>
      </c>
    </row>
    <row r="7" spans="1:12">
      <c r="A7" s="36">
        <v>2</v>
      </c>
      <c r="B7" s="35" t="s">
        <v>22</v>
      </c>
      <c r="C7" s="34" t="s">
        <v>21</v>
      </c>
      <c r="D7" s="11">
        <v>12200</v>
      </c>
      <c r="E7" s="12"/>
      <c r="F7" s="11">
        <v>0</v>
      </c>
      <c r="G7" s="11">
        <v>12199</v>
      </c>
      <c r="H7" s="11">
        <v>1</v>
      </c>
      <c r="I7" s="15">
        <f t="shared" si="0"/>
        <v>0</v>
      </c>
      <c r="J7" s="14">
        <f t="shared" si="1"/>
        <v>12199</v>
      </c>
      <c r="K7" s="14">
        <f t="shared" si="2"/>
        <v>1</v>
      </c>
      <c r="L7" s="14">
        <f t="shared" si="3"/>
        <v>0</v>
      </c>
    </row>
    <row r="8" spans="1:12">
      <c r="A8" s="36">
        <v>3</v>
      </c>
      <c r="B8" s="35" t="s">
        <v>20</v>
      </c>
      <c r="C8" s="34" t="s">
        <v>19</v>
      </c>
      <c r="D8" s="11">
        <v>492000</v>
      </c>
      <c r="E8" s="12"/>
      <c r="F8" s="11">
        <v>0</v>
      </c>
      <c r="G8" s="11">
        <v>491999</v>
      </c>
      <c r="H8" s="11">
        <v>1</v>
      </c>
      <c r="I8" s="15">
        <f t="shared" si="0"/>
        <v>0</v>
      </c>
      <c r="J8" s="14">
        <f t="shared" si="1"/>
        <v>491999</v>
      </c>
      <c r="K8" s="14">
        <f t="shared" si="2"/>
        <v>1</v>
      </c>
      <c r="L8" s="14">
        <f t="shared" si="3"/>
        <v>0</v>
      </c>
    </row>
    <row r="9" spans="1:12">
      <c r="A9" s="36">
        <v>4</v>
      </c>
      <c r="B9" s="35" t="s">
        <v>18</v>
      </c>
      <c r="C9" s="34" t="s">
        <v>17</v>
      </c>
      <c r="D9" s="11">
        <v>60000</v>
      </c>
      <c r="E9" s="12"/>
      <c r="F9" s="11">
        <v>0</v>
      </c>
      <c r="G9" s="11">
        <v>59999</v>
      </c>
      <c r="H9" s="11">
        <v>1</v>
      </c>
      <c r="I9" s="15">
        <f t="shared" si="0"/>
        <v>0</v>
      </c>
      <c r="J9" s="14">
        <f t="shared" si="1"/>
        <v>59999</v>
      </c>
      <c r="K9" s="14">
        <f t="shared" si="2"/>
        <v>1</v>
      </c>
      <c r="L9" s="14">
        <f t="shared" si="3"/>
        <v>0</v>
      </c>
    </row>
    <row r="10" spans="1:12">
      <c r="A10" s="30">
        <v>1</v>
      </c>
      <c r="B10" s="33" t="s">
        <v>16</v>
      </c>
      <c r="C10" s="32" t="s">
        <v>15</v>
      </c>
      <c r="D10" s="31">
        <v>54000</v>
      </c>
      <c r="E10" s="30">
        <v>5</v>
      </c>
      <c r="F10" s="11">
        <v>4499</v>
      </c>
      <c r="G10" s="11">
        <v>53999</v>
      </c>
      <c r="H10" s="11">
        <v>1</v>
      </c>
      <c r="I10" s="15">
        <f t="shared" si="0"/>
        <v>4499</v>
      </c>
      <c r="J10" s="14">
        <f t="shared" si="1"/>
        <v>49500</v>
      </c>
      <c r="K10" s="14">
        <f t="shared" si="2"/>
        <v>4500</v>
      </c>
      <c r="L10" s="14">
        <f t="shared" si="3"/>
        <v>4499</v>
      </c>
    </row>
    <row r="11" spans="1:12">
      <c r="A11" s="20">
        <v>1</v>
      </c>
      <c r="B11" s="29" t="s">
        <v>14</v>
      </c>
      <c r="C11" s="29" t="s">
        <v>13</v>
      </c>
      <c r="D11" s="28">
        <v>11663</v>
      </c>
      <c r="E11" s="27">
        <v>5</v>
      </c>
      <c r="F11" s="11">
        <v>2332.6</v>
      </c>
      <c r="G11" s="11">
        <v>6220.24</v>
      </c>
      <c r="H11" s="11">
        <v>5442.76</v>
      </c>
      <c r="I11" s="15">
        <f t="shared" si="0"/>
        <v>2332.6</v>
      </c>
      <c r="J11" s="14">
        <f t="shared" si="1"/>
        <v>3887.64</v>
      </c>
      <c r="K11" s="14">
        <f t="shared" si="2"/>
        <v>7775.3600000000006</v>
      </c>
      <c r="L11" s="14">
        <f t="shared" si="3"/>
        <v>2332.6</v>
      </c>
    </row>
    <row r="12" spans="1:12">
      <c r="A12" s="20">
        <v>1</v>
      </c>
      <c r="B12" s="26" t="s">
        <v>6</v>
      </c>
      <c r="C12" s="22" t="s">
        <v>12</v>
      </c>
      <c r="D12" s="24">
        <v>488742</v>
      </c>
      <c r="E12" s="16">
        <v>5</v>
      </c>
      <c r="F12" s="11">
        <v>97748.4</v>
      </c>
      <c r="G12" s="11">
        <v>195496.8</v>
      </c>
      <c r="H12" s="11">
        <v>293245.2</v>
      </c>
      <c r="I12" s="15">
        <f t="shared" si="0"/>
        <v>97748.4</v>
      </c>
      <c r="J12" s="14">
        <f t="shared" si="1"/>
        <v>97748.4</v>
      </c>
      <c r="K12" s="14" t="e">
        <f t="shared" ref="K12:K17" si="4">C12-J12</f>
        <v>#VALUE!</v>
      </c>
      <c r="L12" s="14">
        <f t="shared" si="3"/>
        <v>97748.4</v>
      </c>
    </row>
    <row r="13" spans="1:12">
      <c r="A13" s="20">
        <v>2</v>
      </c>
      <c r="B13" s="26" t="s">
        <v>6</v>
      </c>
      <c r="C13" s="22" t="s">
        <v>11</v>
      </c>
      <c r="D13" s="24">
        <v>488742</v>
      </c>
      <c r="E13" s="16">
        <v>5</v>
      </c>
      <c r="F13" s="11">
        <v>97748.4</v>
      </c>
      <c r="G13" s="11">
        <v>195496.8</v>
      </c>
      <c r="H13" s="11">
        <v>293245.2</v>
      </c>
      <c r="I13" s="15">
        <f t="shared" si="0"/>
        <v>97748.4</v>
      </c>
      <c r="J13" s="14">
        <f t="shared" si="1"/>
        <v>97748.4</v>
      </c>
      <c r="K13" s="14" t="e">
        <f t="shared" si="4"/>
        <v>#VALUE!</v>
      </c>
      <c r="L13" s="14">
        <f t="shared" si="3"/>
        <v>97748.4</v>
      </c>
    </row>
    <row r="14" spans="1:12">
      <c r="A14" s="20">
        <v>3</v>
      </c>
      <c r="B14" s="25" t="s">
        <v>9</v>
      </c>
      <c r="C14" s="22" t="s">
        <v>10</v>
      </c>
      <c r="D14" s="24">
        <v>6664665</v>
      </c>
      <c r="E14" s="16">
        <v>15</v>
      </c>
      <c r="F14" s="11">
        <v>444311</v>
      </c>
      <c r="G14" s="11">
        <v>888622.04</v>
      </c>
      <c r="H14" s="11">
        <v>5776042.96</v>
      </c>
      <c r="I14" s="15">
        <f t="shared" si="0"/>
        <v>444311</v>
      </c>
      <c r="J14" s="14">
        <f t="shared" si="1"/>
        <v>444311.04000000004</v>
      </c>
      <c r="K14" s="14" t="e">
        <f t="shared" si="4"/>
        <v>#VALUE!</v>
      </c>
      <c r="L14" s="14">
        <f t="shared" si="3"/>
        <v>444311</v>
      </c>
    </row>
    <row r="15" spans="1:12">
      <c r="A15" s="20">
        <v>4</v>
      </c>
      <c r="B15" s="19" t="s">
        <v>9</v>
      </c>
      <c r="C15" s="18" t="s">
        <v>8</v>
      </c>
      <c r="D15" s="23">
        <v>9177798</v>
      </c>
      <c r="E15" s="16">
        <v>15</v>
      </c>
      <c r="F15" s="11">
        <v>611853.19999999995</v>
      </c>
      <c r="G15" s="11">
        <v>1121730.8999999999</v>
      </c>
      <c r="H15" s="11">
        <v>8056067.0999999996</v>
      </c>
      <c r="I15" s="15">
        <f t="shared" si="0"/>
        <v>611853.19999999995</v>
      </c>
      <c r="J15" s="14">
        <f t="shared" si="1"/>
        <v>509877.69999999995</v>
      </c>
      <c r="K15" s="14" t="e">
        <f t="shared" si="4"/>
        <v>#VALUE!</v>
      </c>
      <c r="L15" s="14">
        <f t="shared" si="3"/>
        <v>611853.19999999995</v>
      </c>
    </row>
    <row r="16" spans="1:12">
      <c r="A16" s="20">
        <v>5</v>
      </c>
      <c r="B16" s="22" t="s">
        <v>6</v>
      </c>
      <c r="C16" s="21" t="s">
        <v>7</v>
      </c>
      <c r="D16" s="17">
        <v>3038022</v>
      </c>
      <c r="E16" s="16">
        <v>5</v>
      </c>
      <c r="F16" s="11">
        <v>607604.4</v>
      </c>
      <c r="G16" s="11">
        <v>1113941.3999999999</v>
      </c>
      <c r="H16" s="11">
        <v>1924080.6</v>
      </c>
      <c r="I16" s="15">
        <f t="shared" si="0"/>
        <v>607604.4</v>
      </c>
      <c r="J16" s="14">
        <f t="shared" si="1"/>
        <v>506336.99999999988</v>
      </c>
      <c r="K16" s="14" t="e">
        <f t="shared" si="4"/>
        <v>#VALUE!</v>
      </c>
      <c r="L16" s="14">
        <f t="shared" si="3"/>
        <v>607604.4</v>
      </c>
    </row>
    <row r="17" spans="1:12">
      <c r="A17" s="20">
        <v>6</v>
      </c>
      <c r="B17" s="19" t="s">
        <v>6</v>
      </c>
      <c r="C17" s="18" t="s">
        <v>5</v>
      </c>
      <c r="D17" s="17">
        <v>3038022</v>
      </c>
      <c r="E17" s="16">
        <v>5</v>
      </c>
      <c r="F17" s="11">
        <v>607604.4</v>
      </c>
      <c r="G17" s="11">
        <v>1113941.3999999999</v>
      </c>
      <c r="H17" s="11">
        <v>1924080.6</v>
      </c>
      <c r="I17" s="15">
        <f t="shared" si="0"/>
        <v>607604.4</v>
      </c>
      <c r="J17" s="14">
        <f t="shared" si="1"/>
        <v>506336.99999999988</v>
      </c>
      <c r="K17" s="14" t="e">
        <f t="shared" si="4"/>
        <v>#VALUE!</v>
      </c>
      <c r="L17" s="14">
        <f t="shared" si="3"/>
        <v>607604.4</v>
      </c>
    </row>
    <row r="18" spans="1:12">
      <c r="A18" s="13"/>
      <c r="B18" s="13"/>
      <c r="C18" s="12"/>
      <c r="D18" s="11">
        <f>SUM(D6:D17)</f>
        <v>23855854</v>
      </c>
      <c r="E18" s="11">
        <f>SUM(E6:E17)</f>
        <v>60</v>
      </c>
      <c r="F18" s="11">
        <f>SUM(F6:F17)</f>
        <v>2473701.4</v>
      </c>
      <c r="G18" s="11">
        <f>SUM(G6:G17)</f>
        <v>5583644.5800000001</v>
      </c>
      <c r="H18" s="11">
        <f>SUM(H6:H17)</f>
        <v>18272209.419999998</v>
      </c>
    </row>
    <row r="21" spans="1:12">
      <c r="D21" s="9" t="s">
        <v>4</v>
      </c>
      <c r="E21" s="10" t="s">
        <v>3</v>
      </c>
      <c r="F21" s="9" t="s">
        <v>2</v>
      </c>
      <c r="G21" s="9" t="s">
        <v>1</v>
      </c>
    </row>
    <row r="22" spans="1:12" ht="25.5">
      <c r="C22" s="8" t="s">
        <v>0</v>
      </c>
      <c r="D22" s="7">
        <f>D18</f>
        <v>23855854</v>
      </c>
      <c r="E22" s="6">
        <f>F18</f>
        <v>2473701.4</v>
      </c>
      <c r="F22" s="5">
        <f>G18</f>
        <v>5583644.5800000001</v>
      </c>
      <c r="G22" s="5">
        <f>H18</f>
        <v>18272209.419999998</v>
      </c>
    </row>
  </sheetData>
  <autoFilter ref="A5:E5"/>
  <mergeCells count="1">
    <mergeCell ref="A2:E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ไฟฟ้า งปม.</vt:lpstr>
      <vt:lpstr>'ไฟฟ้า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2026-10-08T08:12:21Z</dcterms:created>
  <dcterms:modified xsi:type="dcterms:W3CDTF">2026-10-08T08:12:52Z</dcterms:modified>
</cp:coreProperties>
</file>