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ยานพาหนะ Interface" sheetId="2" r:id="rId1"/>
  </sheets>
  <definedNames>
    <definedName name="_xlnm._FilterDatabase" localSheetId="0" hidden="1">'ยานพาหนะ Interface'!$A$5:$E$5</definedName>
    <definedName name="_xlnm.Print_Area" localSheetId="0">'ยานพาหนะ Interface'!$A$2:$L$19</definedName>
  </definedNames>
  <calcPr calcId="124519"/>
</workbook>
</file>

<file path=xl/calcChain.xml><?xml version="1.0" encoding="utf-8"?>
<calcChain xmlns="http://schemas.openxmlformats.org/spreadsheetml/2006/main">
  <c r="I6" i="2"/>
  <c r="J6"/>
  <c r="K6" s="1"/>
  <c r="L6"/>
  <c r="I7"/>
  <c r="J7"/>
  <c r="K7" s="1"/>
  <c r="L7"/>
  <c r="I8"/>
  <c r="J8"/>
  <c r="K8" s="1"/>
  <c r="L8"/>
  <c r="I9"/>
  <c r="J9"/>
  <c r="K9" s="1"/>
  <c r="L9"/>
  <c r="I10"/>
  <c r="J10"/>
  <c r="K10" s="1"/>
  <c r="L10"/>
  <c r="I11"/>
  <c r="J11"/>
  <c r="K11" s="1"/>
  <c r="L11"/>
  <c r="I12"/>
  <c r="J12"/>
  <c r="K12" s="1"/>
  <c r="L12"/>
  <c r="I13"/>
  <c r="J13"/>
  <c r="K13" s="1"/>
  <c r="L13"/>
  <c r="I14"/>
  <c r="J14"/>
  <c r="K14" s="1"/>
  <c r="L14"/>
  <c r="I15"/>
  <c r="J15"/>
  <c r="K15" s="1"/>
  <c r="L15"/>
  <c r="I16"/>
  <c r="J16"/>
  <c r="K16" s="1"/>
  <c r="L16"/>
  <c r="I17"/>
  <c r="J17"/>
  <c r="K17" s="1"/>
  <c r="L17"/>
  <c r="I18"/>
  <c r="J18"/>
  <c r="K18" s="1"/>
  <c r="L18"/>
  <c r="I19"/>
  <c r="J19"/>
  <c r="K19" s="1"/>
  <c r="L19"/>
  <c r="D25"/>
  <c r="E25"/>
  <c r="F25"/>
  <c r="G25"/>
  <c r="H25"/>
  <c r="D29"/>
  <c r="E29"/>
  <c r="F29"/>
  <c r="G29"/>
</calcChain>
</file>

<file path=xl/sharedStrings.xml><?xml version="1.0" encoding="utf-8"?>
<sst xmlns="http://schemas.openxmlformats.org/spreadsheetml/2006/main" count="56" uniqueCount="51">
  <si>
    <t>มูลค่าสุทธิ</t>
  </si>
  <si>
    <t>ค่าเสื่อมสะสม</t>
  </si>
  <si>
    <t>ประจำปี</t>
  </si>
  <si>
    <t>มูลค่ารวม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</si>
  <si>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</si>
  <si>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</si>
  <si>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</si>
  <si>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</si>
  <si>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</si>
  <si>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</si>
  <si>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</si>
  <si>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</si>
  <si>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>ประเภทครุภัณฑ์ ยานพาหนะและขนส่ง</t>
  </si>
  <si>
    <t>รายงานค่าเสื่อมประจำปีโรงพยาบาลวชิระภูเก็ต</t>
  </si>
  <si>
    <t>2310-001-0001/2(69)</t>
  </si>
  <si>
    <t>รถพยาบาลพร้อมอุปกรณ์การช่วยชีวิตผู้ป่วยฉุกเฉิน/ทะเบียน</t>
  </si>
  <si>
    <t>2310-001-0001/1(69)</t>
  </si>
  <si>
    <t>2320-006-0011/1(69)บ</t>
  </si>
  <si>
    <t>รถสามล้อไฟฟ้า สีม่วงเหลือง</t>
  </si>
  <si>
    <t>2320-008-0003/2(68)บ</t>
  </si>
  <si>
    <t>รถยนต์สามล้อไฟฟ้า(กระบะบรรทุก)/ทะเบียน ศข 31 ภูเก็ต</t>
  </si>
  <si>
    <t>2320-001-0001/1(68)</t>
  </si>
  <si>
    <t>รถกระบะตอนครึ่ง/ทะเบียน 81-1037 ภูเก็ต</t>
  </si>
  <si>
    <t>2320-006-0011/2(67)บ</t>
  </si>
  <si>
    <t>รถไฟฟ้าสามล้อ</t>
  </si>
  <si>
    <t>2320-006-0011/1(67)บ</t>
  </si>
  <si>
    <t>รถไฟฟ้าสามล้อ 500 วัตต์ (สีส้ม)</t>
  </si>
  <si>
    <t>2310-001-0001/1(67)</t>
  </si>
  <si>
    <t>รถพยาบาลฉุกเฉิน/ทะเบียนรถ  ขท 5525 ภูเก็ต</t>
  </si>
  <si>
    <t>2340-001-0002/3(66)บ</t>
  </si>
  <si>
    <t>รถจักรยานยนต์ไฟฟ้า(สีขาว)/ทะเบียน 10-366</t>
  </si>
  <si>
    <t>2340-001-0002/2(66)บ</t>
  </si>
  <si>
    <t>รถจักยานยนต์ไฟฟ้า (สีฟ้า)/ทะเบียน 10-253</t>
  </si>
  <si>
    <t>2310-001-0001/1(66)บ</t>
  </si>
  <si>
    <t>รถพยาบาล รถตู้ /ขฉ 6364</t>
  </si>
  <si>
    <t>2340-001-0005/1(66)</t>
  </si>
  <si>
    <t>รถไฟฟ้าแบบขับเคลื่อนไฟฟ้านั่งขับพร้อมตู้สแตนเลส</t>
  </si>
  <si>
    <t>2310-001-0003/1(66)</t>
  </si>
  <si>
    <t>รถยนต์โดยสาร(รถตู้)</t>
  </si>
  <si>
    <t>2340-001-0002/1(66)</t>
  </si>
  <si>
    <t>ชนิด 0500009 รถขับเคลื่อนด้วยระบบไฟฟ้าชนิดนั่งขับ พร้อมตู้สแตนเลส</t>
  </si>
  <si>
    <t>2340-001-0002/3(65)</t>
  </si>
  <si>
    <t>ชนิด 0500009 รถขับเคลื่อนด้วยระบบไฟฟ้า</t>
  </si>
  <si>
    <t>2340-001-0002/2(65)</t>
  </si>
  <si>
    <t>ชนิด 0500009  รถขับเคลื่อนด้วยระบบไฟฟ้าชนิดนั่งขับ พร้อมตู้สแตนเลส</t>
  </si>
  <si>
    <t>2340-001-0002/1(65)</t>
  </si>
  <si>
    <t>ชนิด 0500009  รถขนของขับเคลื่อนด้วยไฟฟ้า</t>
  </si>
  <si>
    <t>2320-006-0011/2(64)</t>
  </si>
  <si>
    <t>ชนิด 0500009 รถไฟฟ้าสามล้อ</t>
  </si>
  <si>
    <t>2320-006-0011/1(64)</t>
  </si>
  <si>
    <t>ชนิด 0500009 รถไฟฟ้าสามล้อ ยี่ห้อ LION BIKE รุ่น TT S-II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</si>
</sst>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7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6" fillId="0" borderId="0">
      <alignment vertical="top"/>
    </xf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1" fillId="0" borderId="0"/>
  </cellStyleXfs>
  <cellXfs count="45">
    <xf numFmtId="0" fontId="0" fillId="0" borderId="0" xfId="0"/>
    <xf numFmtId="0" fontId="2" fillId="0" borderId="0" xfId="0" applyFont="1"/>
    <xf numFmtId="43" fontId="2" fillId="0" borderId="0" xfId="1" applyFont="1"/>
    <xf numFmtId="43" fontId="2" fillId="0" borderId="0" xfId="1" applyFont="1" applyFill="1"/>
    <xf numFmtId="43" fontId="3" fillId="0" borderId="0" xfId="1" applyFont="1"/>
    <xf numFmtId="43" fontId="3" fillId="0" borderId="0" xfId="0" applyNumberFormat="1" applyFont="1"/>
    <xf numFmtId="43" fontId="3" fillId="0" borderId="0" xfId="1" applyFont="1" applyFill="1"/>
    <xf numFmtId="43" fontId="2" fillId="2" borderId="0" xfId="2" applyFont="1" applyFill="1" applyBorder="1" applyAlignment="1">
      <alignment horizontal="center"/>
    </xf>
    <xf numFmtId="43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3" fontId="2" fillId="0" borderId="1" xfId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3" fontId="5" fillId="0" borderId="1" xfId="3" applyFont="1" applyFill="1" applyBorder="1"/>
    <xf numFmtId="43" fontId="5" fillId="0" borderId="1" xfId="10" applyFont="1" applyFill="1" applyBorder="1"/>
    <xf numFmtId="43" fontId="5" fillId="0" borderId="1" xfId="1" applyFont="1" applyFill="1" applyBorder="1"/>
    <xf numFmtId="43" fontId="5" fillId="0" borderId="1" xfId="1" applyFont="1" applyFill="1" applyBorder="1" applyAlignment="1">
      <alignment horizontal="center"/>
    </xf>
    <xf numFmtId="43" fontId="2" fillId="0" borderId="1" xfId="0" applyNumberFormat="1" applyFont="1" applyBorder="1"/>
    <xf numFmtId="43" fontId="2" fillId="0" borderId="2" xfId="0" applyNumberFormat="1" applyFont="1" applyBorder="1"/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4" applyFont="1" applyFill="1" applyBorder="1" applyAlignment="1">
      <alignment horizontal="center"/>
    </xf>
    <xf numFmtId="0" fontId="5" fillId="0" borderId="1" xfId="4" applyFont="1" applyFill="1" applyBorder="1"/>
    <xf numFmtId="0" fontId="5" fillId="0" borderId="1" xfId="14" applyFont="1" applyFill="1" applyBorder="1" applyAlignment="1">
      <alignment horizontal="center"/>
    </xf>
    <xf numFmtId="0" fontId="5" fillId="0" borderId="1" xfId="11" applyFont="1" applyFill="1" applyBorder="1" applyAlignment="1">
      <alignment horizontal="center"/>
    </xf>
    <xf numFmtId="43" fontId="5" fillId="0" borderId="1" xfId="16" applyFont="1" applyFill="1" applyBorder="1"/>
    <xf numFmtId="0" fontId="5" fillId="0" borderId="1" xfId="11" applyFont="1" applyFill="1" applyBorder="1"/>
    <xf numFmtId="1" fontId="5" fillId="0" borderId="1" xfId="11" applyNumberFormat="1" applyFont="1" applyFill="1" applyBorder="1" applyAlignment="1">
      <alignment shrinkToFit="1"/>
    </xf>
    <xf numFmtId="43" fontId="5" fillId="0" borderId="1" xfId="6" applyFont="1" applyFill="1" applyBorder="1"/>
    <xf numFmtId="0" fontId="5" fillId="0" borderId="1" xfId="7" applyFont="1" applyFill="1" applyBorder="1"/>
    <xf numFmtId="1" fontId="5" fillId="0" borderId="1" xfId="7" applyNumberFormat="1" applyFont="1" applyFill="1" applyBorder="1" applyAlignment="1">
      <alignment shrinkToFit="1"/>
    </xf>
    <xf numFmtId="0" fontId="5" fillId="0" borderId="1" xfId="9" applyFont="1" applyFill="1" applyBorder="1" applyAlignment="1">
      <alignment horizontal="center"/>
    </xf>
    <xf numFmtId="43" fontId="5" fillId="0" borderId="1" xfId="13" applyFont="1" applyFill="1" applyBorder="1"/>
    <xf numFmtId="0" fontId="5" fillId="0" borderId="1" xfId="9" applyFont="1" applyFill="1" applyBorder="1"/>
    <xf numFmtId="43" fontId="5" fillId="0" borderId="1" xfId="15" applyFont="1" applyFill="1" applyBorder="1"/>
    <xf numFmtId="0" fontId="5" fillId="0" borderId="1" xfId="5" applyFont="1" applyFill="1" applyBorder="1" applyAlignment="1">
      <alignment horizontal="center"/>
    </xf>
    <xf numFmtId="43" fontId="5" fillId="0" borderId="1" xfId="17" applyFont="1" applyFill="1" applyBorder="1"/>
    <xf numFmtId="0" fontId="5" fillId="0" borderId="1" xfId="21" applyFont="1" applyFill="1" applyBorder="1"/>
    <xf numFmtId="14" fontId="5" fillId="0" borderId="1" xfId="11" applyNumberFormat="1" applyFont="1" applyFill="1" applyBorder="1"/>
    <xf numFmtId="43" fontId="5" fillId="0" borderId="1" xfId="2" applyFont="1" applyFill="1" applyBorder="1"/>
    <xf numFmtId="14" fontId="5" fillId="0" borderId="1" xfId="11" applyNumberFormat="1" applyFont="1" applyFill="1" applyBorder="1" applyAlignment="1">
      <alignment shrinkToFit="1"/>
    </xf>
    <xf numFmtId="0" fontId="5" fillId="0" borderId="1" xfId="14" applyFont="1" applyFill="1" applyBorder="1"/>
    <xf numFmtId="14" fontId="5" fillId="0" borderId="1" xfId="14" applyNumberFormat="1" applyFont="1" applyFill="1" applyBorder="1" applyAlignment="1">
      <alignment shrinkToFit="1"/>
    </xf>
    <xf numFmtId="0" fontId="5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2">
    <cellStyle name="Comma" xfId="1" builtinId="3"/>
    <cellStyle name="Comma 2" xfId="10"/>
    <cellStyle name="Comma 3" xfId="13"/>
    <cellStyle name="Normal" xfId="0" builtinId="0"/>
    <cellStyle name="Normal 2" xfId="14"/>
    <cellStyle name="Normal 2 2" xfId="9"/>
    <cellStyle name="เครื่องหมายจุลภาค 2" xfId="2"/>
    <cellStyle name="จุลภาค 11 3" xfId="15"/>
    <cellStyle name="จุลภาค 13" xfId="6"/>
    <cellStyle name="จุลภาค 2" xfId="3"/>
    <cellStyle name="จุลภาค 2 2" xfId="16"/>
    <cellStyle name="จุลภาค 3" xfId="17"/>
    <cellStyle name="จุลภาค 4" xfId="8"/>
    <cellStyle name="ปกติ 11" xfId="18"/>
    <cellStyle name="ปกติ 12" xfId="4"/>
    <cellStyle name="ปกติ 2" xfId="19"/>
    <cellStyle name="ปกติ 2 2" xfId="20"/>
    <cellStyle name="ปกติ 3" xfId="12"/>
    <cellStyle name="ปกติ 3 2" xfId="5"/>
    <cellStyle name="ปกติ 4" xfId="11"/>
    <cellStyle name="ปกติ 7" xfId="21"/>
    <cellStyle name="ปกติ 8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P29"/>
  <sheetViews>
    <sheetView tabSelected="1" topLeftCell="A2" zoomScaleSheetLayoutView="90" workbookViewId="0">
      <selection activeCell="D30" sqref="D30"/>
    </sheetView>
  </sheetViews>
  <sheetFormatPr defaultColWidth="9" defaultRowHeight="23.25"/>
  <cols>
    <col min="1" max="1" width="9" style="1"/>
    <col min="2" max="2" width="48.25" style="1" customWidth="1"/>
    <col min="3" max="3" width="22.5" style="20" customWidth="1"/>
    <col min="4" max="4" width="14.875" style="3" customWidth="1"/>
    <col min="5" max="5" width="13.125" style="1" customWidth="1"/>
    <col min="6" max="6" width="12.25" style="2" customWidth="1"/>
    <col min="7" max="7" width="12.625" style="2" customWidth="1"/>
    <col min="8" max="8" width="11.875" style="2" customWidth="1"/>
    <col min="9" max="9" width="11.875" style="1" hidden="1" customWidth="1"/>
    <col min="10" max="11" width="12" style="1" hidden="1" customWidth="1"/>
    <col min="12" max="12" width="9" style="1" hidden="1" customWidth="1"/>
    <col min="13" max="16384" width="9" style="1"/>
  </cols>
  <sheetData>
    <row r="1" spans="1:12" hidden="1"/>
    <row r="2" spans="1:12">
      <c r="A2" s="44" t="s">
        <v>13</v>
      </c>
      <c r="B2" s="44"/>
      <c r="C2" s="44"/>
      <c r="D2" s="44"/>
      <c r="E2" s="44"/>
    </row>
    <row r="3" spans="1:12">
      <c r="A3" s="20"/>
      <c r="B3" s="20"/>
      <c r="D3" s="20"/>
      <c r="E3" s="20"/>
    </row>
    <row r="4" spans="1:12">
      <c r="B4" s="1" t="s">
        <v>12</v>
      </c>
      <c r="D4" s="1"/>
    </row>
    <row r="5" spans="1:12">
      <c r="A5" s="43" t="s">
        <v>11</v>
      </c>
      <c r="B5" s="43" t="s">
        <v>10</v>
      </c>
      <c r="C5" s="43" t="s">
        <v>9</v>
      </c>
      <c r="D5" s="16" t="s">
        <v>3</v>
      </c>
      <c r="E5" s="43" t="s">
        <v>8</v>
      </c>
      <c r="F5" s="16" t="s">
        <v>7</v>
      </c>
      <c r="G5" s="16" t="s">
        <v>6</v>
      </c>
      <c r="H5" s="16" t="s">
        <v>5</v>
      </c>
      <c r="I5" s="19" t="s">
        <v>7</v>
      </c>
      <c r="J5" s="19" t="s">
        <v>6</v>
      </c>
      <c r="K5" s="19" t="s">
        <v>5</v>
      </c>
      <c r="L5" s="19" t="s">
        <v>4</v>
      </c>
    </row>
    <row r="6" spans="1:12">
      <c r="A6" s="23">
        <v>1</v>
      </c>
      <c r="B6" s="42" t="s">
        <v>50</v>
      </c>
      <c r="C6" s="41" t="s">
        <v>49</v>
      </c>
      <c r="D6" s="14">
        <v>30000</v>
      </c>
      <c r="E6" s="23">
        <v>5</v>
      </c>
      <c r="F6" s="15">
        <v>1499</v>
      </c>
      <c r="G6" s="15">
        <v>29999</v>
      </c>
      <c r="H6" s="15">
        <v>1</v>
      </c>
      <c r="I6" s="18">
        <f t="shared" ref="I6:I19" si="0">F6</f>
        <v>1499</v>
      </c>
      <c r="J6" s="17">
        <f t="shared" ref="J6:J19" si="1">G6-F6</f>
        <v>28500</v>
      </c>
      <c r="K6" s="17">
        <f t="shared" ref="K6:K19" si="2">D6-J6</f>
        <v>1500</v>
      </c>
      <c r="L6" s="17">
        <f t="shared" ref="L6:L19" si="3">I6</f>
        <v>1499</v>
      </c>
    </row>
    <row r="7" spans="1:12">
      <c r="A7" s="23">
        <v>2</v>
      </c>
      <c r="B7" s="42" t="s">
        <v>48</v>
      </c>
      <c r="C7" s="41" t="s">
        <v>47</v>
      </c>
      <c r="D7" s="14">
        <v>25000</v>
      </c>
      <c r="E7" s="23">
        <v>5</v>
      </c>
      <c r="F7" s="15">
        <v>1248.9700000000012</v>
      </c>
      <c r="G7" s="15">
        <v>24999</v>
      </c>
      <c r="H7" s="15">
        <v>1</v>
      </c>
      <c r="I7" s="18">
        <f t="shared" si="0"/>
        <v>1248.9700000000012</v>
      </c>
      <c r="J7" s="17">
        <f t="shared" si="1"/>
        <v>23750.03</v>
      </c>
      <c r="K7" s="17">
        <f t="shared" si="2"/>
        <v>1249.9700000000012</v>
      </c>
      <c r="L7" s="17">
        <f t="shared" si="3"/>
        <v>1248.9700000000012</v>
      </c>
    </row>
    <row r="8" spans="1:12">
      <c r="A8" s="23">
        <v>3</v>
      </c>
      <c r="B8" s="40" t="s">
        <v>46</v>
      </c>
      <c r="C8" s="26" t="s">
        <v>45</v>
      </c>
      <c r="D8" s="39">
        <v>145000</v>
      </c>
      <c r="E8" s="24">
        <v>5</v>
      </c>
      <c r="F8" s="15">
        <v>7250.01</v>
      </c>
      <c r="G8" s="15">
        <v>36250.050000000003</v>
      </c>
      <c r="H8" s="15">
        <v>108749.95</v>
      </c>
      <c r="I8" s="18">
        <f t="shared" si="0"/>
        <v>7250.01</v>
      </c>
      <c r="J8" s="17">
        <f t="shared" si="1"/>
        <v>29000.04</v>
      </c>
      <c r="K8" s="17">
        <f t="shared" si="2"/>
        <v>115999.95999999999</v>
      </c>
      <c r="L8" s="17">
        <f t="shared" si="3"/>
        <v>7250.01</v>
      </c>
    </row>
    <row r="9" spans="1:12">
      <c r="A9" s="23">
        <v>4</v>
      </c>
      <c r="B9" s="40" t="s">
        <v>44</v>
      </c>
      <c r="C9" s="26" t="s">
        <v>43</v>
      </c>
      <c r="D9" s="39">
        <v>145000</v>
      </c>
      <c r="E9" s="24">
        <v>5</v>
      </c>
      <c r="F9" s="15">
        <v>7250.01</v>
      </c>
      <c r="G9" s="15">
        <v>36250.050000000003</v>
      </c>
      <c r="H9" s="15">
        <v>108749.95</v>
      </c>
      <c r="I9" s="18">
        <f t="shared" si="0"/>
        <v>7250.01</v>
      </c>
      <c r="J9" s="17">
        <f t="shared" si="1"/>
        <v>29000.04</v>
      </c>
      <c r="K9" s="17">
        <f t="shared" si="2"/>
        <v>115999.95999999999</v>
      </c>
      <c r="L9" s="17">
        <f t="shared" si="3"/>
        <v>7250.01</v>
      </c>
    </row>
    <row r="10" spans="1:12">
      <c r="A10" s="23">
        <v>5</v>
      </c>
      <c r="B10" s="40" t="s">
        <v>42</v>
      </c>
      <c r="C10" s="26" t="s">
        <v>41</v>
      </c>
      <c r="D10" s="39">
        <v>148730</v>
      </c>
      <c r="E10" s="24">
        <v>5</v>
      </c>
      <c r="F10" s="15">
        <v>2478.83</v>
      </c>
      <c r="G10" s="15">
        <v>12394.15</v>
      </c>
      <c r="H10" s="15">
        <v>136335.85</v>
      </c>
      <c r="I10" s="18">
        <f t="shared" si="0"/>
        <v>2478.83</v>
      </c>
      <c r="J10" s="17">
        <f t="shared" si="1"/>
        <v>9915.32</v>
      </c>
      <c r="K10" s="17">
        <f t="shared" si="2"/>
        <v>138814.68</v>
      </c>
      <c r="L10" s="17">
        <f t="shared" si="3"/>
        <v>2478.83</v>
      </c>
    </row>
    <row r="11" spans="1:12">
      <c r="A11" s="23">
        <v>6</v>
      </c>
      <c r="B11" s="38" t="s">
        <v>40</v>
      </c>
      <c r="C11" s="26" t="s">
        <v>39</v>
      </c>
      <c r="D11" s="13">
        <v>145000</v>
      </c>
      <c r="E11" s="24">
        <v>5</v>
      </c>
      <c r="F11" s="15">
        <v>29000</v>
      </c>
      <c r="G11" s="15">
        <v>116000</v>
      </c>
      <c r="H11" s="15">
        <v>29000</v>
      </c>
      <c r="I11" s="18">
        <f t="shared" si="0"/>
        <v>29000</v>
      </c>
      <c r="J11" s="17">
        <f t="shared" si="1"/>
        <v>87000</v>
      </c>
      <c r="K11" s="17">
        <f t="shared" si="2"/>
        <v>58000</v>
      </c>
      <c r="L11" s="17">
        <f t="shared" si="3"/>
        <v>29000</v>
      </c>
    </row>
    <row r="12" spans="1:12">
      <c r="A12" s="23">
        <v>7</v>
      </c>
      <c r="B12" s="38" t="s">
        <v>38</v>
      </c>
      <c r="C12" s="26" t="s">
        <v>37</v>
      </c>
      <c r="D12" s="13">
        <v>1480800</v>
      </c>
      <c r="E12" s="24">
        <v>5</v>
      </c>
      <c r="F12" s="15">
        <v>296160</v>
      </c>
      <c r="G12" s="15">
        <v>1036560</v>
      </c>
      <c r="H12" s="15">
        <v>444240</v>
      </c>
      <c r="I12" s="18">
        <f t="shared" si="0"/>
        <v>296160</v>
      </c>
      <c r="J12" s="17">
        <f t="shared" si="1"/>
        <v>740400</v>
      </c>
      <c r="K12" s="17">
        <f t="shared" si="2"/>
        <v>740400</v>
      </c>
      <c r="L12" s="17">
        <f t="shared" si="3"/>
        <v>296160</v>
      </c>
    </row>
    <row r="13" spans="1:12">
      <c r="A13" s="23">
        <v>8</v>
      </c>
      <c r="B13" s="38" t="s">
        <v>36</v>
      </c>
      <c r="C13" s="26" t="s">
        <v>35</v>
      </c>
      <c r="D13" s="25">
        <v>155150</v>
      </c>
      <c r="E13" s="24">
        <v>5</v>
      </c>
      <c r="F13" s="15">
        <v>31030</v>
      </c>
      <c r="G13" s="15">
        <v>100847.48999999999</v>
      </c>
      <c r="H13" s="15">
        <v>54302.510000000009</v>
      </c>
      <c r="I13" s="18">
        <f t="shared" si="0"/>
        <v>31030</v>
      </c>
      <c r="J13" s="17">
        <f t="shared" si="1"/>
        <v>69817.489999999991</v>
      </c>
      <c r="K13" s="17">
        <f t="shared" si="2"/>
        <v>85332.510000000009</v>
      </c>
      <c r="L13" s="17">
        <f t="shared" si="3"/>
        <v>31030</v>
      </c>
    </row>
    <row r="14" spans="1:12">
      <c r="A14" s="23">
        <v>9</v>
      </c>
      <c r="B14" s="38" t="s">
        <v>34</v>
      </c>
      <c r="C14" s="26" t="s">
        <v>33</v>
      </c>
      <c r="D14" s="13">
        <v>2200000</v>
      </c>
      <c r="E14" s="24">
        <v>5</v>
      </c>
      <c r="F14" s="15">
        <v>440000</v>
      </c>
      <c r="G14" s="15">
        <v>1576666.69</v>
      </c>
      <c r="H14" s="15">
        <v>623333.31000000006</v>
      </c>
      <c r="I14" s="18">
        <f t="shared" si="0"/>
        <v>440000</v>
      </c>
      <c r="J14" s="17">
        <f t="shared" si="1"/>
        <v>1136666.69</v>
      </c>
      <c r="K14" s="17">
        <f t="shared" si="2"/>
        <v>1063333.31</v>
      </c>
      <c r="L14" s="17">
        <f t="shared" si="3"/>
        <v>440000</v>
      </c>
    </row>
    <row r="15" spans="1:12">
      <c r="A15" s="23">
        <v>10</v>
      </c>
      <c r="B15" s="38" t="s">
        <v>32</v>
      </c>
      <c r="C15" s="26" t="s">
        <v>31</v>
      </c>
      <c r="D15" s="13">
        <v>64900</v>
      </c>
      <c r="E15" s="24">
        <v>5</v>
      </c>
      <c r="F15" s="15">
        <v>12980</v>
      </c>
      <c r="G15" s="15">
        <v>46511.69</v>
      </c>
      <c r="H15" s="15">
        <v>18388.309999999998</v>
      </c>
      <c r="I15" s="18">
        <f t="shared" si="0"/>
        <v>12980</v>
      </c>
      <c r="J15" s="17">
        <f t="shared" si="1"/>
        <v>33531.69</v>
      </c>
      <c r="K15" s="17">
        <f t="shared" si="2"/>
        <v>31368.309999999998</v>
      </c>
      <c r="L15" s="17">
        <f t="shared" si="3"/>
        <v>12980</v>
      </c>
    </row>
    <row r="16" spans="1:12">
      <c r="A16" s="23">
        <v>11</v>
      </c>
      <c r="B16" s="38" t="s">
        <v>30</v>
      </c>
      <c r="C16" s="26" t="s">
        <v>29</v>
      </c>
      <c r="D16" s="13">
        <v>29900</v>
      </c>
      <c r="E16" s="24">
        <v>5</v>
      </c>
      <c r="F16" s="15">
        <v>5980</v>
      </c>
      <c r="G16" s="15">
        <v>21428.309999999998</v>
      </c>
      <c r="H16" s="15">
        <v>8471.6900000000023</v>
      </c>
      <c r="I16" s="18">
        <f t="shared" si="0"/>
        <v>5980</v>
      </c>
      <c r="J16" s="17">
        <f t="shared" si="1"/>
        <v>15448.309999999998</v>
      </c>
      <c r="K16" s="17">
        <f t="shared" si="2"/>
        <v>14451.690000000002</v>
      </c>
      <c r="L16" s="17">
        <f t="shared" si="3"/>
        <v>5980</v>
      </c>
    </row>
    <row r="17" spans="1:16">
      <c r="A17" s="23">
        <v>12</v>
      </c>
      <c r="B17" s="37" t="s">
        <v>28</v>
      </c>
      <c r="C17" s="37" t="s">
        <v>27</v>
      </c>
      <c r="D17" s="36">
        <v>1336700</v>
      </c>
      <c r="E17" s="35">
        <v>5</v>
      </c>
      <c r="F17" s="15">
        <v>267340</v>
      </c>
      <c r="G17" s="15">
        <v>712906.64</v>
      </c>
      <c r="H17" s="15">
        <v>623793.36</v>
      </c>
      <c r="I17" s="18">
        <f t="shared" si="0"/>
        <v>267340</v>
      </c>
      <c r="J17" s="17">
        <f t="shared" si="1"/>
        <v>445566.64</v>
      </c>
      <c r="K17" s="17">
        <f t="shared" si="2"/>
        <v>891133.36</v>
      </c>
      <c r="L17" s="17">
        <f t="shared" si="3"/>
        <v>267340</v>
      </c>
    </row>
    <row r="18" spans="1:16">
      <c r="A18" s="23">
        <v>13</v>
      </c>
      <c r="B18" s="33" t="s">
        <v>26</v>
      </c>
      <c r="C18" s="33" t="s">
        <v>25</v>
      </c>
      <c r="D18" s="34">
        <v>27900</v>
      </c>
      <c r="E18" s="31">
        <v>5</v>
      </c>
      <c r="F18" s="15">
        <v>5580</v>
      </c>
      <c r="G18" s="15">
        <v>13020</v>
      </c>
      <c r="H18" s="15">
        <v>14880</v>
      </c>
      <c r="I18" s="18">
        <f t="shared" si="0"/>
        <v>5580</v>
      </c>
      <c r="J18" s="17">
        <f t="shared" si="1"/>
        <v>7440</v>
      </c>
      <c r="K18" s="17">
        <f t="shared" si="2"/>
        <v>20460</v>
      </c>
      <c r="L18" s="17">
        <f t="shared" si="3"/>
        <v>5580</v>
      </c>
    </row>
    <row r="19" spans="1:16">
      <c r="A19" s="23">
        <v>14</v>
      </c>
      <c r="B19" s="33" t="s">
        <v>24</v>
      </c>
      <c r="C19" s="33" t="s">
        <v>23</v>
      </c>
      <c r="D19" s="32">
        <v>29900</v>
      </c>
      <c r="E19" s="31">
        <v>5</v>
      </c>
      <c r="F19" s="15">
        <v>5980</v>
      </c>
      <c r="G19" s="15">
        <v>13454.99</v>
      </c>
      <c r="H19" s="15">
        <v>16445.010000000002</v>
      </c>
      <c r="I19" s="18">
        <f t="shared" si="0"/>
        <v>5980</v>
      </c>
      <c r="J19" s="17">
        <f t="shared" si="1"/>
        <v>7474.99</v>
      </c>
      <c r="K19" s="17">
        <f t="shared" si="2"/>
        <v>22425.010000000002</v>
      </c>
      <c r="L19" s="17">
        <f t="shared" si="3"/>
        <v>5980</v>
      </c>
      <c r="P19" s="20"/>
    </row>
    <row r="20" spans="1:16">
      <c r="A20" s="23">
        <v>15</v>
      </c>
      <c r="B20" s="30" t="s">
        <v>22</v>
      </c>
      <c r="C20" s="29" t="s">
        <v>21</v>
      </c>
      <c r="D20" s="28">
        <v>823000</v>
      </c>
      <c r="E20" s="24">
        <v>5</v>
      </c>
      <c r="F20" s="15">
        <v>164600</v>
      </c>
      <c r="G20" s="15">
        <v>301766.7</v>
      </c>
      <c r="H20" s="15">
        <v>521233.3</v>
      </c>
    </row>
    <row r="21" spans="1:16">
      <c r="A21" s="23">
        <v>16</v>
      </c>
      <c r="B21" s="27" t="s">
        <v>20</v>
      </c>
      <c r="C21" s="26" t="s">
        <v>19</v>
      </c>
      <c r="D21" s="25">
        <v>342400</v>
      </c>
      <c r="E21" s="24">
        <v>5</v>
      </c>
      <c r="F21" s="15">
        <v>68480</v>
      </c>
      <c r="G21" s="15">
        <v>102720.02</v>
      </c>
      <c r="H21" s="15">
        <v>239679.97999999998</v>
      </c>
    </row>
    <row r="22" spans="1:16">
      <c r="A22" s="23">
        <v>17</v>
      </c>
      <c r="B22" s="22" t="s">
        <v>18</v>
      </c>
      <c r="C22" s="22" t="s">
        <v>17</v>
      </c>
      <c r="D22" s="13">
        <v>31000</v>
      </c>
      <c r="E22" s="21">
        <v>5</v>
      </c>
      <c r="F22" s="15">
        <v>3616.6899999999996</v>
      </c>
      <c r="G22" s="15">
        <v>3616.6899999999996</v>
      </c>
      <c r="H22" s="15">
        <v>27383.31</v>
      </c>
    </row>
    <row r="23" spans="1:16">
      <c r="A23" s="23">
        <v>18</v>
      </c>
      <c r="B23" s="22" t="s">
        <v>15</v>
      </c>
      <c r="C23" s="22" t="s">
        <v>16</v>
      </c>
      <c r="D23" s="13">
        <v>3550000</v>
      </c>
      <c r="E23" s="21">
        <v>5</v>
      </c>
      <c r="F23" s="15">
        <v>59166.67</v>
      </c>
      <c r="G23" s="15">
        <v>59166.67</v>
      </c>
      <c r="H23" s="15">
        <v>3490833.33</v>
      </c>
    </row>
    <row r="24" spans="1:16">
      <c r="A24" s="23">
        <v>19</v>
      </c>
      <c r="B24" s="22" t="s">
        <v>15</v>
      </c>
      <c r="C24" s="22" t="s">
        <v>14</v>
      </c>
      <c r="D24" s="13">
        <v>3550000</v>
      </c>
      <c r="E24" s="21">
        <v>5</v>
      </c>
      <c r="F24" s="15">
        <v>59166.67</v>
      </c>
      <c r="G24" s="15">
        <v>59166.67</v>
      </c>
      <c r="H24" s="15">
        <v>3490833.33</v>
      </c>
    </row>
    <row r="25" spans="1:16">
      <c r="A25" s="12"/>
      <c r="B25" s="12"/>
      <c r="C25" s="11"/>
      <c r="D25" s="10">
        <f>SUM(D6:D24)</f>
        <v>14260380</v>
      </c>
      <c r="E25" s="10">
        <f>SUM(E6:E24)</f>
        <v>95</v>
      </c>
      <c r="F25" s="10">
        <f>SUM(F6:F24)</f>
        <v>1468806.8499999999</v>
      </c>
      <c r="G25" s="10">
        <f>SUM(G6:G24)</f>
        <v>4303724.8100000005</v>
      </c>
      <c r="H25" s="10">
        <f>SUM(H6:H24)</f>
        <v>9956655.1899999995</v>
      </c>
    </row>
    <row r="28" spans="1:16">
      <c r="D28" s="8" t="s">
        <v>3</v>
      </c>
      <c r="E28" s="9" t="s">
        <v>2</v>
      </c>
      <c r="F28" s="8" t="s">
        <v>1</v>
      </c>
      <c r="G28" s="8" t="s">
        <v>0</v>
      </c>
    </row>
    <row r="29" spans="1:16" ht="25.5">
      <c r="C29" s="7"/>
      <c r="D29" s="6">
        <f>D25</f>
        <v>14260380</v>
      </c>
      <c r="E29" s="5">
        <f>F25</f>
        <v>1468806.8499999999</v>
      </c>
      <c r="F29" s="4">
        <f>G25</f>
        <v>4303724.8100000005</v>
      </c>
      <c r="G29" s="4">
        <f>H25</f>
        <v>9956655.1899999995</v>
      </c>
    </row>
  </sheetData>
  <autoFilter ref="A5:E5"/>
  <mergeCells count="1">
    <mergeCell ref="A2:E2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ยานพาหนะ Interface</vt:lpstr>
      <vt:lpstr>'ยานพาหนะ Interface'!Print_Area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2026-10-08T07:50:53Z</dcterms:created>
  <dcterms:modified xsi:type="dcterms:W3CDTF">2026-10-10T04:17:29Z</dcterms:modified>
</cp:coreProperties>
</file>