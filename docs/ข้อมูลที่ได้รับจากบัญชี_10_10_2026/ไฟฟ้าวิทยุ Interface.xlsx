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ไฟฟ้า Interface" sheetId="1" r:id="rId1"/>
  </sheets>
  <definedNames>
    <definedName name="_xlnm._FilterDatabase" localSheetId="0" hidden="1">'ไฟฟ้า Interface'!$A$5:$E$5</definedName>
    <definedName name="_xlnm.Print_Area" localSheetId="0">'ไฟฟ้า Interface'!$A$2:$L$19</definedName>
  </definedNames>
  <calcPr calcId="124519"/>
</workbook>
</file>

<file path=xl/calcChain.xml><?xml version="1.0" encoding="utf-8"?>
<calcChain xmlns="http://schemas.openxmlformats.org/spreadsheetml/2006/main">
  <c r="I6" i="1"/>
  <c r="J6"/>
  <c r="K6" s="1"/>
  <c r="L6"/>
  <c r="I7"/>
  <c r="J7"/>
  <c r="K7" s="1"/>
  <c r="L7"/>
  <c r="I8"/>
  <c r="J8"/>
  <c r="K8" s="1"/>
  <c r="L8"/>
  <c r="I9"/>
  <c r="J9"/>
  <c r="K9" s="1"/>
  <c r="L9"/>
  <c r="I10"/>
  <c r="J10"/>
  <c r="K10" s="1"/>
  <c r="L10"/>
  <c r="I11"/>
  <c r="J11"/>
  <c r="K11" s="1"/>
  <c r="L11"/>
  <c r="I12"/>
  <c r="J12"/>
  <c r="K12" s="1"/>
  <c r="L12"/>
  <c r="I13"/>
  <c r="J13"/>
  <c r="K13" s="1"/>
  <c r="L13"/>
  <c r="I14"/>
  <c r="J14"/>
  <c r="K14" s="1"/>
  <c r="L14"/>
  <c r="I15"/>
  <c r="J15"/>
  <c r="K15" s="1"/>
  <c r="L15"/>
  <c r="I16"/>
  <c r="J16"/>
  <c r="K16" s="1"/>
  <c r="L16"/>
  <c r="I17"/>
  <c r="J17"/>
  <c r="K17" s="1"/>
  <c r="L17"/>
  <c r="I18"/>
  <c r="J18"/>
  <c r="K18" s="1"/>
  <c r="L18"/>
  <c r="I19"/>
  <c r="J19"/>
  <c r="K19" s="1"/>
  <c r="L19"/>
  <c r="D50"/>
  <c r="E50"/>
  <c r="F50"/>
  <c r="G50"/>
  <c r="H50"/>
  <c r="D54"/>
  <c r="E54"/>
  <c r="F54"/>
  <c r="G54"/>
</calcChain>
</file>

<file path=xl/sharedStrings.xml><?xml version="1.0" encoding="utf-8"?>
<sst xmlns="http://schemas.openxmlformats.org/spreadsheetml/2006/main" count="107" uniqueCount="79">
  <si>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</si>
  <si>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</si>
  <si>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</si>
  <si>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</si>
  <si>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</si>
  <si>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6115-005-0004/1(67)</t>
  </si>
  <si>
    <t>เครื่องกำเนิดไฟฟ้าสำรอง</t>
  </si>
  <si>
    <t>5820-015-0008/1(67)</t>
  </si>
  <si>
    <t>ชุดเชื่อมโยงระบบวิทยุ</t>
  </si>
  <si>
    <t>6115-005-0001/2(66)</t>
  </si>
  <si>
    <t>ตู้ควบคุมเครื่องยนต์สูบน้ำดับเพลิง พร้อมติดตั้ง อาคารจอดรถ 10 ชั้น</t>
  </si>
  <si>
    <t>6115-005-0001/1(66)</t>
  </si>
  <si>
    <t>เครื่องควบคุมไฟฟ้า</t>
  </si>
  <si>
    <t>5985-005-0002/2(66)</t>
  </si>
  <si>
    <t>โคมไฟ มูฟวิ่งเฮดไม่น้อยกว่า 140 วัตต์ พร้อมขาติดตั้ง</t>
  </si>
  <si>
    <t>5985-005-0002/1(66)</t>
  </si>
  <si>
    <t>6115-005-0005/8(65)</t>
  </si>
  <si>
    <t xml:space="preserve">ชนิด 060011  เครื่องมือวัดทางไฟฟ้า  Digital Meter พร้อมติดตั้ง </t>
  </si>
  <si>
    <t>6115-005-0005/7(65)</t>
  </si>
  <si>
    <t>6115-005-0005/6(65)</t>
  </si>
  <si>
    <t>6115-005-0005/5(65)</t>
  </si>
  <si>
    <t>6115-005-0005/4(65)</t>
  </si>
  <si>
    <t>6115-005-0005/3(65)</t>
  </si>
  <si>
    <t>6115-005-0005/2(65)</t>
  </si>
  <si>
    <t>6115-005-0005/1(65)</t>
  </si>
  <si>
    <t>6115-005-0004/1(64)</t>
  </si>
  <si>
    <t>เครื่องกำเนิดไฟฟ้าสำรอง ขนาดไม่น้อยกว่า 625 KVA</t>
  </si>
  <si>
    <t>0940-024-0001/6(64)</t>
  </si>
  <si>
    <t>ระบบแจ้งเหตุเพลิงไหม้</t>
  </si>
  <si>
    <t>0940-024-0001/5(64)</t>
  </si>
  <si>
    <t>0940-024-0001/4(64)</t>
  </si>
  <si>
    <t>0940-024-0001/3(64)</t>
  </si>
  <si>
    <t>0940-024-0001/2(64)</t>
  </si>
  <si>
    <t>0940-024-0001/1(64)</t>
  </si>
  <si>
    <t>5895-009-0001/1(64)</t>
  </si>
  <si>
    <t>ระบบลานจอดรถ(ระบบชุดไม้กั้น)แบบคิดค่าบริการ</t>
  </si>
  <si>
    <t>6115-005-0001/3(61)</t>
  </si>
  <si>
    <t>ชนิด 060013 เครื่องกำเนิดไฟฟ้า (ระบบไฟฟ้า)</t>
  </si>
  <si>
    <t>6115-005-0001/2(61)</t>
  </si>
  <si>
    <t>ชนิด 060012 ระบบไฟฟ้า (ระบบไฟฟ้า)</t>
  </si>
  <si>
    <t>6115-005-0001/1(61)</t>
  </si>
  <si>
    <t>ชนิด 060011 ตู้ควบคุมไฟฟ้า รุ่น SMDB2/1</t>
  </si>
  <si>
    <t>7450-008-0001/68(60)</t>
  </si>
  <si>
    <t>ชนิด 060010 อุปกรณ์ติดตามยานพาหนะ</t>
  </si>
  <si>
    <t>7450-008-0001/67(60)</t>
  </si>
  <si>
    <t>7450-008-0001/66(60)</t>
  </si>
  <si>
    <t>5820-017-0003/2(57)</t>
  </si>
  <si>
    <t>ชนิด 060012 อุปกรณ์สลับสัญญาณแบบจ่ายไฟ (11/9/2557)</t>
  </si>
  <si>
    <t>6115-005-0005/11(57)</t>
  </si>
  <si>
    <t>ชนิด 060011 เครื่องวัดคุมการใช้ไฟฟ้า (14/5/2557)</t>
  </si>
  <si>
    <t>6115-005-0005/10(57)</t>
  </si>
  <si>
    <t>6130-001-0003/1(56)</t>
  </si>
  <si>
    <t>ชนิด 0600012 แท่นชาร์ตแบตเตอรี่เจาะกระดูก (1/8/2556)</t>
  </si>
  <si>
    <t>6115-005-0005/9(55)</t>
  </si>
  <si>
    <t>ชนิด 060011 เครื่องวัดคุมการใช้ไฟฟ้า (4/5/2555)</t>
  </si>
  <si>
    <t>6115-005-0005/8(55)</t>
  </si>
  <si>
    <t>6115-005-0005/7(55)</t>
  </si>
  <si>
    <t xml:space="preserve">6115-005-0005/6(55) </t>
  </si>
  <si>
    <t>ชนิด 060011 เครื่องวัดคุมการใช้ไฟฟ้า (1/3/2555)</t>
  </si>
  <si>
    <t xml:space="preserve">6551-005-0005/5(55) </t>
  </si>
  <si>
    <t xml:space="preserve">6115-005-0005/4(55) </t>
  </si>
  <si>
    <t xml:space="preserve">6115-005-0005/3(54) </t>
  </si>
  <si>
    <t>ชนิด 060011 เครื่องวัดคุมการใช้ไฟฟ้า (7/9/2554)</t>
  </si>
  <si>
    <t xml:space="preserve">6551-005-0005/1(54) </t>
  </si>
  <si>
    <t xml:space="preserve">6115-005-0005/2(54) </t>
  </si>
  <si>
    <t xml:space="preserve">5985-005-0002/3(54) </t>
  </si>
  <si>
    <t>ชนิด 060010 โคมไฟถนน (25/4/2554)</t>
  </si>
  <si>
    <t xml:space="preserve">5985-005-0002/2(54) </t>
  </si>
  <si>
    <t xml:space="preserve">5985-005-0002/1(54) 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</si>
  <si>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</si>
  <si>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</si>
  <si>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</si>
  <si>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</si>
  <si>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</si>
  <si>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</si>
  <si>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</si>
  <si>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</si>
  <si>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ไฟฟ้าและวิทยุ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</si>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</sst>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0"/>
      <color indexed="8"/>
      <name val="Arial"/>
      <family val="2"/>
    </font>
    <font>
      <b/>
      <sz val="14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6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1" applyFont="1" applyFill="1"/>
    <xf numFmtId="0" fontId="2" fillId="0" borderId="0" xfId="0" applyFont="1" applyAlignment="1">
      <alignment horizontal="center"/>
    </xf>
    <xf numFmtId="43" fontId="3" fillId="0" borderId="0" xfId="1" applyFont="1"/>
    <xf numFmtId="43" fontId="3" fillId="0" borderId="0" xfId="0" applyNumberFormat="1" applyFont="1"/>
    <xf numFmtId="43" fontId="3" fillId="0" borderId="0" xfId="1" applyFont="1" applyFill="1"/>
    <xf numFmtId="43" fontId="2" fillId="2" borderId="0" xfId="2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1" xfId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3" applyFont="1" applyFill="1" applyBorder="1"/>
    <xf numFmtId="0" fontId="5" fillId="0" borderId="1" xfId="4" applyFont="1" applyFill="1" applyBorder="1" applyAlignment="1">
      <alignment horizontal="center"/>
    </xf>
    <xf numFmtId="43" fontId="2" fillId="0" borderId="1" xfId="5" applyFont="1" applyFill="1" applyBorder="1"/>
    <xf numFmtId="0" fontId="2" fillId="0" borderId="1" xfId="6" applyFont="1" applyFill="1" applyBorder="1"/>
    <xf numFmtId="43" fontId="2" fillId="0" borderId="1" xfId="7" applyFont="1" applyFill="1" applyBorder="1"/>
    <xf numFmtId="0" fontId="2" fillId="0" borderId="1" xfId="8" applyFont="1" applyFill="1" applyBorder="1"/>
    <xf numFmtId="43" fontId="2" fillId="0" borderId="1" xfId="9" applyFont="1" applyFill="1" applyBorder="1"/>
    <xf numFmtId="187" fontId="5" fillId="0" borderId="1" xfId="8" applyNumberFormat="1" applyFont="1" applyFill="1" applyBorder="1" applyAlignment="1">
      <alignment horizontal="left"/>
    </xf>
    <xf numFmtId="43" fontId="2" fillId="0" borderId="1" xfId="2" applyFont="1" applyFill="1" applyBorder="1"/>
    <xf numFmtId="0" fontId="2" fillId="0" borderId="1" xfId="10" applyFont="1" applyFill="1" applyBorder="1"/>
    <xf numFmtId="14" fontId="5" fillId="0" borderId="1" xfId="10" applyNumberFormat="1" applyFont="1" applyFill="1" applyBorder="1"/>
    <xf numFmtId="0" fontId="5" fillId="0" borderId="1" xfId="11" applyFont="1" applyBorder="1" applyAlignment="1">
      <alignment horizontal="center"/>
    </xf>
    <xf numFmtId="43" fontId="2" fillId="0" borderId="1" xfId="12" applyFont="1" applyFill="1" applyBorder="1"/>
    <xf numFmtId="0" fontId="2" fillId="0" borderId="1" xfId="11" applyFont="1" applyFill="1" applyBorder="1"/>
    <xf numFmtId="0" fontId="5" fillId="0" borderId="1" xfId="11" applyFont="1" applyFill="1" applyBorder="1" applyAlignment="1">
      <alignment horizontal="left" vertical="center"/>
    </xf>
    <xf numFmtId="14" fontId="5" fillId="0" borderId="1" xfId="11" applyNumberFormat="1" applyFont="1" applyFill="1" applyBorder="1"/>
    <xf numFmtId="0" fontId="2" fillId="0" borderId="1" xfId="1" applyNumberFormat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center"/>
    </xf>
    <xf numFmtId="0" fontId="7" fillId="0" borderId="1" xfId="13" applyFont="1" applyFill="1" applyBorder="1" applyAlignment="1">
      <alignment horizontal="center" vertical="center"/>
    </xf>
    <xf numFmtId="0" fontId="5" fillId="0" borderId="1" xfId="14" applyFont="1" applyFill="1" applyBorder="1" applyAlignment="1">
      <alignment horizontal="left" vertical="top"/>
    </xf>
    <xf numFmtId="43" fontId="2" fillId="0" borderId="1" xfId="0" applyNumberFormat="1" applyFont="1" applyBorder="1"/>
    <xf numFmtId="43" fontId="2" fillId="0" borderId="2" xfId="0" applyNumberFormat="1" applyFont="1" applyBorder="1"/>
    <xf numFmtId="0" fontId="5" fillId="0" borderId="1" xfId="13" applyFont="1" applyFill="1" applyBorder="1" applyAlignment="1">
      <alignment horizontal="center" vertical="center"/>
    </xf>
    <xf numFmtId="0" fontId="7" fillId="0" borderId="1" xfId="14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0">
    <cellStyle name="Comma" xfId="1" builtinId="3"/>
    <cellStyle name="Comma 2" xfId="12"/>
    <cellStyle name="Comma 3" xfId="15"/>
    <cellStyle name="Comma 6" xfId="3"/>
    <cellStyle name="Normal" xfId="0" builtinId="0"/>
    <cellStyle name="Normal 2" xfId="11"/>
    <cellStyle name="Normal 2 2" xfId="16"/>
    <cellStyle name="Normal 3" xfId="4"/>
    <cellStyle name="เครื่องหมายจุลภาค 2" xfId="2"/>
    <cellStyle name="จุลภาค 10 2" xfId="17"/>
    <cellStyle name="จุลภาค 11 3" xfId="18"/>
    <cellStyle name="จุลภาค 13" xfId="19"/>
    <cellStyle name="จุลภาค 2" xfId="9"/>
    <cellStyle name="จุลภาค 2 2" xfId="5"/>
    <cellStyle name="จุลภาค 3" xfId="20"/>
    <cellStyle name="จุลภาค 4" xfId="7"/>
    <cellStyle name="จุลภาค 5" xfId="21"/>
    <cellStyle name="ปกติ 11" xfId="22"/>
    <cellStyle name="ปกติ 12" xfId="23"/>
    <cellStyle name="ปกติ 2" xfId="14"/>
    <cellStyle name="ปกติ 2 2" xfId="24"/>
    <cellStyle name="ปกติ 2 2 2" xfId="25"/>
    <cellStyle name="ปกติ 3" xfId="13"/>
    <cellStyle name="ปกติ 3 2" xfId="26"/>
    <cellStyle name="ปกติ 4" xfId="8"/>
    <cellStyle name="ปกติ 4 2" xfId="27"/>
    <cellStyle name="ปกติ 5" xfId="10"/>
    <cellStyle name="ปกติ 6" xfId="28"/>
    <cellStyle name="ปกติ 7" xfId="29"/>
    <cellStyle name="ปกติ 8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P54"/>
  <sheetViews>
    <sheetView tabSelected="1" topLeftCell="A33" zoomScaleSheetLayoutView="90" workbookViewId="0">
      <selection activeCell="B51" sqref="B51"/>
    </sheetView>
  </sheetViews>
  <sheetFormatPr defaultColWidth="9" defaultRowHeight="23.25"/>
  <cols>
    <col min="1" max="1" width="9" style="1"/>
    <col min="2" max="2" width="48.25" style="1" customWidth="1"/>
    <col min="3" max="3" width="22.5" style="4" customWidth="1"/>
    <col min="4" max="4" width="14.875" style="3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45" t="s">
        <v>78</v>
      </c>
      <c r="B2" s="45"/>
      <c r="C2" s="45"/>
      <c r="D2" s="45"/>
      <c r="E2" s="45"/>
    </row>
    <row r="3" spans="1:12">
      <c r="A3" s="4"/>
      <c r="B3" s="4"/>
      <c r="D3" s="4"/>
      <c r="E3" s="4"/>
    </row>
    <row r="4" spans="1:12">
      <c r="B4" s="1" t="s">
        <v>77</v>
      </c>
      <c r="D4" s="1"/>
    </row>
    <row r="5" spans="1:12">
      <c r="A5" s="44" t="s">
        <v>76</v>
      </c>
      <c r="B5" s="44" t="s">
        <v>75</v>
      </c>
      <c r="C5" s="44" t="s">
        <v>74</v>
      </c>
      <c r="D5" s="32" t="s">
        <v>4</v>
      </c>
      <c r="E5" s="43" t="s">
        <v>73</v>
      </c>
      <c r="F5" s="42" t="s">
        <v>72</v>
      </c>
      <c r="G5" s="42" t="s">
        <v>71</v>
      </c>
      <c r="H5" s="42" t="s">
        <v>70</v>
      </c>
      <c r="I5" s="41" t="s">
        <v>72</v>
      </c>
      <c r="J5" s="41" t="s">
        <v>71</v>
      </c>
      <c r="K5" s="41" t="s">
        <v>70</v>
      </c>
      <c r="L5" s="41" t="s">
        <v>69</v>
      </c>
    </row>
    <row r="6" spans="1:12">
      <c r="A6" s="12">
        <v>1</v>
      </c>
      <c r="B6" s="40" t="s">
        <v>66</v>
      </c>
      <c r="C6" s="35" t="s">
        <v>68</v>
      </c>
      <c r="D6" s="11">
        <v>30174</v>
      </c>
      <c r="E6" s="12">
        <v>5</v>
      </c>
      <c r="F6" s="11">
        <v>0</v>
      </c>
      <c r="G6" s="11">
        <v>30173</v>
      </c>
      <c r="H6" s="11">
        <v>1</v>
      </c>
      <c r="I6" s="38">
        <f t="shared" ref="I6:I19" si="0">F6</f>
        <v>0</v>
      </c>
      <c r="J6" s="37">
        <f t="shared" ref="J6:J19" si="1">G6-F6</f>
        <v>30173</v>
      </c>
      <c r="K6" s="37">
        <f t="shared" ref="K6:K19" si="2">D6-J6</f>
        <v>1</v>
      </c>
      <c r="L6" s="37">
        <f t="shared" ref="L6:L19" si="3">I6</f>
        <v>0</v>
      </c>
    </row>
    <row r="7" spans="1:12">
      <c r="A7" s="12">
        <v>2</v>
      </c>
      <c r="B7" s="40" t="s">
        <v>66</v>
      </c>
      <c r="C7" s="35" t="s">
        <v>67</v>
      </c>
      <c r="D7" s="11">
        <v>30174</v>
      </c>
      <c r="E7" s="12">
        <v>5</v>
      </c>
      <c r="F7" s="11">
        <v>0</v>
      </c>
      <c r="G7" s="11">
        <v>30173</v>
      </c>
      <c r="H7" s="11">
        <v>1</v>
      </c>
      <c r="I7" s="38">
        <f t="shared" si="0"/>
        <v>0</v>
      </c>
      <c r="J7" s="37">
        <f t="shared" si="1"/>
        <v>30173</v>
      </c>
      <c r="K7" s="37">
        <f t="shared" si="2"/>
        <v>1</v>
      </c>
      <c r="L7" s="37">
        <f t="shared" si="3"/>
        <v>0</v>
      </c>
    </row>
    <row r="8" spans="1:12">
      <c r="A8" s="12">
        <v>3</v>
      </c>
      <c r="B8" s="40" t="s">
        <v>66</v>
      </c>
      <c r="C8" s="35" t="s">
        <v>65</v>
      </c>
      <c r="D8" s="11">
        <v>30174</v>
      </c>
      <c r="E8" s="12">
        <v>5</v>
      </c>
      <c r="F8" s="11">
        <v>0</v>
      </c>
      <c r="G8" s="11">
        <v>30173</v>
      </c>
      <c r="H8" s="11">
        <v>1</v>
      </c>
      <c r="I8" s="38">
        <f t="shared" si="0"/>
        <v>0</v>
      </c>
      <c r="J8" s="37">
        <f t="shared" si="1"/>
        <v>30173</v>
      </c>
      <c r="K8" s="37">
        <f t="shared" si="2"/>
        <v>1</v>
      </c>
      <c r="L8" s="37">
        <f t="shared" si="3"/>
        <v>0</v>
      </c>
    </row>
    <row r="9" spans="1:12">
      <c r="A9" s="12">
        <v>4</v>
      </c>
      <c r="B9" s="40" t="s">
        <v>62</v>
      </c>
      <c r="C9" s="35" t="s">
        <v>64</v>
      </c>
      <c r="D9" s="11">
        <v>33277</v>
      </c>
      <c r="E9" s="12">
        <v>5</v>
      </c>
      <c r="F9" s="11">
        <v>0</v>
      </c>
      <c r="G9" s="11">
        <v>33276</v>
      </c>
      <c r="H9" s="11">
        <v>1</v>
      </c>
      <c r="I9" s="38">
        <f t="shared" si="0"/>
        <v>0</v>
      </c>
      <c r="J9" s="37">
        <f t="shared" si="1"/>
        <v>33276</v>
      </c>
      <c r="K9" s="37">
        <f t="shared" si="2"/>
        <v>1</v>
      </c>
      <c r="L9" s="37">
        <f t="shared" si="3"/>
        <v>0</v>
      </c>
    </row>
    <row r="10" spans="1:12">
      <c r="A10" s="12">
        <v>5</v>
      </c>
      <c r="B10" s="40" t="s">
        <v>62</v>
      </c>
      <c r="C10" s="35" t="s">
        <v>63</v>
      </c>
      <c r="D10" s="11">
        <v>33277</v>
      </c>
      <c r="E10" s="12">
        <v>5</v>
      </c>
      <c r="F10" s="11">
        <v>0</v>
      </c>
      <c r="G10" s="11">
        <v>33276</v>
      </c>
      <c r="H10" s="11">
        <v>1</v>
      </c>
      <c r="I10" s="38">
        <f t="shared" si="0"/>
        <v>0</v>
      </c>
      <c r="J10" s="37">
        <f t="shared" si="1"/>
        <v>33276</v>
      </c>
      <c r="K10" s="37">
        <f t="shared" si="2"/>
        <v>1</v>
      </c>
      <c r="L10" s="37">
        <f t="shared" si="3"/>
        <v>0</v>
      </c>
    </row>
    <row r="11" spans="1:12">
      <c r="A11" s="12">
        <v>6</v>
      </c>
      <c r="B11" s="40" t="s">
        <v>62</v>
      </c>
      <c r="C11" s="35" t="s">
        <v>61</v>
      </c>
      <c r="D11" s="11">
        <v>33277</v>
      </c>
      <c r="E11" s="12">
        <v>5</v>
      </c>
      <c r="F11" s="11">
        <v>0</v>
      </c>
      <c r="G11" s="11">
        <v>33276</v>
      </c>
      <c r="H11" s="11">
        <v>1</v>
      </c>
      <c r="I11" s="38">
        <f t="shared" si="0"/>
        <v>0</v>
      </c>
      <c r="J11" s="37">
        <f t="shared" si="1"/>
        <v>33276</v>
      </c>
      <c r="K11" s="37">
        <f t="shared" si="2"/>
        <v>1</v>
      </c>
      <c r="L11" s="37">
        <f t="shared" si="3"/>
        <v>0</v>
      </c>
    </row>
    <row r="12" spans="1:12">
      <c r="A12" s="12">
        <v>7</v>
      </c>
      <c r="B12" s="40" t="s">
        <v>58</v>
      </c>
      <c r="C12" s="35" t="s">
        <v>60</v>
      </c>
      <c r="D12" s="11">
        <v>33277</v>
      </c>
      <c r="E12" s="12">
        <v>5</v>
      </c>
      <c r="F12" s="11">
        <v>0</v>
      </c>
      <c r="G12" s="11">
        <v>33276</v>
      </c>
      <c r="H12" s="11">
        <v>1</v>
      </c>
      <c r="I12" s="38">
        <f t="shared" si="0"/>
        <v>0</v>
      </c>
      <c r="J12" s="37">
        <f t="shared" si="1"/>
        <v>33276</v>
      </c>
      <c r="K12" s="37">
        <f t="shared" si="2"/>
        <v>1</v>
      </c>
      <c r="L12" s="37">
        <f t="shared" si="3"/>
        <v>0</v>
      </c>
    </row>
    <row r="13" spans="1:12">
      <c r="A13" s="12">
        <v>8</v>
      </c>
      <c r="B13" s="40" t="s">
        <v>58</v>
      </c>
      <c r="C13" s="35" t="s">
        <v>59</v>
      </c>
      <c r="D13" s="11">
        <v>33277</v>
      </c>
      <c r="E13" s="12">
        <v>5</v>
      </c>
      <c r="F13" s="11">
        <v>0</v>
      </c>
      <c r="G13" s="11">
        <v>33276</v>
      </c>
      <c r="H13" s="11">
        <v>1</v>
      </c>
      <c r="I13" s="38">
        <f t="shared" si="0"/>
        <v>0</v>
      </c>
      <c r="J13" s="37">
        <f t="shared" si="1"/>
        <v>33276</v>
      </c>
      <c r="K13" s="37">
        <f t="shared" si="2"/>
        <v>1</v>
      </c>
      <c r="L13" s="37">
        <f t="shared" si="3"/>
        <v>0</v>
      </c>
    </row>
    <row r="14" spans="1:12">
      <c r="A14" s="12">
        <v>9</v>
      </c>
      <c r="B14" s="40" t="s">
        <v>58</v>
      </c>
      <c r="C14" s="35" t="s">
        <v>57</v>
      </c>
      <c r="D14" s="11">
        <v>33277</v>
      </c>
      <c r="E14" s="12">
        <v>5</v>
      </c>
      <c r="F14" s="11">
        <v>0</v>
      </c>
      <c r="G14" s="11">
        <v>33276</v>
      </c>
      <c r="H14" s="11">
        <v>1</v>
      </c>
      <c r="I14" s="38">
        <f t="shared" si="0"/>
        <v>0</v>
      </c>
      <c r="J14" s="37">
        <f t="shared" si="1"/>
        <v>33276</v>
      </c>
      <c r="K14" s="37">
        <f t="shared" si="2"/>
        <v>1</v>
      </c>
      <c r="L14" s="37">
        <f t="shared" si="3"/>
        <v>0</v>
      </c>
    </row>
    <row r="15" spans="1:12">
      <c r="A15" s="12">
        <v>10</v>
      </c>
      <c r="B15" s="40" t="s">
        <v>54</v>
      </c>
      <c r="C15" s="35" t="s">
        <v>56</v>
      </c>
      <c r="D15" s="11">
        <v>33277</v>
      </c>
      <c r="E15" s="12">
        <v>5</v>
      </c>
      <c r="F15" s="11">
        <v>0</v>
      </c>
      <c r="G15" s="11">
        <v>33276</v>
      </c>
      <c r="H15" s="11">
        <v>1</v>
      </c>
      <c r="I15" s="38">
        <f t="shared" si="0"/>
        <v>0</v>
      </c>
      <c r="J15" s="37">
        <f t="shared" si="1"/>
        <v>33276</v>
      </c>
      <c r="K15" s="37">
        <f t="shared" si="2"/>
        <v>1</v>
      </c>
      <c r="L15" s="37">
        <f t="shared" si="3"/>
        <v>0</v>
      </c>
    </row>
    <row r="16" spans="1:12">
      <c r="A16" s="12">
        <v>11</v>
      </c>
      <c r="B16" s="40" t="s">
        <v>54</v>
      </c>
      <c r="C16" s="35" t="s">
        <v>55</v>
      </c>
      <c r="D16" s="11">
        <v>33277</v>
      </c>
      <c r="E16" s="12">
        <v>5</v>
      </c>
      <c r="F16" s="11">
        <v>0</v>
      </c>
      <c r="G16" s="11">
        <v>33276</v>
      </c>
      <c r="H16" s="11">
        <v>1</v>
      </c>
      <c r="I16" s="38">
        <f t="shared" si="0"/>
        <v>0</v>
      </c>
      <c r="J16" s="37">
        <f t="shared" si="1"/>
        <v>33276</v>
      </c>
      <c r="K16" s="37">
        <f t="shared" si="2"/>
        <v>1</v>
      </c>
      <c r="L16" s="37">
        <f t="shared" si="3"/>
        <v>0</v>
      </c>
    </row>
    <row r="17" spans="1:16">
      <c r="A17" s="12">
        <v>12</v>
      </c>
      <c r="B17" s="40" t="s">
        <v>54</v>
      </c>
      <c r="C17" s="35" t="s">
        <v>53</v>
      </c>
      <c r="D17" s="11">
        <v>33277</v>
      </c>
      <c r="E17" s="12">
        <v>5</v>
      </c>
      <c r="F17" s="11">
        <v>0</v>
      </c>
      <c r="G17" s="11">
        <v>33276</v>
      </c>
      <c r="H17" s="11">
        <v>1</v>
      </c>
      <c r="I17" s="38">
        <f t="shared" si="0"/>
        <v>0</v>
      </c>
      <c r="J17" s="37">
        <f t="shared" si="1"/>
        <v>33276</v>
      </c>
      <c r="K17" s="37">
        <f t="shared" si="2"/>
        <v>1</v>
      </c>
      <c r="L17" s="37">
        <f t="shared" si="3"/>
        <v>0</v>
      </c>
    </row>
    <row r="18" spans="1:16">
      <c r="A18" s="12">
        <v>13</v>
      </c>
      <c r="B18" s="36" t="s">
        <v>52</v>
      </c>
      <c r="C18" s="39" t="s">
        <v>51</v>
      </c>
      <c r="D18" s="11">
        <v>120000</v>
      </c>
      <c r="E18" s="12">
        <v>5</v>
      </c>
      <c r="F18" s="11">
        <v>0</v>
      </c>
      <c r="G18" s="11">
        <v>119999</v>
      </c>
      <c r="H18" s="11">
        <v>1</v>
      </c>
      <c r="I18" s="38">
        <f t="shared" si="0"/>
        <v>0</v>
      </c>
      <c r="J18" s="37">
        <f t="shared" si="1"/>
        <v>119999</v>
      </c>
      <c r="K18" s="37">
        <f t="shared" si="2"/>
        <v>1</v>
      </c>
      <c r="L18" s="37">
        <f t="shared" si="3"/>
        <v>0</v>
      </c>
    </row>
    <row r="19" spans="1:16">
      <c r="A19" s="12">
        <v>14</v>
      </c>
      <c r="B19" s="36" t="s">
        <v>49</v>
      </c>
      <c r="C19" s="35" t="s">
        <v>50</v>
      </c>
      <c r="D19" s="11">
        <v>33705</v>
      </c>
      <c r="E19" s="12">
        <v>5</v>
      </c>
      <c r="F19" s="11">
        <v>0</v>
      </c>
      <c r="G19" s="11">
        <v>33704</v>
      </c>
      <c r="H19" s="11">
        <v>1</v>
      </c>
      <c r="I19" s="38">
        <f t="shared" si="0"/>
        <v>0</v>
      </c>
      <c r="J19" s="37">
        <f t="shared" si="1"/>
        <v>33704</v>
      </c>
      <c r="K19" s="37">
        <f t="shared" si="2"/>
        <v>1</v>
      </c>
      <c r="L19" s="37">
        <f t="shared" si="3"/>
        <v>0</v>
      </c>
      <c r="P19" s="4"/>
    </row>
    <row r="20" spans="1:16">
      <c r="A20" s="12">
        <v>15</v>
      </c>
      <c r="B20" s="36" t="s">
        <v>49</v>
      </c>
      <c r="C20" s="35" t="s">
        <v>48</v>
      </c>
      <c r="D20" s="11">
        <v>33705</v>
      </c>
      <c r="E20" s="12">
        <v>5</v>
      </c>
      <c r="F20" s="11">
        <v>0</v>
      </c>
      <c r="G20" s="11">
        <v>33704</v>
      </c>
      <c r="H20" s="11">
        <v>1</v>
      </c>
    </row>
    <row r="21" spans="1:16">
      <c r="A21" s="12">
        <v>16</v>
      </c>
      <c r="B21" s="36" t="s">
        <v>47</v>
      </c>
      <c r="C21" s="35" t="s">
        <v>46</v>
      </c>
      <c r="D21" s="11">
        <v>62060</v>
      </c>
      <c r="E21" s="12">
        <v>5</v>
      </c>
      <c r="F21" s="11">
        <v>0</v>
      </c>
      <c r="G21" s="11">
        <v>62059</v>
      </c>
      <c r="H21" s="11">
        <v>1</v>
      </c>
    </row>
    <row r="22" spans="1:16">
      <c r="A22" s="12">
        <v>17</v>
      </c>
      <c r="B22" s="33" t="s">
        <v>43</v>
      </c>
      <c r="C22" s="12" t="s">
        <v>45</v>
      </c>
      <c r="D22" s="32">
        <v>9095</v>
      </c>
      <c r="E22" s="12">
        <v>5</v>
      </c>
      <c r="F22" s="11">
        <v>0</v>
      </c>
      <c r="G22" s="11">
        <v>9094</v>
      </c>
      <c r="H22" s="11">
        <v>1</v>
      </c>
    </row>
    <row r="23" spans="1:16">
      <c r="A23" s="12">
        <v>18</v>
      </c>
      <c r="B23" s="33" t="s">
        <v>43</v>
      </c>
      <c r="C23" s="12" t="s">
        <v>44</v>
      </c>
      <c r="D23" s="32">
        <v>9095</v>
      </c>
      <c r="E23" s="12">
        <v>5</v>
      </c>
      <c r="F23" s="11">
        <v>0</v>
      </c>
      <c r="G23" s="11">
        <v>9094</v>
      </c>
      <c r="H23" s="11">
        <v>1</v>
      </c>
    </row>
    <row r="24" spans="1:16">
      <c r="A24" s="12">
        <v>19</v>
      </c>
      <c r="B24" s="33" t="s">
        <v>43</v>
      </c>
      <c r="C24" s="12" t="s">
        <v>42</v>
      </c>
      <c r="D24" s="32">
        <v>9095</v>
      </c>
      <c r="E24" s="12">
        <v>5</v>
      </c>
      <c r="F24" s="11">
        <v>0</v>
      </c>
      <c r="G24" s="11">
        <v>9094</v>
      </c>
      <c r="H24" s="11">
        <v>1</v>
      </c>
    </row>
    <row r="25" spans="1:16">
      <c r="A25" s="12">
        <v>20</v>
      </c>
      <c r="B25" s="33" t="s">
        <v>41</v>
      </c>
      <c r="C25" s="33" t="s">
        <v>40</v>
      </c>
      <c r="D25" s="32">
        <v>99500</v>
      </c>
      <c r="E25" s="12">
        <v>5</v>
      </c>
      <c r="F25" s="11">
        <v>0</v>
      </c>
      <c r="G25" s="11">
        <v>99499</v>
      </c>
      <c r="H25" s="11">
        <v>1</v>
      </c>
    </row>
    <row r="26" spans="1:16">
      <c r="A26" s="12">
        <v>21</v>
      </c>
      <c r="B26" s="33" t="s">
        <v>39</v>
      </c>
      <c r="C26" s="33" t="s">
        <v>38</v>
      </c>
      <c r="D26" s="32">
        <v>11770000</v>
      </c>
      <c r="E26" s="34">
        <v>15</v>
      </c>
      <c r="F26" s="11">
        <v>784666.67</v>
      </c>
      <c r="G26" s="11">
        <v>6800444.4799999995</v>
      </c>
      <c r="H26" s="11">
        <v>4969555.5200000005</v>
      </c>
    </row>
    <row r="27" spans="1:16">
      <c r="A27" s="12">
        <v>22</v>
      </c>
      <c r="B27" s="33" t="s">
        <v>37</v>
      </c>
      <c r="C27" s="33" t="s">
        <v>36</v>
      </c>
      <c r="D27" s="32">
        <v>15600000</v>
      </c>
      <c r="E27" s="31">
        <v>15</v>
      </c>
      <c r="F27" s="11">
        <v>1040000</v>
      </c>
      <c r="G27" s="11">
        <v>9013333.3599999994</v>
      </c>
      <c r="H27" s="11">
        <v>6586666.6400000006</v>
      </c>
    </row>
    <row r="28" spans="1:16">
      <c r="A28" s="12">
        <v>23</v>
      </c>
      <c r="B28" s="28" t="s">
        <v>35</v>
      </c>
      <c r="C28" s="28" t="s">
        <v>34</v>
      </c>
      <c r="D28" s="27">
        <v>267125.5</v>
      </c>
      <c r="E28" s="12">
        <v>5</v>
      </c>
      <c r="F28" s="11">
        <v>13355.274999999994</v>
      </c>
      <c r="G28" s="11">
        <v>267124.5</v>
      </c>
      <c r="H28" s="11">
        <v>1</v>
      </c>
    </row>
    <row r="29" spans="1:16">
      <c r="A29" s="12">
        <v>24</v>
      </c>
      <c r="B29" s="30" t="s">
        <v>28</v>
      </c>
      <c r="C29" s="28" t="s">
        <v>33</v>
      </c>
      <c r="D29" s="27">
        <v>75001</v>
      </c>
      <c r="E29" s="12">
        <v>5</v>
      </c>
      <c r="F29" s="11">
        <v>6249.083333333343</v>
      </c>
      <c r="G29" s="11">
        <v>75000</v>
      </c>
      <c r="H29" s="11">
        <v>1</v>
      </c>
    </row>
    <row r="30" spans="1:16">
      <c r="A30" s="12">
        <v>25</v>
      </c>
      <c r="B30" s="30" t="s">
        <v>28</v>
      </c>
      <c r="C30" s="28" t="s">
        <v>32</v>
      </c>
      <c r="D30" s="27">
        <v>89911</v>
      </c>
      <c r="E30" s="12">
        <v>5</v>
      </c>
      <c r="F30" s="11">
        <v>7491.583333333343</v>
      </c>
      <c r="G30" s="11">
        <v>89910</v>
      </c>
      <c r="H30" s="11">
        <v>1</v>
      </c>
    </row>
    <row r="31" spans="1:16">
      <c r="A31" s="12">
        <v>26</v>
      </c>
      <c r="B31" s="30" t="s">
        <v>28</v>
      </c>
      <c r="C31" s="28" t="s">
        <v>31</v>
      </c>
      <c r="D31" s="27">
        <v>59622</v>
      </c>
      <c r="E31" s="12">
        <v>5</v>
      </c>
      <c r="F31" s="11">
        <v>4967.5</v>
      </c>
      <c r="G31" s="11">
        <v>59621</v>
      </c>
      <c r="H31" s="11">
        <v>1</v>
      </c>
    </row>
    <row r="32" spans="1:16">
      <c r="A32" s="12">
        <v>27</v>
      </c>
      <c r="B32" s="30" t="s">
        <v>28</v>
      </c>
      <c r="C32" s="28" t="s">
        <v>30</v>
      </c>
      <c r="D32" s="27">
        <v>69562</v>
      </c>
      <c r="E32" s="12">
        <v>5</v>
      </c>
      <c r="F32" s="11">
        <v>5795.8333333333285</v>
      </c>
      <c r="G32" s="11">
        <v>69561</v>
      </c>
      <c r="H32" s="11">
        <v>1</v>
      </c>
    </row>
    <row r="33" spans="1:8">
      <c r="A33" s="12">
        <v>28</v>
      </c>
      <c r="B33" s="30" t="s">
        <v>28</v>
      </c>
      <c r="C33" s="28" t="s">
        <v>29</v>
      </c>
      <c r="D33" s="27">
        <v>51952</v>
      </c>
      <c r="E33" s="12">
        <v>5</v>
      </c>
      <c r="F33" s="11">
        <v>4328.3333333333285</v>
      </c>
      <c r="G33" s="11">
        <v>51951</v>
      </c>
      <c r="H33" s="11">
        <v>1</v>
      </c>
    </row>
    <row r="34" spans="1:8">
      <c r="A34" s="12">
        <v>29</v>
      </c>
      <c r="B34" s="30" t="s">
        <v>28</v>
      </c>
      <c r="C34" s="28" t="s">
        <v>27</v>
      </c>
      <c r="D34" s="27">
        <v>51952</v>
      </c>
      <c r="E34" s="12">
        <v>5</v>
      </c>
      <c r="F34" s="11">
        <v>4328.3333333333285</v>
      </c>
      <c r="G34" s="11">
        <v>51951</v>
      </c>
      <c r="H34" s="11">
        <v>1</v>
      </c>
    </row>
    <row r="35" spans="1:8">
      <c r="A35" s="12">
        <v>30</v>
      </c>
      <c r="B35" s="29" t="s">
        <v>26</v>
      </c>
      <c r="C35" s="28" t="s">
        <v>25</v>
      </c>
      <c r="D35" s="27">
        <v>3161800</v>
      </c>
      <c r="E35" s="26">
        <v>15</v>
      </c>
      <c r="F35" s="11">
        <v>210786.66666666666</v>
      </c>
      <c r="G35" s="11">
        <v>1124195.5555555555</v>
      </c>
      <c r="H35" s="11">
        <v>2037604.4444444445</v>
      </c>
    </row>
    <row r="36" spans="1:8">
      <c r="A36" s="12">
        <v>31</v>
      </c>
      <c r="B36" s="25" t="s">
        <v>17</v>
      </c>
      <c r="C36" s="24" t="s">
        <v>24</v>
      </c>
      <c r="D36" s="23">
        <v>17655</v>
      </c>
      <c r="E36" s="12">
        <v>5</v>
      </c>
      <c r="F36" s="11">
        <v>3531</v>
      </c>
      <c r="G36" s="11">
        <v>16478</v>
      </c>
      <c r="H36" s="11">
        <v>1177</v>
      </c>
    </row>
    <row r="37" spans="1:8">
      <c r="A37" s="12">
        <v>32</v>
      </c>
      <c r="B37" s="25" t="s">
        <v>17</v>
      </c>
      <c r="C37" s="24" t="s">
        <v>23</v>
      </c>
      <c r="D37" s="23">
        <v>17655</v>
      </c>
      <c r="E37" s="12">
        <v>5</v>
      </c>
      <c r="F37" s="11">
        <v>3531</v>
      </c>
      <c r="G37" s="11">
        <v>16478</v>
      </c>
      <c r="H37" s="11">
        <v>1177</v>
      </c>
    </row>
    <row r="38" spans="1:8">
      <c r="A38" s="12">
        <v>33</v>
      </c>
      <c r="B38" s="25" t="s">
        <v>17</v>
      </c>
      <c r="C38" s="24" t="s">
        <v>22</v>
      </c>
      <c r="D38" s="23">
        <v>17655</v>
      </c>
      <c r="E38" s="12">
        <v>5</v>
      </c>
      <c r="F38" s="11">
        <v>3531</v>
      </c>
      <c r="G38" s="11">
        <v>16478</v>
      </c>
      <c r="H38" s="11">
        <v>1177</v>
      </c>
    </row>
    <row r="39" spans="1:8">
      <c r="A39" s="12">
        <v>34</v>
      </c>
      <c r="B39" s="25" t="s">
        <v>17</v>
      </c>
      <c r="C39" s="24" t="s">
        <v>21</v>
      </c>
      <c r="D39" s="23">
        <v>17655</v>
      </c>
      <c r="E39" s="12">
        <v>5</v>
      </c>
      <c r="F39" s="11">
        <v>3531</v>
      </c>
      <c r="G39" s="11">
        <v>16478</v>
      </c>
      <c r="H39" s="11">
        <v>1177</v>
      </c>
    </row>
    <row r="40" spans="1:8">
      <c r="A40" s="12">
        <v>35</v>
      </c>
      <c r="B40" s="25" t="s">
        <v>17</v>
      </c>
      <c r="C40" s="24" t="s">
        <v>20</v>
      </c>
      <c r="D40" s="23">
        <v>17655</v>
      </c>
      <c r="E40" s="12">
        <v>5</v>
      </c>
      <c r="F40" s="11">
        <v>3531</v>
      </c>
      <c r="G40" s="11">
        <v>16478</v>
      </c>
      <c r="H40" s="11">
        <v>1177</v>
      </c>
    </row>
    <row r="41" spans="1:8">
      <c r="A41" s="12">
        <v>36</v>
      </c>
      <c r="B41" s="25" t="s">
        <v>17</v>
      </c>
      <c r="C41" s="24" t="s">
        <v>19</v>
      </c>
      <c r="D41" s="23">
        <v>17655</v>
      </c>
      <c r="E41" s="12">
        <v>5</v>
      </c>
      <c r="F41" s="11">
        <v>3531</v>
      </c>
      <c r="G41" s="11">
        <v>16478</v>
      </c>
      <c r="H41" s="11">
        <v>1177</v>
      </c>
    </row>
    <row r="42" spans="1:8">
      <c r="A42" s="12">
        <v>37</v>
      </c>
      <c r="B42" s="25" t="s">
        <v>17</v>
      </c>
      <c r="C42" s="24" t="s">
        <v>18</v>
      </c>
      <c r="D42" s="23">
        <v>17655</v>
      </c>
      <c r="E42" s="12">
        <v>5</v>
      </c>
      <c r="F42" s="11">
        <v>3531</v>
      </c>
      <c r="G42" s="11">
        <v>16478</v>
      </c>
      <c r="H42" s="11">
        <v>1177</v>
      </c>
    </row>
    <row r="43" spans="1:8">
      <c r="A43" s="12">
        <v>38</v>
      </c>
      <c r="B43" s="25" t="s">
        <v>17</v>
      </c>
      <c r="C43" s="24" t="s">
        <v>16</v>
      </c>
      <c r="D43" s="23">
        <v>17655</v>
      </c>
      <c r="E43" s="12">
        <v>5</v>
      </c>
      <c r="F43" s="11">
        <v>3531</v>
      </c>
      <c r="G43" s="11">
        <v>16478</v>
      </c>
      <c r="H43" s="11">
        <v>1177</v>
      </c>
    </row>
    <row r="44" spans="1:8">
      <c r="A44" s="12">
        <v>39</v>
      </c>
      <c r="B44" s="22" t="s">
        <v>14</v>
      </c>
      <c r="C44" s="20" t="s">
        <v>15</v>
      </c>
      <c r="D44" s="21">
        <v>42800</v>
      </c>
      <c r="E44" s="12">
        <v>5</v>
      </c>
      <c r="F44" s="11">
        <v>8560</v>
      </c>
      <c r="G44" s="11">
        <v>32813.333333333336</v>
      </c>
      <c r="H44" s="11">
        <v>9986.6666666666642</v>
      </c>
    </row>
    <row r="45" spans="1:8">
      <c r="A45" s="12">
        <v>40</v>
      </c>
      <c r="B45" s="22" t="s">
        <v>14</v>
      </c>
      <c r="C45" s="20" t="s">
        <v>13</v>
      </c>
      <c r="D45" s="21">
        <v>42800</v>
      </c>
      <c r="E45" s="12">
        <v>5</v>
      </c>
      <c r="F45" s="11">
        <v>8560</v>
      </c>
      <c r="G45" s="11">
        <v>32813.333333333336</v>
      </c>
      <c r="H45" s="11">
        <v>9986.6666666666642</v>
      </c>
    </row>
    <row r="46" spans="1:8">
      <c r="A46" s="12">
        <v>41</v>
      </c>
      <c r="B46" s="22" t="s">
        <v>12</v>
      </c>
      <c r="C46" s="20" t="s">
        <v>11</v>
      </c>
      <c r="D46" s="21">
        <v>10486</v>
      </c>
      <c r="E46" s="12">
        <v>5</v>
      </c>
      <c r="F46" s="11">
        <v>2097.1999999999998</v>
      </c>
      <c r="G46" s="11">
        <v>8039.2666666666655</v>
      </c>
      <c r="H46" s="11">
        <v>2446.7333333333345</v>
      </c>
    </row>
    <row r="47" spans="1:8">
      <c r="A47" s="12">
        <v>42</v>
      </c>
      <c r="B47" s="20" t="s">
        <v>10</v>
      </c>
      <c r="C47" s="20" t="s">
        <v>9</v>
      </c>
      <c r="D47" s="19">
        <v>342400</v>
      </c>
      <c r="E47" s="12">
        <v>5</v>
      </c>
      <c r="F47" s="11">
        <v>68480</v>
      </c>
      <c r="G47" s="11">
        <v>228266.66666666669</v>
      </c>
      <c r="H47" s="11">
        <v>114133.33333333331</v>
      </c>
    </row>
    <row r="48" spans="1:8">
      <c r="A48" s="12">
        <v>43</v>
      </c>
      <c r="B48" s="18" t="s">
        <v>8</v>
      </c>
      <c r="C48" s="18" t="s">
        <v>7</v>
      </c>
      <c r="D48" s="17">
        <v>12840</v>
      </c>
      <c r="E48" s="16">
        <v>5</v>
      </c>
      <c r="F48" s="11">
        <v>2568</v>
      </c>
      <c r="G48" s="11">
        <v>7276</v>
      </c>
      <c r="H48" s="11">
        <v>5564</v>
      </c>
    </row>
    <row r="49" spans="1:8">
      <c r="A49" s="12">
        <v>44</v>
      </c>
      <c r="B49" s="13" t="s">
        <v>6</v>
      </c>
      <c r="C49" s="13" t="s">
        <v>5</v>
      </c>
      <c r="D49" s="15">
        <v>3725310</v>
      </c>
      <c r="E49" s="14">
        <v>15</v>
      </c>
      <c r="F49" s="11">
        <v>248354</v>
      </c>
      <c r="G49" s="11">
        <v>538100.34</v>
      </c>
      <c r="H49" s="11">
        <v>3187209.66</v>
      </c>
    </row>
    <row r="50" spans="1:8">
      <c r="A50" s="13"/>
      <c r="B50" s="13"/>
      <c r="C50" s="12"/>
      <c r="D50" s="11">
        <f>SUM(D6:D49)</f>
        <v>36281071.5</v>
      </c>
      <c r="E50" s="11">
        <f>SUM(E6:E49)</f>
        <v>260</v>
      </c>
      <c r="F50" s="11">
        <f>SUM(F6:F49)</f>
        <v>2448836.478333333</v>
      </c>
      <c r="G50" s="11">
        <f>SUM(G6:G49)</f>
        <v>19348474.835555553</v>
      </c>
      <c r="H50" s="11">
        <f>SUM(H6:H49)</f>
        <v>16932596.664444443</v>
      </c>
    </row>
    <row r="53" spans="1:8">
      <c r="D53" s="9" t="s">
        <v>4</v>
      </c>
      <c r="E53" s="10" t="s">
        <v>3</v>
      </c>
      <c r="F53" s="9" t="s">
        <v>2</v>
      </c>
      <c r="G53" s="9" t="s">
        <v>1</v>
      </c>
    </row>
    <row r="54" spans="1:8" ht="25.5">
      <c r="C54" s="8" t="s">
        <v>0</v>
      </c>
      <c r="D54" s="7">
        <f>D50</f>
        <v>36281071.5</v>
      </c>
      <c r="E54" s="6">
        <f>F50</f>
        <v>2448836.478333333</v>
      </c>
      <c r="F54" s="5">
        <f>G50</f>
        <v>19348474.835555553</v>
      </c>
      <c r="G54" s="5">
        <f>H50</f>
        <v>16932596.664444443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ไฟฟ้า Interface</vt:lpstr>
      <vt:lpstr>'ไฟฟ้า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2026-10-08T08:07:49Z</dcterms:created>
  <dcterms:modified xsi:type="dcterms:W3CDTF">2026-10-10T04:15:50Z</dcterms:modified>
</cp:coreProperties>
</file>