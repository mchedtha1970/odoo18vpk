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105" yWindow="4920" windowWidth="11940" windowHeight="4950" tabRatio="880" firstSheet="2" activeTab="2"/>
  </bookViews>
  <sheets>
    <sheet name="1-30 มิย.63-เงินสด" sheetId="99" r:id="rId1"/>
    <sheet name="1-12 กค.63-ส้ม-" sheetId="105" r:id="rId2"/>
    <sheet name="1-30 กย.69" sheetId="97" r:id="rId3"/>
    <sheet name="1-30 กย. 69" sheetId="95" r:id="rId4"/>
    <sheet name="01" sheetId="64" r:id="rId5"/>
    <sheet name="02" sheetId="66" r:id="rId6"/>
    <sheet name="03" sheetId="67" r:id="rId7"/>
    <sheet name="04" sheetId="68" r:id="rId8"/>
    <sheet name="05" sheetId="69" r:id="rId9"/>
    <sheet name="06" sheetId="70" r:id="rId10"/>
    <sheet name="07" sheetId="71" r:id="rId11"/>
    <sheet name="08" sheetId="72" r:id="rId12"/>
    <sheet name="09" sheetId="73" r:id="rId13"/>
    <sheet name="10" sheetId="74" r:id="rId14"/>
    <sheet name="11" sheetId="75" r:id="rId15"/>
    <sheet name="12" sheetId="76" r:id="rId16"/>
    <sheet name="13" sheetId="77" r:id="rId17"/>
    <sheet name="14" sheetId="78" r:id="rId18"/>
    <sheet name="15" sheetId="79" r:id="rId19"/>
    <sheet name="16" sheetId="80" r:id="rId20"/>
    <sheet name="17" sheetId="81" r:id="rId21"/>
    <sheet name="18" sheetId="82" r:id="rId22"/>
    <sheet name="19" sheetId="83" r:id="rId23"/>
    <sheet name="20" sheetId="84" r:id="rId24"/>
    <sheet name="21" sheetId="85" r:id="rId25"/>
    <sheet name="22" sheetId="86" r:id="rId26"/>
    <sheet name="23" sheetId="87" r:id="rId27"/>
    <sheet name="24" sheetId="88" r:id="rId28"/>
    <sheet name="25" sheetId="89" r:id="rId29"/>
    <sheet name="26" sheetId="90" r:id="rId30"/>
    <sheet name="27" sheetId="91" r:id="rId31"/>
    <sheet name="28" sheetId="92" r:id="rId32"/>
    <sheet name="29" sheetId="93" r:id="rId33"/>
    <sheet name="30" sheetId="94" r:id="rId34"/>
    <sheet name="31" sheetId="96" r:id="rId35"/>
    <sheet name="000" sheetId="65" r:id="rId36"/>
    <sheet name="Sheet1" sheetId="106" r:id="rId37"/>
  </sheets>
  <definedNames>
    <definedName name="_xlnm.Print_Area" localSheetId="1">'1-12 กค.63-ส้ม-'!$A$1:$AH$62</definedName>
    <definedName name="_xlnm.Print_Area" localSheetId="2">'1-30 กย.69'!$A$1:$AH$22</definedName>
    <definedName name="_xlnm.Print_Area" localSheetId="0">'1-30 มิย.63-เงินสด'!$A$1:$BR$9</definedName>
    <definedName name="_xlnm.Print_Titles" localSheetId="1">'1-12 กค.63-ส้ม-'!$A:$B</definedName>
    <definedName name="_xlnm.Print_Titles" localSheetId="2">'1-30 กย.69'!$A:$B</definedName>
    <definedName name="_xlnm.Print_Titles" localSheetId="0">'1-30 มิย.63-เงินสด'!$A:$B,'1-30 มิย.63-เงินสด'!$1:$4</definedName>
  </definedNames>
  <calcPr calcId="124519"/>
</workbook>
</file>

<file path=xl/calcChain.xml><?xml version="1.0" encoding="utf-8"?>
<calcChain xmlns="http://schemas.openxmlformats.org/spreadsheetml/2006/main">
  <c r="D54" i="94"/>
  <c r="C54"/>
  <c r="D54" i="93"/>
  <c r="C54"/>
  <c r="D54" i="92"/>
  <c r="C54"/>
  <c r="D54" i="90"/>
  <c r="C54"/>
  <c r="D54" i="89"/>
  <c r="C54"/>
  <c r="D54" i="88"/>
  <c r="C54"/>
  <c r="D54" i="87"/>
  <c r="C54"/>
  <c r="D54" i="86"/>
  <c r="C54"/>
  <c r="D54" i="85"/>
  <c r="C54"/>
  <c r="D54" i="83"/>
  <c r="C54"/>
  <c r="D54" i="74"/>
  <c r="C54"/>
  <c r="D54" i="73"/>
  <c r="C54"/>
  <c r="AJ59" i="97"/>
  <c r="AJ18"/>
  <c r="AJ17"/>
  <c r="AJ22"/>
  <c r="AJ21"/>
  <c r="AJ10"/>
  <c r="AJ7"/>
  <c r="AJ15"/>
  <c r="AJ13"/>
  <c r="E37" i="93" l="1"/>
  <c r="E42"/>
  <c r="E42" i="92"/>
  <c r="E37"/>
  <c r="C19" i="93"/>
  <c r="C19" i="92"/>
  <c r="C19" i="89"/>
  <c r="C19" i="88"/>
  <c r="C19" i="87"/>
  <c r="C19" i="85"/>
  <c r="C19" i="84"/>
  <c r="C19" i="83"/>
  <c r="C19" i="82"/>
  <c r="C19" i="81"/>
  <c r="C19" i="79"/>
  <c r="C19" i="75"/>
  <c r="C19" i="74"/>
  <c r="C19" i="73"/>
  <c r="C19" i="72"/>
  <c r="C19" i="71"/>
  <c r="C19" i="69"/>
  <c r="C19" i="68"/>
  <c r="C19" i="67"/>
  <c r="C19" i="64"/>
  <c r="C18" i="93"/>
  <c r="C18" i="91"/>
  <c r="C18" i="90"/>
  <c r="C18" i="89"/>
  <c r="C18" i="88"/>
  <c r="C18" i="87"/>
  <c r="C18" i="86"/>
  <c r="C18" i="85"/>
  <c r="C18" i="82"/>
  <c r="C18" i="80"/>
  <c r="C18" i="79"/>
  <c r="C18" i="78"/>
  <c r="C18" i="76"/>
  <c r="C18" i="75"/>
  <c r="C18" i="74"/>
  <c r="C18" i="73"/>
  <c r="C18" i="72"/>
  <c r="C18" i="70"/>
  <c r="C18" i="69"/>
  <c r="C18" i="68"/>
  <c r="C18" i="67"/>
  <c r="C18" i="66"/>
  <c r="C18" i="64"/>
  <c r="C17" i="88"/>
  <c r="C17" i="87"/>
  <c r="C17" i="85"/>
  <c r="C17" i="83"/>
  <c r="C17" i="82"/>
  <c r="C17" i="81"/>
  <c r="C16" i="88"/>
  <c r="C16" i="87"/>
  <c r="C16" i="85"/>
  <c r="C16" i="83"/>
  <c r="C16" i="82"/>
  <c r="C16" i="81"/>
  <c r="E32" i="91"/>
  <c r="E37"/>
  <c r="E44" i="90"/>
  <c r="E37"/>
  <c r="E44" i="89"/>
  <c r="E37"/>
  <c r="E44" i="88"/>
  <c r="E37"/>
  <c r="E32" i="87" l="1"/>
  <c r="E42"/>
  <c r="E37"/>
  <c r="D54" i="82"/>
  <c r="C54"/>
  <c r="D54" i="81"/>
  <c r="C54"/>
  <c r="D54" i="80"/>
  <c r="C54"/>
  <c r="D54" i="79"/>
  <c r="C54"/>
  <c r="D54" i="78"/>
  <c r="C54"/>
  <c r="D54" i="76"/>
  <c r="C54"/>
  <c r="D54" i="75"/>
  <c r="C54"/>
  <c r="D54" i="72"/>
  <c r="C54"/>
  <c r="C54" i="71"/>
  <c r="D54"/>
  <c r="D54" i="69"/>
  <c r="C54"/>
  <c r="D54" i="68"/>
  <c r="C54"/>
  <c r="D54" i="67"/>
  <c r="C54"/>
  <c r="D54" i="66"/>
  <c r="C54"/>
  <c r="D54" i="64"/>
  <c r="C54"/>
  <c r="E44" i="85"/>
  <c r="E37"/>
  <c r="E32" i="86"/>
  <c r="E37"/>
  <c r="E44"/>
  <c r="E44" i="83"/>
  <c r="E37"/>
  <c r="E32" i="82"/>
  <c r="E44"/>
  <c r="E37"/>
  <c r="T46" i="97" l="1"/>
  <c r="T47"/>
  <c r="T48"/>
  <c r="T49"/>
  <c r="T50"/>
  <c r="S46"/>
  <c r="S47"/>
  <c r="S48"/>
  <c r="S49"/>
  <c r="S50"/>
  <c r="E32" i="81" l="1"/>
  <c r="E44"/>
  <c r="E37"/>
  <c r="C17" i="78" l="1"/>
  <c r="C17" i="73"/>
  <c r="C16" i="78"/>
  <c r="C16" i="76"/>
  <c r="C16" i="75"/>
  <c r="C16" i="74"/>
  <c r="C16" i="73"/>
  <c r="E44" i="80"/>
  <c r="E37"/>
  <c r="E42" i="78" l="1"/>
  <c r="E37"/>
  <c r="D58" i="64"/>
  <c r="C58"/>
  <c r="C17" i="72"/>
  <c r="C17" i="68"/>
  <c r="C17" i="67"/>
  <c r="C17" i="64"/>
  <c r="C16" i="69"/>
  <c r="C16" i="68"/>
  <c r="C16" i="67"/>
  <c r="C16" i="64"/>
  <c r="E44" i="68"/>
  <c r="E44" i="66"/>
  <c r="E27" i="64"/>
  <c r="E44"/>
  <c r="E37"/>
  <c r="AB47" i="97"/>
  <c r="AB48"/>
  <c r="AB49"/>
  <c r="AB50"/>
  <c r="AB51"/>
  <c r="AB52"/>
  <c r="E44" i="76"/>
  <c r="E37"/>
  <c r="E32"/>
  <c r="E44" i="75"/>
  <c r="E37"/>
  <c r="E32"/>
  <c r="E44" i="74"/>
  <c r="E37"/>
  <c r="E32"/>
  <c r="E44" i="73"/>
  <c r="E37"/>
  <c r="E32"/>
  <c r="E44" i="72"/>
  <c r="E37"/>
  <c r="E32"/>
  <c r="E44" i="71"/>
  <c r="E37"/>
  <c r="E32"/>
  <c r="E44" i="70"/>
  <c r="E37"/>
  <c r="E32"/>
  <c r="E44" i="69"/>
  <c r="E37"/>
  <c r="E32"/>
  <c r="E38" i="68"/>
  <c r="E32"/>
  <c r="E44" i="67"/>
  <c r="E37"/>
  <c r="E32"/>
  <c r="E27"/>
  <c r="E37" i="66"/>
  <c r="E32"/>
  <c r="E27"/>
  <c r="E32" i="64"/>
  <c r="AG48" i="97"/>
  <c r="AG49"/>
  <c r="AG50"/>
  <c r="AF48"/>
  <c r="AF49"/>
  <c r="AF50"/>
  <c r="AE48"/>
  <c r="AE49"/>
  <c r="AE50"/>
  <c r="AD48"/>
  <c r="AD49"/>
  <c r="AD50"/>
  <c r="AC48"/>
  <c r="AC49"/>
  <c r="AC50"/>
  <c r="AA48"/>
  <c r="AA49"/>
  <c r="AA50"/>
  <c r="Z48"/>
  <c r="Z49"/>
  <c r="Z50"/>
  <c r="Y48"/>
  <c r="Y49"/>
  <c r="Y50"/>
  <c r="X48"/>
  <c r="X49"/>
  <c r="X50"/>
  <c r="W48"/>
  <c r="W49"/>
  <c r="W50"/>
  <c r="V48"/>
  <c r="V49"/>
  <c r="V50"/>
  <c r="U48"/>
  <c r="U49"/>
  <c r="U50"/>
  <c r="R48"/>
  <c r="R49"/>
  <c r="R50"/>
  <c r="Q48"/>
  <c r="Q49"/>
  <c r="Q50"/>
  <c r="P48"/>
  <c r="P49"/>
  <c r="P50"/>
  <c r="O48"/>
  <c r="O49"/>
  <c r="O50"/>
  <c r="N48"/>
  <c r="N49"/>
  <c r="N50"/>
  <c r="M48"/>
  <c r="M49"/>
  <c r="M50"/>
  <c r="L48"/>
  <c r="L49"/>
  <c r="L50"/>
  <c r="K48"/>
  <c r="K49"/>
  <c r="K50"/>
  <c r="J48"/>
  <c r="J49"/>
  <c r="J50"/>
  <c r="J47"/>
  <c r="I48"/>
  <c r="I49"/>
  <c r="I50"/>
  <c r="H48"/>
  <c r="H49"/>
  <c r="H50"/>
  <c r="G48"/>
  <c r="G49"/>
  <c r="G50"/>
  <c r="F48"/>
  <c r="F49"/>
  <c r="F50"/>
  <c r="F47"/>
  <c r="E48"/>
  <c r="E49"/>
  <c r="E50"/>
  <c r="E47"/>
  <c r="D48"/>
  <c r="D49"/>
  <c r="D50"/>
  <c r="AG29"/>
  <c r="AG30"/>
  <c r="AG31"/>
  <c r="AG32"/>
  <c r="AG33"/>
  <c r="AF29"/>
  <c r="AF30"/>
  <c r="AF31"/>
  <c r="AF32"/>
  <c r="AF33"/>
  <c r="AE29"/>
  <c r="AE30"/>
  <c r="AE31"/>
  <c r="AE32"/>
  <c r="AE33"/>
  <c r="AD29"/>
  <c r="AD30"/>
  <c r="AD31"/>
  <c r="AD32"/>
  <c r="AD33"/>
  <c r="AC29"/>
  <c r="AC30"/>
  <c r="AC31"/>
  <c r="AC32"/>
  <c r="AC33"/>
  <c r="AB29"/>
  <c r="AB30"/>
  <c r="AB31"/>
  <c r="AB32"/>
  <c r="AB33"/>
  <c r="AA29"/>
  <c r="AA30"/>
  <c r="AA31"/>
  <c r="AA32"/>
  <c r="AA33"/>
  <c r="Z29"/>
  <c r="Z30"/>
  <c r="Z31"/>
  <c r="Z32"/>
  <c r="Z33"/>
  <c r="Y29"/>
  <c r="Y30"/>
  <c r="Y31"/>
  <c r="Y32"/>
  <c r="Y33"/>
  <c r="X29"/>
  <c r="X30"/>
  <c r="X31"/>
  <c r="X32"/>
  <c r="X33"/>
  <c r="W29"/>
  <c r="W30"/>
  <c r="W31"/>
  <c r="W32"/>
  <c r="W33"/>
  <c r="V29"/>
  <c r="V30"/>
  <c r="V31"/>
  <c r="V32"/>
  <c r="V33"/>
  <c r="U29"/>
  <c r="U30"/>
  <c r="U31"/>
  <c r="U32"/>
  <c r="U33"/>
  <c r="T29"/>
  <c r="T30"/>
  <c r="T31"/>
  <c r="T32"/>
  <c r="T33"/>
  <c r="S29"/>
  <c r="S30"/>
  <c r="S31"/>
  <c r="S32"/>
  <c r="S33"/>
  <c r="R29"/>
  <c r="R30"/>
  <c r="R31"/>
  <c r="R32"/>
  <c r="R33"/>
  <c r="Q29"/>
  <c r="Q30"/>
  <c r="Q31"/>
  <c r="Q32"/>
  <c r="Q33"/>
  <c r="P29"/>
  <c r="P30"/>
  <c r="P31"/>
  <c r="P32"/>
  <c r="P33"/>
  <c r="O29"/>
  <c r="O30"/>
  <c r="O31"/>
  <c r="O32"/>
  <c r="O33"/>
  <c r="N29"/>
  <c r="N30"/>
  <c r="N31"/>
  <c r="N32"/>
  <c r="N33"/>
  <c r="N28"/>
  <c r="M29"/>
  <c r="M30"/>
  <c r="M31"/>
  <c r="M32"/>
  <c r="M33"/>
  <c r="L29"/>
  <c r="L30"/>
  <c r="L31"/>
  <c r="L32"/>
  <c r="L33"/>
  <c r="K29"/>
  <c r="K30"/>
  <c r="K31"/>
  <c r="K32"/>
  <c r="K33"/>
  <c r="J29"/>
  <c r="J30"/>
  <c r="J31"/>
  <c r="J32"/>
  <c r="J33"/>
  <c r="I29"/>
  <c r="I30"/>
  <c r="I31"/>
  <c r="I32"/>
  <c r="I33"/>
  <c r="H29"/>
  <c r="H30"/>
  <c r="H31"/>
  <c r="H32"/>
  <c r="H33"/>
  <c r="G29"/>
  <c r="G30"/>
  <c r="G31"/>
  <c r="G32"/>
  <c r="G33"/>
  <c r="F29"/>
  <c r="F30"/>
  <c r="F31"/>
  <c r="F32"/>
  <c r="F33"/>
  <c r="E29"/>
  <c r="E30"/>
  <c r="E31"/>
  <c r="E32"/>
  <c r="E33"/>
  <c r="D29"/>
  <c r="D30"/>
  <c r="D31"/>
  <c r="D32"/>
  <c r="D33"/>
  <c r="C48"/>
  <c r="C49"/>
  <c r="C50"/>
  <c r="C29"/>
  <c r="C30"/>
  <c r="C31"/>
  <c r="C32"/>
  <c r="C33"/>
  <c r="AH50" l="1"/>
  <c r="AH49"/>
  <c r="AH31"/>
  <c r="AH30"/>
  <c r="AH48"/>
  <c r="AH32"/>
  <c r="AH33"/>
  <c r="AK33" s="1"/>
  <c r="AH29"/>
  <c r="AG44"/>
  <c r="AG45"/>
  <c r="AF44"/>
  <c r="AF45"/>
  <c r="AE44"/>
  <c r="AE45"/>
  <c r="Z45"/>
  <c r="Z35"/>
  <c r="Z36"/>
  <c r="Z37"/>
  <c r="Z38"/>
  <c r="Z39"/>
  <c r="Z40"/>
  <c r="Z41"/>
  <c r="Z42"/>
  <c r="Z43"/>
  <c r="Z44"/>
  <c r="Z34"/>
  <c r="AE43"/>
  <c r="AD44"/>
  <c r="AD45"/>
  <c r="AC44"/>
  <c r="AC45"/>
  <c r="AB44"/>
  <c r="AB45"/>
  <c r="AA44"/>
  <c r="AA45"/>
  <c r="Y44"/>
  <c r="Y45"/>
  <c r="X44"/>
  <c r="X45"/>
  <c r="W44"/>
  <c r="W45"/>
  <c r="V44"/>
  <c r="V45"/>
  <c r="V43"/>
  <c r="U44"/>
  <c r="U45"/>
  <c r="T44"/>
  <c r="T45"/>
  <c r="S44"/>
  <c r="S45"/>
  <c r="R44"/>
  <c r="R45"/>
  <c r="Q44"/>
  <c r="Q45"/>
  <c r="P44"/>
  <c r="P45"/>
  <c r="O44"/>
  <c r="O45"/>
  <c r="N44"/>
  <c r="N45"/>
  <c r="N43"/>
  <c r="M44"/>
  <c r="M45"/>
  <c r="L44"/>
  <c r="L45"/>
  <c r="K44"/>
  <c r="K45"/>
  <c r="J44"/>
  <c r="J45"/>
  <c r="I44"/>
  <c r="I45"/>
  <c r="H44"/>
  <c r="H45"/>
  <c r="G45"/>
  <c r="G44"/>
  <c r="F44"/>
  <c r="F45"/>
  <c r="F43"/>
  <c r="E44"/>
  <c r="E45"/>
  <c r="D44"/>
  <c r="D45"/>
  <c r="C44"/>
  <c r="C45"/>
  <c r="C43"/>
  <c r="D43"/>
  <c r="D33" i="95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C33"/>
  <c r="C34"/>
  <c r="C35"/>
  <c r="C36"/>
  <c r="C37"/>
  <c r="C38"/>
  <c r="C39"/>
  <c r="C40"/>
  <c r="C41"/>
  <c r="C42"/>
  <c r="C43"/>
  <c r="D32"/>
  <c r="G36"/>
  <c r="G37"/>
  <c r="G38"/>
  <c r="G39"/>
  <c r="G40"/>
  <c r="G41"/>
  <c r="G42"/>
  <c r="G43"/>
  <c r="G35"/>
  <c r="F36"/>
  <c r="F37"/>
  <c r="F38"/>
  <c r="F39"/>
  <c r="F40"/>
  <c r="F41"/>
  <c r="F42"/>
  <c r="F43"/>
  <c r="F35"/>
  <c r="E36"/>
  <c r="E37"/>
  <c r="E38"/>
  <c r="E39"/>
  <c r="E40"/>
  <c r="E41"/>
  <c r="E42"/>
  <c r="E43"/>
  <c r="E35"/>
  <c r="BL41"/>
  <c r="BL42"/>
  <c r="BL43"/>
  <c r="BK41"/>
  <c r="BK42"/>
  <c r="BK43"/>
  <c r="BJ41"/>
  <c r="BJ42"/>
  <c r="BJ43"/>
  <c r="BI41"/>
  <c r="BI42"/>
  <c r="BI43"/>
  <c r="BH41"/>
  <c r="BH42"/>
  <c r="BH43"/>
  <c r="BG41"/>
  <c r="BG42"/>
  <c r="BG43"/>
  <c r="BF41"/>
  <c r="BF42"/>
  <c r="BF43"/>
  <c r="BE41"/>
  <c r="BE42"/>
  <c r="BE43"/>
  <c r="BD41"/>
  <c r="BD42"/>
  <c r="BD43"/>
  <c r="BC41"/>
  <c r="BC42"/>
  <c r="BC43"/>
  <c r="BB41"/>
  <c r="BB42"/>
  <c r="BB43"/>
  <c r="BA41"/>
  <c r="BA42"/>
  <c r="BA43"/>
  <c r="AZ41"/>
  <c r="AZ42"/>
  <c r="AZ43"/>
  <c r="AY41"/>
  <c r="AY42"/>
  <c r="AY43"/>
  <c r="AX41"/>
  <c r="AX42"/>
  <c r="AX43"/>
  <c r="AW41"/>
  <c r="AW42"/>
  <c r="AW43"/>
  <c r="AV41"/>
  <c r="AV42"/>
  <c r="AV43"/>
  <c r="AU41"/>
  <c r="AU42"/>
  <c r="AU43"/>
  <c r="AT41"/>
  <c r="AT42"/>
  <c r="AT43"/>
  <c r="AS41"/>
  <c r="AS42"/>
  <c r="AS43"/>
  <c r="AR41"/>
  <c r="AR42"/>
  <c r="AR43"/>
  <c r="AQ41"/>
  <c r="AQ42"/>
  <c r="AQ43"/>
  <c r="AP41"/>
  <c r="AP42"/>
  <c r="AP43"/>
  <c r="AO41"/>
  <c r="AO42"/>
  <c r="AO43"/>
  <c r="AO40"/>
  <c r="AN41"/>
  <c r="AN42"/>
  <c r="AN43"/>
  <c r="AM41"/>
  <c r="AM42"/>
  <c r="AM43"/>
  <c r="AL41"/>
  <c r="AL42"/>
  <c r="AL43"/>
  <c r="AK41"/>
  <c r="AK42"/>
  <c r="AK43"/>
  <c r="AJ41"/>
  <c r="AJ42"/>
  <c r="AJ43"/>
  <c r="AI41"/>
  <c r="AI42"/>
  <c r="AI43"/>
  <c r="AH41"/>
  <c r="AH42"/>
  <c r="AH43"/>
  <c r="AG41"/>
  <c r="AG42"/>
  <c r="AG43"/>
  <c r="AF41"/>
  <c r="AF42"/>
  <c r="AF43"/>
  <c r="AE41"/>
  <c r="AE42"/>
  <c r="AE43"/>
  <c r="AD41"/>
  <c r="AD42"/>
  <c r="AD43"/>
  <c r="AC41"/>
  <c r="AC42"/>
  <c r="AC43"/>
  <c r="AB41"/>
  <c r="AB42"/>
  <c r="AB43"/>
  <c r="AA41"/>
  <c r="AA42"/>
  <c r="AA43"/>
  <c r="Z41"/>
  <c r="Z42"/>
  <c r="Z43"/>
  <c r="Y41"/>
  <c r="Y42"/>
  <c r="Y43"/>
  <c r="X41"/>
  <c r="X42"/>
  <c r="X43"/>
  <c r="W41"/>
  <c r="W42"/>
  <c r="W43"/>
  <c r="V41"/>
  <c r="V42"/>
  <c r="V43"/>
  <c r="U41"/>
  <c r="U42"/>
  <c r="U43"/>
  <c r="T41"/>
  <c r="T42"/>
  <c r="T43"/>
  <c r="T40"/>
  <c r="S41"/>
  <c r="S42"/>
  <c r="S43"/>
  <c r="R41"/>
  <c r="R42"/>
  <c r="R43"/>
  <c r="Q41"/>
  <c r="Q42"/>
  <c r="Q43"/>
  <c r="P41"/>
  <c r="P42"/>
  <c r="P43"/>
  <c r="O41"/>
  <c r="O42"/>
  <c r="O43"/>
  <c r="N41"/>
  <c r="N42"/>
  <c r="N43"/>
  <c r="M41"/>
  <c r="M42"/>
  <c r="M43"/>
  <c r="L41"/>
  <c r="L42"/>
  <c r="L43"/>
  <c r="K41"/>
  <c r="K42"/>
  <c r="K43"/>
  <c r="J41"/>
  <c r="J42"/>
  <c r="J43"/>
  <c r="I41"/>
  <c r="I42"/>
  <c r="I43"/>
  <c r="H41"/>
  <c r="H42"/>
  <c r="H43"/>
  <c r="AG59" i="97"/>
  <c r="AG60"/>
  <c r="AF59"/>
  <c r="AF60"/>
  <c r="AE59"/>
  <c r="AE60"/>
  <c r="AD59"/>
  <c r="AD60"/>
  <c r="AC59"/>
  <c r="AC60"/>
  <c r="AB59"/>
  <c r="AB60"/>
  <c r="AA59"/>
  <c r="AA60"/>
  <c r="Z59"/>
  <c r="Z60"/>
  <c r="Y59"/>
  <c r="Y60"/>
  <c r="X59"/>
  <c r="X60"/>
  <c r="W59"/>
  <c r="W60"/>
  <c r="V59"/>
  <c r="V60"/>
  <c r="U59"/>
  <c r="U60"/>
  <c r="T59"/>
  <c r="T60"/>
  <c r="S59"/>
  <c r="S60"/>
  <c r="R59"/>
  <c r="R60"/>
  <c r="Q59"/>
  <c r="Q60"/>
  <c r="P59"/>
  <c r="P60"/>
  <c r="O59"/>
  <c r="O60"/>
  <c r="N59"/>
  <c r="N60"/>
  <c r="M59"/>
  <c r="M60"/>
  <c r="L59"/>
  <c r="L60"/>
  <c r="K59"/>
  <c r="K60"/>
  <c r="J59"/>
  <c r="J60"/>
  <c r="I59"/>
  <c r="I60"/>
  <c r="H59"/>
  <c r="H60"/>
  <c r="G59"/>
  <c r="G60"/>
  <c r="F59"/>
  <c r="F60"/>
  <c r="E59"/>
  <c r="E60"/>
  <c r="D59"/>
  <c r="D60"/>
  <c r="C59"/>
  <c r="C60"/>
  <c r="D61" i="64"/>
  <c r="C51" i="105"/>
  <c r="C52"/>
  <c r="D51"/>
  <c r="E51"/>
  <c r="E52"/>
  <c r="F51"/>
  <c r="F52"/>
  <c r="G51"/>
  <c r="G52"/>
  <c r="H51"/>
  <c r="H52"/>
  <c r="I51"/>
  <c r="I52"/>
  <c r="J51"/>
  <c r="J52"/>
  <c r="K51"/>
  <c r="K52"/>
  <c r="L51"/>
  <c r="L52"/>
  <c r="M51"/>
  <c r="M52"/>
  <c r="N51"/>
  <c r="N52"/>
  <c r="C53"/>
  <c r="BL52"/>
  <c r="BK52"/>
  <c r="BJ52"/>
  <c r="BI52"/>
  <c r="BH52"/>
  <c r="BG52"/>
  <c r="BF52"/>
  <c r="BE52"/>
  <c r="BD52"/>
  <c r="BC52"/>
  <c r="BB52"/>
  <c r="BA52"/>
  <c r="AZ52"/>
  <c r="AY52"/>
  <c r="AX52"/>
  <c r="AW52"/>
  <c r="AV52"/>
  <c r="AU52"/>
  <c r="AT52"/>
  <c r="AS52"/>
  <c r="AR52"/>
  <c r="AQ52"/>
  <c r="AP52"/>
  <c r="AO52"/>
  <c r="AN52"/>
  <c r="AM52"/>
  <c r="AL52"/>
  <c r="AK52"/>
  <c r="AJ52"/>
  <c r="AI52"/>
  <c r="AH52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D52"/>
  <c r="BL51"/>
  <c r="BK51"/>
  <c r="BJ51"/>
  <c r="BI51"/>
  <c r="BH51"/>
  <c r="BG51"/>
  <c r="BF51"/>
  <c r="BE51"/>
  <c r="BD51"/>
  <c r="BC51"/>
  <c r="BB51"/>
  <c r="BA51"/>
  <c r="AZ51"/>
  <c r="AY51"/>
  <c r="AX51"/>
  <c r="AW51"/>
  <c r="AV51"/>
  <c r="AU51"/>
  <c r="AT51"/>
  <c r="AS51"/>
  <c r="AR51"/>
  <c r="AQ51"/>
  <c r="AP51"/>
  <c r="AO51"/>
  <c r="AN51"/>
  <c r="AM51"/>
  <c r="AL51"/>
  <c r="AK51"/>
  <c r="AJ51"/>
  <c r="AI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C59" i="95"/>
  <c r="BK60"/>
  <c r="BK59"/>
  <c r="BK58"/>
  <c r="BJ60"/>
  <c r="BJ59"/>
  <c r="BI60"/>
  <c r="BI59"/>
  <c r="BH60"/>
  <c r="BH59"/>
  <c r="BG60"/>
  <c r="BG59"/>
  <c r="BF60"/>
  <c r="BF59"/>
  <c r="BF58"/>
  <c r="BE60"/>
  <c r="BE59"/>
  <c r="BD60"/>
  <c r="BD59"/>
  <c r="BC60"/>
  <c r="BC59"/>
  <c r="BB60"/>
  <c r="BB59"/>
  <c r="BA60"/>
  <c r="BA59"/>
  <c r="BA58"/>
  <c r="AZ59"/>
  <c r="AQ58"/>
  <c r="AP59"/>
  <c r="AP60"/>
  <c r="AO59"/>
  <c r="AO60"/>
  <c r="AO58"/>
  <c r="AZ60"/>
  <c r="AY60"/>
  <c r="AY59"/>
  <c r="AX60"/>
  <c r="AX59"/>
  <c r="AW60"/>
  <c r="AW59"/>
  <c r="AW58"/>
  <c r="AV60"/>
  <c r="AV59"/>
  <c r="AU60"/>
  <c r="AU59"/>
  <c r="AT60"/>
  <c r="AT59"/>
  <c r="AS60"/>
  <c r="AS59"/>
  <c r="AR60"/>
  <c r="AR59"/>
  <c r="AQ60"/>
  <c r="AQ59"/>
  <c r="AP58"/>
  <c r="AN60"/>
  <c r="AN59"/>
  <c r="AM60"/>
  <c r="AM59"/>
  <c r="AM58"/>
  <c r="AL60"/>
  <c r="AL59"/>
  <c r="AK60"/>
  <c r="AK59"/>
  <c r="AJ60"/>
  <c r="AJ59"/>
  <c r="X14"/>
  <c r="AI60"/>
  <c r="AI59"/>
  <c r="AH60"/>
  <c r="AH59"/>
  <c r="AG60"/>
  <c r="AG59"/>
  <c r="AF59"/>
  <c r="AG58"/>
  <c r="AF60"/>
  <c r="AE60"/>
  <c r="AE59"/>
  <c r="AD60"/>
  <c r="AD59"/>
  <c r="AD58"/>
  <c r="AC58"/>
  <c r="BL60"/>
  <c r="BL59"/>
  <c r="AC60"/>
  <c r="AC59"/>
  <c r="AB59"/>
  <c r="AB60"/>
  <c r="AB58"/>
  <c r="AA60"/>
  <c r="AA59"/>
  <c r="Z59"/>
  <c r="Z60"/>
  <c r="Y60"/>
  <c r="Y59"/>
  <c r="Y58"/>
  <c r="X59"/>
  <c r="X60"/>
  <c r="X58"/>
  <c r="W60"/>
  <c r="W59"/>
  <c r="V59"/>
  <c r="V60"/>
  <c r="U59"/>
  <c r="U60"/>
  <c r="T59"/>
  <c r="T60"/>
  <c r="T58"/>
  <c r="S60"/>
  <c r="S59"/>
  <c r="S58"/>
  <c r="R59"/>
  <c r="R60"/>
  <c r="R58"/>
  <c r="Q59"/>
  <c r="Q60"/>
  <c r="Q58"/>
  <c r="P60"/>
  <c r="P59"/>
  <c r="P58"/>
  <c r="O59"/>
  <c r="O60"/>
  <c r="N59"/>
  <c r="N60"/>
  <c r="M59"/>
  <c r="M60"/>
  <c r="L59"/>
  <c r="L60"/>
  <c r="K59"/>
  <c r="K60"/>
  <c r="J59"/>
  <c r="J60"/>
  <c r="I59"/>
  <c r="I60"/>
  <c r="I58"/>
  <c r="H59"/>
  <c r="H60"/>
  <c r="H58"/>
  <c r="G60"/>
  <c r="G59"/>
  <c r="F60"/>
  <c r="F59"/>
  <c r="F58"/>
  <c r="E59"/>
  <c r="E60"/>
  <c r="E58"/>
  <c r="C60"/>
  <c r="C58"/>
  <c r="AG11" i="97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C7"/>
  <c r="E10"/>
  <c r="AK32" l="1"/>
  <c r="AK50"/>
  <c r="AK49"/>
  <c r="AK48"/>
  <c r="AK31"/>
  <c r="AK30"/>
  <c r="AK29"/>
  <c r="AH45"/>
  <c r="AK45" s="1"/>
  <c r="AH44"/>
  <c r="AK44" s="1"/>
  <c r="BM42" i="95"/>
  <c r="BM43"/>
  <c r="BN43"/>
  <c r="BN41"/>
  <c r="BN42"/>
  <c r="AH59" i="97"/>
  <c r="AH60"/>
  <c r="AK60" s="1"/>
  <c r="BM41" i="95"/>
  <c r="BN51" i="105"/>
  <c r="BM51"/>
  <c r="BM52"/>
  <c r="BN52"/>
  <c r="BM60" i="95"/>
  <c r="BN59"/>
  <c r="BN60"/>
  <c r="BM59"/>
  <c r="AH11" i="97"/>
  <c r="AK11" s="1"/>
  <c r="AH8"/>
  <c r="AK8" s="1"/>
  <c r="E27" i="90"/>
  <c r="M16" i="97"/>
  <c r="D61" i="91"/>
  <c r="AK59" i="97" l="1"/>
  <c r="I37"/>
  <c r="J37"/>
  <c r="K37"/>
  <c r="L37"/>
  <c r="M37"/>
  <c r="N37"/>
  <c r="O37"/>
  <c r="P37"/>
  <c r="Q37"/>
  <c r="R37"/>
  <c r="S37"/>
  <c r="T37"/>
  <c r="U37"/>
  <c r="V37"/>
  <c r="W37"/>
  <c r="X37"/>
  <c r="Y37"/>
  <c r="AA37"/>
  <c r="AB37"/>
  <c r="AC37"/>
  <c r="AD37"/>
  <c r="AE37"/>
  <c r="AF37"/>
  <c r="AG37"/>
  <c r="I36"/>
  <c r="J36"/>
  <c r="K36"/>
  <c r="L36"/>
  <c r="M36"/>
  <c r="N36"/>
  <c r="O36"/>
  <c r="P36"/>
  <c r="Q36"/>
  <c r="R36"/>
  <c r="S36"/>
  <c r="T36"/>
  <c r="U36"/>
  <c r="V36"/>
  <c r="W36"/>
  <c r="X36"/>
  <c r="Y36"/>
  <c r="AA36"/>
  <c r="AB36"/>
  <c r="AC36"/>
  <c r="AD36"/>
  <c r="AE36"/>
  <c r="AF36"/>
  <c r="AG36"/>
  <c r="BN64" i="95"/>
  <c r="C37" i="97"/>
  <c r="D37"/>
  <c r="E37"/>
  <c r="F37"/>
  <c r="G37"/>
  <c r="H37"/>
  <c r="AH37" l="1"/>
  <c r="AK37" l="1"/>
  <c r="D61" i="87"/>
  <c r="D61" i="86"/>
  <c r="D61" i="78"/>
  <c r="D61" i="77"/>
  <c r="D61" i="75"/>
  <c r="D61" i="74"/>
  <c r="D61" i="73"/>
  <c r="D61" i="71"/>
  <c r="E27" i="83"/>
  <c r="E27" i="82"/>
  <c r="E42" i="96" l="1"/>
  <c r="E27"/>
  <c r="E42" i="94"/>
  <c r="E27"/>
  <c r="E27" i="93"/>
  <c r="E27" i="92"/>
  <c r="E42" i="91"/>
  <c r="E27"/>
  <c r="E27" i="89"/>
  <c r="E27" i="88"/>
  <c r="E27" i="87"/>
  <c r="E27" i="86"/>
  <c r="E27" i="85"/>
  <c r="E42" i="84"/>
  <c r="E27"/>
  <c r="E27" i="81"/>
  <c r="E42" i="80"/>
  <c r="E27"/>
  <c r="E42" i="79"/>
  <c r="E27"/>
  <c r="E27" i="78"/>
  <c r="E42" i="77"/>
  <c r="E27"/>
  <c r="E27" i="76"/>
  <c r="E27" i="75"/>
  <c r="E27" i="74"/>
  <c r="E27" i="73"/>
  <c r="E27" i="72"/>
  <c r="E27" i="71"/>
  <c r="E27" i="70"/>
  <c r="E27" i="69"/>
  <c r="E27" i="68"/>
  <c r="D61" i="88"/>
  <c r="D61" i="76"/>
  <c r="D61" i="66"/>
  <c r="D61" i="83"/>
  <c r="D61" i="69"/>
  <c r="D61" i="68"/>
  <c r="D61" i="94" l="1"/>
  <c r="D61" i="96"/>
  <c r="D61" i="93"/>
  <c r="D61" i="92"/>
  <c r="D61" i="85"/>
  <c r="D61" i="81"/>
  <c r="D61" i="80"/>
  <c r="D61" i="89"/>
  <c r="D61" i="90"/>
  <c r="D61" i="84"/>
  <c r="D61" i="79"/>
  <c r="D61" i="82"/>
  <c r="D61" i="67"/>
  <c r="D61" i="70"/>
  <c r="N53" i="105"/>
  <c r="M53"/>
  <c r="L53"/>
  <c r="K53"/>
  <c r="J53"/>
  <c r="I53"/>
  <c r="H53"/>
  <c r="G53"/>
  <c r="F53"/>
  <c r="E53"/>
  <c r="D53"/>
  <c r="N50"/>
  <c r="M50"/>
  <c r="L50"/>
  <c r="K50"/>
  <c r="J50"/>
  <c r="I50"/>
  <c r="H50"/>
  <c r="G50"/>
  <c r="F50"/>
  <c r="E50"/>
  <c r="D50"/>
  <c r="C50"/>
  <c r="N49"/>
  <c r="M49"/>
  <c r="L49"/>
  <c r="K49"/>
  <c r="J49"/>
  <c r="I49"/>
  <c r="H49"/>
  <c r="G49"/>
  <c r="F49"/>
  <c r="E49"/>
  <c r="D49"/>
  <c r="C49"/>
  <c r="N48"/>
  <c r="M48"/>
  <c r="L48"/>
  <c r="K48"/>
  <c r="J48"/>
  <c r="I48"/>
  <c r="H48"/>
  <c r="G48"/>
  <c r="F48"/>
  <c r="E48"/>
  <c r="D48"/>
  <c r="C48"/>
  <c r="N47"/>
  <c r="M47"/>
  <c r="L47"/>
  <c r="K47"/>
  <c r="J47"/>
  <c r="I47"/>
  <c r="H47"/>
  <c r="G47"/>
  <c r="F47"/>
  <c r="E47"/>
  <c r="D47"/>
  <c r="C47"/>
  <c r="N46"/>
  <c r="M46"/>
  <c r="L46"/>
  <c r="K46"/>
  <c r="J46"/>
  <c r="I46"/>
  <c r="H46"/>
  <c r="G46"/>
  <c r="F46"/>
  <c r="E46"/>
  <c r="D46"/>
  <c r="C46"/>
  <c r="N45"/>
  <c r="M45"/>
  <c r="L45"/>
  <c r="K45"/>
  <c r="J45"/>
  <c r="I45"/>
  <c r="H45"/>
  <c r="G45"/>
  <c r="F45"/>
  <c r="E45"/>
  <c r="D45"/>
  <c r="C45"/>
  <c r="N44"/>
  <c r="M44"/>
  <c r="L44"/>
  <c r="K44"/>
  <c r="J44"/>
  <c r="I44"/>
  <c r="H44"/>
  <c r="G44"/>
  <c r="F44"/>
  <c r="E44"/>
  <c r="D44"/>
  <c r="C44"/>
  <c r="N43"/>
  <c r="M43"/>
  <c r="L43"/>
  <c r="K43"/>
  <c r="J43"/>
  <c r="I43"/>
  <c r="H43"/>
  <c r="G43"/>
  <c r="F43"/>
  <c r="E43"/>
  <c r="D43"/>
  <c r="C43"/>
  <c r="N42"/>
  <c r="M42"/>
  <c r="L42"/>
  <c r="K42"/>
  <c r="J42"/>
  <c r="I42"/>
  <c r="H42"/>
  <c r="G42"/>
  <c r="F42"/>
  <c r="E42"/>
  <c r="D42"/>
  <c r="C42"/>
  <c r="N41"/>
  <c r="M41"/>
  <c r="L41"/>
  <c r="K41"/>
  <c r="J41"/>
  <c r="I41"/>
  <c r="H41"/>
  <c r="G41"/>
  <c r="F41"/>
  <c r="E41"/>
  <c r="D41"/>
  <c r="C41"/>
  <c r="N40"/>
  <c r="M40"/>
  <c r="L40"/>
  <c r="K40"/>
  <c r="J40"/>
  <c r="I40"/>
  <c r="H40"/>
  <c r="G40"/>
  <c r="F40"/>
  <c r="E40"/>
  <c r="D40"/>
  <c r="C40"/>
  <c r="N39"/>
  <c r="M39"/>
  <c r="L39"/>
  <c r="K39"/>
  <c r="J39"/>
  <c r="I39"/>
  <c r="H39"/>
  <c r="G39"/>
  <c r="F39"/>
  <c r="E39"/>
  <c r="D39"/>
  <c r="C39"/>
  <c r="N38"/>
  <c r="M38"/>
  <c r="L38"/>
  <c r="K38"/>
  <c r="J38"/>
  <c r="I38"/>
  <c r="H38"/>
  <c r="G38"/>
  <c r="F38"/>
  <c r="E38"/>
  <c r="D38"/>
  <c r="C38"/>
  <c r="N37"/>
  <c r="M37"/>
  <c r="L37"/>
  <c r="K37"/>
  <c r="J37"/>
  <c r="I37"/>
  <c r="H37"/>
  <c r="G37"/>
  <c r="F37"/>
  <c r="E37"/>
  <c r="D37"/>
  <c r="C37"/>
  <c r="N36"/>
  <c r="M36"/>
  <c r="L36"/>
  <c r="K36"/>
  <c r="J36"/>
  <c r="I36"/>
  <c r="H36"/>
  <c r="G36"/>
  <c r="F36"/>
  <c r="E36"/>
  <c r="D36"/>
  <c r="C36"/>
  <c r="N35"/>
  <c r="M35"/>
  <c r="L35"/>
  <c r="K35"/>
  <c r="J35"/>
  <c r="I35"/>
  <c r="H35"/>
  <c r="G35"/>
  <c r="F35"/>
  <c r="E35"/>
  <c r="D35"/>
  <c r="C35"/>
  <c r="N34"/>
  <c r="M34"/>
  <c r="L34"/>
  <c r="K34"/>
  <c r="J34"/>
  <c r="I34"/>
  <c r="H34"/>
  <c r="G34"/>
  <c r="F34"/>
  <c r="E34"/>
  <c r="D34"/>
  <c r="C34"/>
  <c r="N33"/>
  <c r="M33"/>
  <c r="L33"/>
  <c r="K33"/>
  <c r="J33"/>
  <c r="I33"/>
  <c r="H33"/>
  <c r="G33"/>
  <c r="F33"/>
  <c r="E33"/>
  <c r="D33"/>
  <c r="C33"/>
  <c r="N32"/>
  <c r="M32"/>
  <c r="L32"/>
  <c r="K32"/>
  <c r="J32"/>
  <c r="I32"/>
  <c r="H32"/>
  <c r="G32"/>
  <c r="F32"/>
  <c r="E32"/>
  <c r="D32"/>
  <c r="C32"/>
  <c r="N31"/>
  <c r="M31"/>
  <c r="L31"/>
  <c r="K31"/>
  <c r="J31"/>
  <c r="I31"/>
  <c r="H31"/>
  <c r="G31"/>
  <c r="F31"/>
  <c r="E31"/>
  <c r="D31"/>
  <c r="C31"/>
  <c r="N30"/>
  <c r="M30"/>
  <c r="L30"/>
  <c r="K30"/>
  <c r="J30"/>
  <c r="I30"/>
  <c r="H30"/>
  <c r="G30"/>
  <c r="F30"/>
  <c r="E30"/>
  <c r="D30"/>
  <c r="C30"/>
  <c r="N29"/>
  <c r="M29"/>
  <c r="L29"/>
  <c r="K29"/>
  <c r="J29"/>
  <c r="I29"/>
  <c r="H29"/>
  <c r="G29"/>
  <c r="F29"/>
  <c r="E29"/>
  <c r="D29"/>
  <c r="C29"/>
  <c r="N28"/>
  <c r="M28"/>
  <c r="L28"/>
  <c r="K28"/>
  <c r="J28"/>
  <c r="I28"/>
  <c r="H28"/>
  <c r="G28"/>
  <c r="F28"/>
  <c r="E28"/>
  <c r="D28"/>
  <c r="C28"/>
  <c r="N27"/>
  <c r="M27"/>
  <c r="L27"/>
  <c r="K27"/>
  <c r="J27"/>
  <c r="I27"/>
  <c r="H27"/>
  <c r="G27"/>
  <c r="F27"/>
  <c r="E27"/>
  <c r="D27"/>
  <c r="C27"/>
  <c r="N26"/>
  <c r="M26"/>
  <c r="L26"/>
  <c r="K26"/>
  <c r="J26"/>
  <c r="I26"/>
  <c r="H26"/>
  <c r="G26"/>
  <c r="F26"/>
  <c r="E26"/>
  <c r="D26"/>
  <c r="C26"/>
  <c r="N25"/>
  <c r="M25"/>
  <c r="L25"/>
  <c r="K25"/>
  <c r="J25"/>
  <c r="I25"/>
  <c r="H25"/>
  <c r="G25"/>
  <c r="F25"/>
  <c r="E25"/>
  <c r="D25"/>
  <c r="C25"/>
  <c r="N24"/>
  <c r="M24"/>
  <c r="L24"/>
  <c r="K24"/>
  <c r="J24"/>
  <c r="I24"/>
  <c r="H24"/>
  <c r="G24"/>
  <c r="F24"/>
  <c r="E24"/>
  <c r="D24"/>
  <c r="C24"/>
  <c r="N23"/>
  <c r="M23"/>
  <c r="L23"/>
  <c r="K23"/>
  <c r="J23"/>
  <c r="I23"/>
  <c r="H23"/>
  <c r="G23"/>
  <c r="F23"/>
  <c r="E23"/>
  <c r="D23"/>
  <c r="C23"/>
  <c r="N22"/>
  <c r="M22"/>
  <c r="L22"/>
  <c r="K22"/>
  <c r="J22"/>
  <c r="I22"/>
  <c r="H22"/>
  <c r="G22"/>
  <c r="F22"/>
  <c r="E22"/>
  <c r="D22"/>
  <c r="C22"/>
  <c r="N21"/>
  <c r="M21"/>
  <c r="L21"/>
  <c r="K21"/>
  <c r="J21"/>
  <c r="I21"/>
  <c r="H21"/>
  <c r="G21"/>
  <c r="F21"/>
  <c r="E21"/>
  <c r="D21"/>
  <c r="C21"/>
  <c r="N20"/>
  <c r="M20"/>
  <c r="L20"/>
  <c r="K20"/>
  <c r="J20"/>
  <c r="I20"/>
  <c r="H20"/>
  <c r="G20"/>
  <c r="F20"/>
  <c r="E20"/>
  <c r="D20"/>
  <c r="C20"/>
  <c r="N19"/>
  <c r="M19"/>
  <c r="L19"/>
  <c r="K19"/>
  <c r="J19"/>
  <c r="I19"/>
  <c r="H19"/>
  <c r="G19"/>
  <c r="F19"/>
  <c r="E19"/>
  <c r="D19"/>
  <c r="C19"/>
  <c r="N18"/>
  <c r="M18"/>
  <c r="L18"/>
  <c r="K18"/>
  <c r="J18"/>
  <c r="I18"/>
  <c r="H18"/>
  <c r="G18"/>
  <c r="F18"/>
  <c r="E18"/>
  <c r="D18"/>
  <c r="C18"/>
  <c r="N17"/>
  <c r="M17"/>
  <c r="L17"/>
  <c r="K17"/>
  <c r="J17"/>
  <c r="I17"/>
  <c r="H17"/>
  <c r="G17"/>
  <c r="F17"/>
  <c r="E17"/>
  <c r="D17"/>
  <c r="C17"/>
  <c r="N16"/>
  <c r="M16"/>
  <c r="L16"/>
  <c r="K16"/>
  <c r="J16"/>
  <c r="I16"/>
  <c r="H16"/>
  <c r="G16"/>
  <c r="F16"/>
  <c r="E16"/>
  <c r="D16"/>
  <c r="C16"/>
  <c r="N15"/>
  <c r="M15"/>
  <c r="L15"/>
  <c r="K15"/>
  <c r="J15"/>
  <c r="I15"/>
  <c r="H15"/>
  <c r="G15"/>
  <c r="F15"/>
  <c r="E15"/>
  <c r="D15"/>
  <c r="C15"/>
  <c r="N14"/>
  <c r="M14"/>
  <c r="L14"/>
  <c r="K14"/>
  <c r="J14"/>
  <c r="I14"/>
  <c r="H14"/>
  <c r="G14"/>
  <c r="F14"/>
  <c r="E14"/>
  <c r="D14"/>
  <c r="C14"/>
  <c r="N13"/>
  <c r="M13"/>
  <c r="L13"/>
  <c r="K13"/>
  <c r="J13"/>
  <c r="I13"/>
  <c r="H13"/>
  <c r="G13"/>
  <c r="F13"/>
  <c r="E13"/>
  <c r="D13"/>
  <c r="C13"/>
  <c r="N12"/>
  <c r="M12"/>
  <c r="L12"/>
  <c r="K12"/>
  <c r="J12"/>
  <c r="I12"/>
  <c r="H12"/>
  <c r="G12"/>
  <c r="F12"/>
  <c r="E12"/>
  <c r="D12"/>
  <c r="C12"/>
  <c r="N11"/>
  <c r="M11"/>
  <c r="L11"/>
  <c r="K11"/>
  <c r="J11"/>
  <c r="I11"/>
  <c r="H11"/>
  <c r="G11"/>
  <c r="F11"/>
  <c r="E11"/>
  <c r="D11"/>
  <c r="C11"/>
  <c r="N10"/>
  <c r="M10"/>
  <c r="L10"/>
  <c r="K10"/>
  <c r="J10"/>
  <c r="I10"/>
  <c r="H10"/>
  <c r="G10"/>
  <c r="F10"/>
  <c r="E10"/>
  <c r="D10"/>
  <c r="C10"/>
  <c r="N9"/>
  <c r="M9"/>
  <c r="L9"/>
  <c r="K9"/>
  <c r="J9"/>
  <c r="I9"/>
  <c r="H9"/>
  <c r="G9"/>
  <c r="F9"/>
  <c r="E9"/>
  <c r="D9"/>
  <c r="C9"/>
  <c r="N8"/>
  <c r="M8"/>
  <c r="L8"/>
  <c r="K8"/>
  <c r="J8"/>
  <c r="I8"/>
  <c r="H8"/>
  <c r="G8"/>
  <c r="F8"/>
  <c r="E8"/>
  <c r="D8"/>
  <c r="C8"/>
  <c r="N7"/>
  <c r="M7"/>
  <c r="L7"/>
  <c r="K7"/>
  <c r="J7"/>
  <c r="I7"/>
  <c r="H7"/>
  <c r="G7"/>
  <c r="F7"/>
  <c r="E7"/>
  <c r="D7"/>
  <c r="C7"/>
  <c r="N6"/>
  <c r="M6"/>
  <c r="L6"/>
  <c r="K6"/>
  <c r="J6"/>
  <c r="I6"/>
  <c r="H6"/>
  <c r="G6"/>
  <c r="F6"/>
  <c r="E6"/>
  <c r="D6"/>
  <c r="C6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"/>
  <c r="M5"/>
  <c r="L5"/>
  <c r="K5"/>
  <c r="J5"/>
  <c r="I5"/>
  <c r="H5"/>
  <c r="G5"/>
  <c r="F5"/>
  <c r="E5"/>
  <c r="D5"/>
  <c r="C5"/>
  <c r="C54" l="1"/>
  <c r="F54"/>
  <c r="N54"/>
  <c r="L54"/>
  <c r="K54"/>
  <c r="AH20"/>
  <c r="AK20" s="1"/>
  <c r="J54"/>
  <c r="H54"/>
  <c r="I54"/>
  <c r="G54"/>
  <c r="AH5"/>
  <c r="AH8"/>
  <c r="AK8" s="1"/>
  <c r="AH14"/>
  <c r="AK14" s="1"/>
  <c r="AH9"/>
  <c r="AK9" s="1"/>
  <c r="E54"/>
  <c r="AH50"/>
  <c r="AK50" s="1"/>
  <c r="AH28"/>
  <c r="AK28" s="1"/>
  <c r="AH32"/>
  <c r="AK32" s="1"/>
  <c r="AH34"/>
  <c r="AK34" s="1"/>
  <c r="AH38"/>
  <c r="AK38" s="1"/>
  <c r="AH42"/>
  <c r="AK42" s="1"/>
  <c r="AH48"/>
  <c r="AK48" s="1"/>
  <c r="AH11"/>
  <c r="AK11" s="1"/>
  <c r="AH12"/>
  <c r="AK12" s="1"/>
  <c r="AH22"/>
  <c r="AK22" s="1"/>
  <c r="AH26"/>
  <c r="AK26" s="1"/>
  <c r="AH30"/>
  <c r="AK30" s="1"/>
  <c r="AH36"/>
  <c r="AK36" s="1"/>
  <c r="AH40"/>
  <c r="AK40" s="1"/>
  <c r="AH44"/>
  <c r="AK44" s="1"/>
  <c r="AH46"/>
  <c r="AK46" s="1"/>
  <c r="AH10"/>
  <c r="AK10" s="1"/>
  <c r="AH16"/>
  <c r="AK16" s="1"/>
  <c r="AH18"/>
  <c r="AK18" s="1"/>
  <c r="AH6"/>
  <c r="AH7"/>
  <c r="AK7" s="1"/>
  <c r="AH13"/>
  <c r="AK13" s="1"/>
  <c r="AH21"/>
  <c r="AK21" s="1"/>
  <c r="AH23"/>
  <c r="AK23" s="1"/>
  <c r="AH25"/>
  <c r="AK25" s="1"/>
  <c r="AH27"/>
  <c r="AK27" s="1"/>
  <c r="AH29"/>
  <c r="AK29" s="1"/>
  <c r="AH31"/>
  <c r="AK31" s="1"/>
  <c r="AH33"/>
  <c r="AK33" s="1"/>
  <c r="AH35"/>
  <c r="AK35" s="1"/>
  <c r="AH37"/>
  <c r="AK37" s="1"/>
  <c r="AH39"/>
  <c r="AK39" s="1"/>
  <c r="AH41"/>
  <c r="AK41" s="1"/>
  <c r="AH43"/>
  <c r="AK43" s="1"/>
  <c r="AH45"/>
  <c r="AK45" s="1"/>
  <c r="AH47"/>
  <c r="AK47" s="1"/>
  <c r="AH49"/>
  <c r="AK49" s="1"/>
  <c r="AH53"/>
  <c r="AH15"/>
  <c r="AK15" s="1"/>
  <c r="AH17"/>
  <c r="AK17" s="1"/>
  <c r="AH19"/>
  <c r="AK19" s="1"/>
  <c r="AH24"/>
  <c r="AK24" s="1"/>
  <c r="M54"/>
  <c r="D54"/>
  <c r="AH54" l="1"/>
  <c r="AH55"/>
  <c r="AH56" l="1"/>
  <c r="AH62" s="1"/>
  <c r="AG58" i="97"/>
  <c r="G58" i="95" l="1"/>
  <c r="J58"/>
  <c r="K58"/>
  <c r="L58"/>
  <c r="M58"/>
  <c r="N58"/>
  <c r="O58"/>
  <c r="U58"/>
  <c r="V58"/>
  <c r="W58"/>
  <c r="Z58"/>
  <c r="AA58"/>
  <c r="AE58"/>
  <c r="AF58"/>
  <c r="AH58"/>
  <c r="AI58"/>
  <c r="AJ58"/>
  <c r="AK58"/>
  <c r="AL58"/>
  <c r="AN58"/>
  <c r="AR58"/>
  <c r="AS58"/>
  <c r="AT58"/>
  <c r="AU58"/>
  <c r="AV58"/>
  <c r="AX58"/>
  <c r="AY58"/>
  <c r="AZ58"/>
  <c r="BB58"/>
  <c r="BC58"/>
  <c r="BD58"/>
  <c r="BE58"/>
  <c r="BG58"/>
  <c r="BH58"/>
  <c r="BI58"/>
  <c r="BJ58"/>
  <c r="BL58"/>
  <c r="C58" i="97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BN58" i="95" l="1"/>
  <c r="AH58" i="97"/>
  <c r="AK58" s="1"/>
  <c r="BM58" i="95"/>
  <c r="BH50"/>
  <c r="BJ50"/>
  <c r="BI50"/>
  <c r="AD55" i="97"/>
  <c r="AF55"/>
  <c r="BI55" i="95"/>
  <c r="AE55" i="97"/>
  <c r="BG55" i="95"/>
  <c r="BE55"/>
  <c r="BD55"/>
  <c r="BC55"/>
  <c r="AB55" i="97"/>
  <c r="BA55" i="95"/>
  <c r="BF50"/>
  <c r="BE50"/>
  <c r="BC50"/>
  <c r="AY50"/>
  <c r="AX50"/>
  <c r="AU50"/>
  <c r="AT50"/>
  <c r="AN50"/>
  <c r="AW55"/>
  <c r="AV55"/>
  <c r="AU55"/>
  <c r="AT55"/>
  <c r="AS55"/>
  <c r="W55" i="97"/>
  <c r="V55"/>
  <c r="AO55" i="95"/>
  <c r="AN55"/>
  <c r="AM55"/>
  <c r="T55" i="97"/>
  <c r="R55"/>
  <c r="AG55" i="95"/>
  <c r="Q55" i="97"/>
  <c r="AE55" i="95"/>
  <c r="P55" i="97"/>
  <c r="AC55" i="95"/>
  <c r="AB55"/>
  <c r="AA55"/>
  <c r="N55" i="97"/>
  <c r="Y55" i="95"/>
  <c r="X55"/>
  <c r="T55"/>
  <c r="S55"/>
  <c r="J55" i="97"/>
  <c r="Q55" i="95"/>
  <c r="P55"/>
  <c r="O55"/>
  <c r="H55" i="97"/>
  <c r="M55" i="95"/>
  <c r="L55"/>
  <c r="K55"/>
  <c r="E55" i="97"/>
  <c r="G55" i="95"/>
  <c r="D55" i="97"/>
  <c r="E55" i="95"/>
  <c r="C54" i="97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F55"/>
  <c r="I55"/>
  <c r="L55"/>
  <c r="M55"/>
  <c r="S55"/>
  <c r="Z55"/>
  <c r="AA55"/>
  <c r="AG55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C54" i="95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AJ54"/>
  <c r="AK54"/>
  <c r="AL54"/>
  <c r="AM54"/>
  <c r="AN54"/>
  <c r="AO54"/>
  <c r="AP54"/>
  <c r="AQ54"/>
  <c r="AR54"/>
  <c r="AS54"/>
  <c r="AT54"/>
  <c r="AU54"/>
  <c r="AV54"/>
  <c r="AW54"/>
  <c r="AX54"/>
  <c r="AY54"/>
  <c r="AZ54"/>
  <c r="BA54"/>
  <c r="BB54"/>
  <c r="BC54"/>
  <c r="BD54"/>
  <c r="BE54"/>
  <c r="BF54"/>
  <c r="BG54"/>
  <c r="BH54"/>
  <c r="BI54"/>
  <c r="BJ54"/>
  <c r="BK54"/>
  <c r="BL54"/>
  <c r="C55"/>
  <c r="H55"/>
  <c r="I55"/>
  <c r="J55"/>
  <c r="N55"/>
  <c r="R55"/>
  <c r="U55"/>
  <c r="V55"/>
  <c r="W55"/>
  <c r="Z55"/>
  <c r="AF55"/>
  <c r="AI55"/>
  <c r="AJ55"/>
  <c r="AK55"/>
  <c r="AP55"/>
  <c r="AQ55"/>
  <c r="AX55"/>
  <c r="AY55"/>
  <c r="AZ55"/>
  <c r="BB55"/>
  <c r="BH55"/>
  <c r="BK55"/>
  <c r="BL55"/>
  <c r="C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AJ56"/>
  <c r="AK56"/>
  <c r="AL56"/>
  <c r="AM56"/>
  <c r="AN56"/>
  <c r="AO56"/>
  <c r="AP56"/>
  <c r="AQ56"/>
  <c r="AR56"/>
  <c r="AS56"/>
  <c r="AT56"/>
  <c r="AU56"/>
  <c r="AV56"/>
  <c r="AW56"/>
  <c r="AX56"/>
  <c r="AY56"/>
  <c r="AZ56"/>
  <c r="BA56"/>
  <c r="BB56"/>
  <c r="BC56"/>
  <c r="BD56"/>
  <c r="BE56"/>
  <c r="BF56"/>
  <c r="BG56"/>
  <c r="BH56"/>
  <c r="BI56"/>
  <c r="BJ56"/>
  <c r="BK56"/>
  <c r="BL56"/>
  <c r="C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AH57"/>
  <c r="AI57"/>
  <c r="AJ57"/>
  <c r="AK57"/>
  <c r="AL57"/>
  <c r="AM57"/>
  <c r="AN57"/>
  <c r="AO57"/>
  <c r="AP57"/>
  <c r="AQ57"/>
  <c r="AR57"/>
  <c r="AS57"/>
  <c r="AT57"/>
  <c r="AU57"/>
  <c r="AV57"/>
  <c r="AW57"/>
  <c r="AX57"/>
  <c r="AY57"/>
  <c r="AZ57"/>
  <c r="BA57"/>
  <c r="BB57"/>
  <c r="BC57"/>
  <c r="BD57"/>
  <c r="BE57"/>
  <c r="BF57"/>
  <c r="BG57"/>
  <c r="BH57"/>
  <c r="BI57"/>
  <c r="BJ57"/>
  <c r="BK57"/>
  <c r="BL57"/>
  <c r="C53" i="97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E48" i="95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AK48"/>
  <c r="AL48"/>
  <c r="AM48"/>
  <c r="AN48"/>
  <c r="AO48"/>
  <c r="AP48"/>
  <c r="AQ48"/>
  <c r="AR48"/>
  <c r="AS48"/>
  <c r="AT48"/>
  <c r="AU48"/>
  <c r="AV48"/>
  <c r="AW48"/>
  <c r="AX48"/>
  <c r="AY48"/>
  <c r="AZ48"/>
  <c r="BA48"/>
  <c r="BB48"/>
  <c r="BC48"/>
  <c r="BD48"/>
  <c r="BE48"/>
  <c r="BF48"/>
  <c r="BG48"/>
  <c r="BH48"/>
  <c r="BI48"/>
  <c r="BJ48"/>
  <c r="BK48"/>
  <c r="BL48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AK49"/>
  <c r="AL49"/>
  <c r="AM49"/>
  <c r="AN49"/>
  <c r="AO49"/>
  <c r="AP49"/>
  <c r="AQ49"/>
  <c r="AR49"/>
  <c r="AS49"/>
  <c r="AT49"/>
  <c r="AU49"/>
  <c r="AV49"/>
  <c r="AW49"/>
  <c r="AX49"/>
  <c r="AY49"/>
  <c r="AZ49"/>
  <c r="BA49"/>
  <c r="BB49"/>
  <c r="BC49"/>
  <c r="BD49"/>
  <c r="BE49"/>
  <c r="BF49"/>
  <c r="BG49"/>
  <c r="BH49"/>
  <c r="BI49"/>
  <c r="BJ49"/>
  <c r="BK49"/>
  <c r="BL49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AM50"/>
  <c r="AO50"/>
  <c r="AP50"/>
  <c r="AQ50"/>
  <c r="AR50"/>
  <c r="AS50"/>
  <c r="AV50"/>
  <c r="AW50"/>
  <c r="AZ50"/>
  <c r="BA50"/>
  <c r="BB50"/>
  <c r="BD50"/>
  <c r="BG50"/>
  <c r="BK50"/>
  <c r="BL50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AK51"/>
  <c r="AL51"/>
  <c r="AM51"/>
  <c r="AN51"/>
  <c r="AO51"/>
  <c r="AP51"/>
  <c r="AQ51"/>
  <c r="AR51"/>
  <c r="AS51"/>
  <c r="AT51"/>
  <c r="AU51"/>
  <c r="AV51"/>
  <c r="AW51"/>
  <c r="AX51"/>
  <c r="AY51"/>
  <c r="AZ51"/>
  <c r="BA51"/>
  <c r="BB51"/>
  <c r="BC51"/>
  <c r="BD51"/>
  <c r="BE51"/>
  <c r="BF51"/>
  <c r="BG51"/>
  <c r="BH51"/>
  <c r="BI51"/>
  <c r="BJ51"/>
  <c r="BK51"/>
  <c r="BL51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AJ52"/>
  <c r="AK52"/>
  <c r="AL52"/>
  <c r="AM52"/>
  <c r="AN52"/>
  <c r="AO52"/>
  <c r="AP52"/>
  <c r="AQ52"/>
  <c r="AR52"/>
  <c r="AS52"/>
  <c r="AT52"/>
  <c r="AU52"/>
  <c r="AV52"/>
  <c r="AW52"/>
  <c r="AX52"/>
  <c r="AY52"/>
  <c r="AZ52"/>
  <c r="BA52"/>
  <c r="BB52"/>
  <c r="BC52"/>
  <c r="BD52"/>
  <c r="BE52"/>
  <c r="BF52"/>
  <c r="BG52"/>
  <c r="BH52"/>
  <c r="BI52"/>
  <c r="BJ52"/>
  <c r="BK52"/>
  <c r="BL52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AJ53"/>
  <c r="AK53"/>
  <c r="AL53"/>
  <c r="AM53"/>
  <c r="AN53"/>
  <c r="AO53"/>
  <c r="AP53"/>
  <c r="AQ53"/>
  <c r="AR53"/>
  <c r="AS53"/>
  <c r="AT53"/>
  <c r="AU53"/>
  <c r="AV53"/>
  <c r="AW53"/>
  <c r="AX53"/>
  <c r="AY53"/>
  <c r="AZ53"/>
  <c r="BA53"/>
  <c r="BB53"/>
  <c r="BC53"/>
  <c r="BD53"/>
  <c r="BE53"/>
  <c r="BF53"/>
  <c r="BG53"/>
  <c r="BH53"/>
  <c r="BI53"/>
  <c r="BJ53"/>
  <c r="BK53"/>
  <c r="BL53"/>
  <c r="C48"/>
  <c r="C49"/>
  <c r="C50"/>
  <c r="C51"/>
  <c r="C52"/>
  <c r="C53"/>
  <c r="BJ55" l="1"/>
  <c r="BF55"/>
  <c r="AC55" i="97"/>
  <c r="Y55"/>
  <c r="X55"/>
  <c r="AR55" i="95"/>
  <c r="U55" i="97"/>
  <c r="AL55" i="95"/>
  <c r="AH55"/>
  <c r="AD55"/>
  <c r="O55" i="97"/>
  <c r="K55"/>
  <c r="BN56" i="95"/>
  <c r="G55" i="97"/>
  <c r="BN54" i="95"/>
  <c r="BN57"/>
  <c r="BM56"/>
  <c r="AH57" i="97"/>
  <c r="AK57" s="1"/>
  <c r="BM57" i="95"/>
  <c r="AH56" i="97"/>
  <c r="AK56" s="1"/>
  <c r="F55" i="95"/>
  <c r="BM55"/>
  <c r="AH54" i="97"/>
  <c r="BM54" i="95"/>
  <c r="C55" i="97"/>
  <c r="BM51" i="95"/>
  <c r="BN51"/>
  <c r="BM50"/>
  <c r="AH53" i="97"/>
  <c r="BN52" i="95"/>
  <c r="BN49"/>
  <c r="BN53"/>
  <c r="BN50"/>
  <c r="BN48"/>
  <c r="BM53"/>
  <c r="BM52"/>
  <c r="BM49"/>
  <c r="BM48"/>
  <c r="P6" i="99"/>
  <c r="P5"/>
  <c r="BJ5"/>
  <c r="BJ6"/>
  <c r="N6"/>
  <c r="N5"/>
  <c r="N6" i="95"/>
  <c r="N5"/>
  <c r="H6" i="97"/>
  <c r="H5"/>
  <c r="T5" i="99"/>
  <c r="AK54" i="97" l="1"/>
  <c r="AK53"/>
  <c r="BN55" i="95"/>
  <c r="AH55" i="97"/>
  <c r="AK55" s="1"/>
  <c r="U40"/>
  <c r="BP7" i="99" l="1"/>
  <c r="BO7"/>
  <c r="BL6"/>
  <c r="BK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T7" s="1"/>
  <c r="S6"/>
  <c r="R6"/>
  <c r="Q6"/>
  <c r="O6"/>
  <c r="M6"/>
  <c r="L6"/>
  <c r="K6"/>
  <c r="J6"/>
  <c r="I6"/>
  <c r="H6"/>
  <c r="G6"/>
  <c r="F6"/>
  <c r="E6"/>
  <c r="D6"/>
  <c r="C6"/>
  <c r="BL5"/>
  <c r="BK5"/>
  <c r="BI5"/>
  <c r="BH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S5"/>
  <c r="R5"/>
  <c r="Q5"/>
  <c r="O5"/>
  <c r="M5"/>
  <c r="L5"/>
  <c r="K5"/>
  <c r="J5"/>
  <c r="I5"/>
  <c r="H5"/>
  <c r="G5"/>
  <c r="F5"/>
  <c r="E5"/>
  <c r="D5"/>
  <c r="C5"/>
  <c r="AL7" l="1"/>
  <c r="G7"/>
  <c r="BN5"/>
  <c r="BR5" s="1"/>
  <c r="BH7"/>
  <c r="BG7"/>
  <c r="AZ7"/>
  <c r="AY7"/>
  <c r="AN7"/>
  <c r="AM7"/>
  <c r="AJ7"/>
  <c r="AI7"/>
  <c r="X7"/>
  <c r="S7"/>
  <c r="P7"/>
  <c r="O7"/>
  <c r="BJ7"/>
  <c r="AX7"/>
  <c r="AW7"/>
  <c r="D7"/>
  <c r="C7"/>
  <c r="BL7"/>
  <c r="BI7"/>
  <c r="BD7"/>
  <c r="AR7"/>
  <c r="AF7"/>
  <c r="AB7"/>
  <c r="W7"/>
  <c r="U7"/>
  <c r="L7"/>
  <c r="H7"/>
  <c r="BK7"/>
  <c r="BF7"/>
  <c r="BB7"/>
  <c r="AV7"/>
  <c r="AT7"/>
  <c r="AS7"/>
  <c r="AP7"/>
  <c r="AO7"/>
  <c r="AH7"/>
  <c r="AC7"/>
  <c r="AA7"/>
  <c r="Z7"/>
  <c r="Y7"/>
  <c r="V7"/>
  <c r="R7"/>
  <c r="Q7"/>
  <c r="N7"/>
  <c r="J7"/>
  <c r="I7"/>
  <c r="BE7"/>
  <c r="BC7"/>
  <c r="BA7"/>
  <c r="AU7"/>
  <c r="AQ7"/>
  <c r="AK7"/>
  <c r="AG7"/>
  <c r="AE7"/>
  <c r="AD7"/>
  <c r="M7"/>
  <c r="K7"/>
  <c r="F7"/>
  <c r="BN6"/>
  <c r="BR6" s="1"/>
  <c r="E7"/>
  <c r="BM6"/>
  <c r="BQ6" s="1"/>
  <c r="BM5"/>
  <c r="BN7" l="1"/>
  <c r="BR7" s="1"/>
  <c r="BM7"/>
  <c r="BQ5"/>
  <c r="BQ7" s="1"/>
  <c r="AG61" i="97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AG52"/>
  <c r="AF52"/>
  <c r="AE52"/>
  <c r="AD52"/>
  <c r="AC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AG51"/>
  <c r="AF51"/>
  <c r="AE51"/>
  <c r="AD51"/>
  <c r="AC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AG47"/>
  <c r="AF47"/>
  <c r="AE47"/>
  <c r="AD47"/>
  <c r="AC47"/>
  <c r="AA47"/>
  <c r="Z47"/>
  <c r="Y47"/>
  <c r="X47"/>
  <c r="W47"/>
  <c r="V47"/>
  <c r="U47"/>
  <c r="R47"/>
  <c r="Q47"/>
  <c r="P47"/>
  <c r="O47"/>
  <c r="N47"/>
  <c r="M47"/>
  <c r="L47"/>
  <c r="K47"/>
  <c r="I47"/>
  <c r="H47"/>
  <c r="G47"/>
  <c r="D47"/>
  <c r="C47"/>
  <c r="AG46"/>
  <c r="AF46"/>
  <c r="AE46"/>
  <c r="AD46"/>
  <c r="AC46"/>
  <c r="AB46"/>
  <c r="AA46"/>
  <c r="Z46"/>
  <c r="Y46"/>
  <c r="X46"/>
  <c r="W46"/>
  <c r="V46"/>
  <c r="U46"/>
  <c r="R46"/>
  <c r="Q46"/>
  <c r="P46"/>
  <c r="O46"/>
  <c r="N46"/>
  <c r="M46"/>
  <c r="L46"/>
  <c r="K46"/>
  <c r="J46"/>
  <c r="I46"/>
  <c r="H46"/>
  <c r="G46"/>
  <c r="F46"/>
  <c r="E46"/>
  <c r="D46"/>
  <c r="C46"/>
  <c r="AG43"/>
  <c r="AF43"/>
  <c r="AD43"/>
  <c r="AC43"/>
  <c r="AB43"/>
  <c r="AA43"/>
  <c r="Y43"/>
  <c r="X43"/>
  <c r="W43"/>
  <c r="U43"/>
  <c r="T43"/>
  <c r="S43"/>
  <c r="R43"/>
  <c r="Q43"/>
  <c r="P43"/>
  <c r="O43"/>
  <c r="M43"/>
  <c r="L43"/>
  <c r="K43"/>
  <c r="J43"/>
  <c r="I43"/>
  <c r="H43"/>
  <c r="G43"/>
  <c r="E43"/>
  <c r="AG42"/>
  <c r="AF42"/>
  <c r="AE42"/>
  <c r="AD42"/>
  <c r="AC42"/>
  <c r="AB42"/>
  <c r="AA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AG41"/>
  <c r="AF41"/>
  <c r="AE41"/>
  <c r="AD41"/>
  <c r="AC41"/>
  <c r="AB41"/>
  <c r="AA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AG40"/>
  <c r="AF40"/>
  <c r="AE40"/>
  <c r="AD40"/>
  <c r="AC40"/>
  <c r="AB40"/>
  <c r="AA40"/>
  <c r="Y40"/>
  <c r="X40"/>
  <c r="W40"/>
  <c r="V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AG39"/>
  <c r="AF39"/>
  <c r="AE39"/>
  <c r="AD39"/>
  <c r="AC39"/>
  <c r="AB39"/>
  <c r="AA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AG38"/>
  <c r="AF38"/>
  <c r="AE38"/>
  <c r="AD38"/>
  <c r="AC38"/>
  <c r="AB38"/>
  <c r="AA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H36"/>
  <c r="G36"/>
  <c r="F36"/>
  <c r="E36"/>
  <c r="D36"/>
  <c r="C36"/>
  <c r="AG35"/>
  <c r="AF35"/>
  <c r="AE35"/>
  <c r="AD35"/>
  <c r="AC35"/>
  <c r="AB35"/>
  <c r="AA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AG34"/>
  <c r="AF34"/>
  <c r="AE34"/>
  <c r="AD34"/>
  <c r="AC34"/>
  <c r="AB34"/>
  <c r="AA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M28"/>
  <c r="L28"/>
  <c r="K28"/>
  <c r="J28"/>
  <c r="I28"/>
  <c r="H28"/>
  <c r="G28"/>
  <c r="F28"/>
  <c r="E28"/>
  <c r="D28"/>
  <c r="C28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L16"/>
  <c r="K16"/>
  <c r="J16"/>
  <c r="I16"/>
  <c r="H16"/>
  <c r="G16"/>
  <c r="F16"/>
  <c r="E16"/>
  <c r="D16"/>
  <c r="C16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D10"/>
  <c r="C10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G6"/>
  <c r="F6"/>
  <c r="E6"/>
  <c r="D6"/>
  <c r="C6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G5"/>
  <c r="F5"/>
  <c r="E5"/>
  <c r="D5"/>
  <c r="C5"/>
  <c r="AH34" l="1"/>
  <c r="AH43"/>
  <c r="AH52"/>
  <c r="AH61"/>
  <c r="AK61" s="1"/>
  <c r="AH18"/>
  <c r="AH16"/>
  <c r="AK16" s="1"/>
  <c r="AH9"/>
  <c r="AK9" s="1"/>
  <c r="AH19"/>
  <c r="AK19" s="1"/>
  <c r="AH14"/>
  <c r="AK14" s="1"/>
  <c r="AH20"/>
  <c r="AK20" s="1"/>
  <c r="AH12"/>
  <c r="AH10"/>
  <c r="AH15"/>
  <c r="AH13"/>
  <c r="AH17"/>
  <c r="AH36"/>
  <c r="AH38"/>
  <c r="AH26"/>
  <c r="AK26" s="1"/>
  <c r="AH39"/>
  <c r="AH5"/>
  <c r="E62"/>
  <c r="I62"/>
  <c r="L62"/>
  <c r="N62"/>
  <c r="P62"/>
  <c r="R62"/>
  <c r="T62"/>
  <c r="V62"/>
  <c r="X62"/>
  <c r="Z62"/>
  <c r="AB62"/>
  <c r="AD62"/>
  <c r="AF62"/>
  <c r="D62"/>
  <c r="H62"/>
  <c r="C62"/>
  <c r="G62"/>
  <c r="K62"/>
  <c r="M62"/>
  <c r="O62"/>
  <c r="Q62"/>
  <c r="S62"/>
  <c r="U62"/>
  <c r="W62"/>
  <c r="Y62"/>
  <c r="AA62"/>
  <c r="AC62"/>
  <c r="AE62"/>
  <c r="AG62"/>
  <c r="F62"/>
  <c r="J62"/>
  <c r="AH6"/>
  <c r="AH22"/>
  <c r="AH24"/>
  <c r="AH28"/>
  <c r="AH35"/>
  <c r="AH40"/>
  <c r="AH42"/>
  <c r="AH46"/>
  <c r="AH51"/>
  <c r="AH7"/>
  <c r="AH21"/>
  <c r="AH23"/>
  <c r="AH25"/>
  <c r="AH27"/>
  <c r="AH41"/>
  <c r="AH47"/>
  <c r="AK12" l="1"/>
  <c r="AK22"/>
  <c r="AK21"/>
  <c r="AK10"/>
  <c r="AK7"/>
  <c r="AK15"/>
  <c r="AK13"/>
  <c r="AK25"/>
  <c r="AK24"/>
  <c r="AK43"/>
  <c r="AK42"/>
  <c r="AK39"/>
  <c r="AK23"/>
  <c r="AH62"/>
  <c r="AK28"/>
  <c r="AK36"/>
  <c r="AK47"/>
  <c r="AK51"/>
  <c r="AK35"/>
  <c r="AK38"/>
  <c r="AK18"/>
  <c r="AK27"/>
  <c r="AK40"/>
  <c r="AK17"/>
  <c r="AK52"/>
  <c r="AK41"/>
  <c r="AK34"/>
  <c r="AK46"/>
  <c r="AK6" i="95"/>
  <c r="AL6"/>
  <c r="AM6"/>
  <c r="AN6"/>
  <c r="AO6"/>
  <c r="AP6"/>
  <c r="AQ6"/>
  <c r="AR6"/>
  <c r="AS6"/>
  <c r="AT6"/>
  <c r="AU6"/>
  <c r="AV6"/>
  <c r="AW6"/>
  <c r="AX6"/>
  <c r="AY6"/>
  <c r="AZ6"/>
  <c r="BA6"/>
  <c r="BB6"/>
  <c r="BC6"/>
  <c r="BD6"/>
  <c r="BE6"/>
  <c r="BF6"/>
  <c r="BG6"/>
  <c r="BH6"/>
  <c r="BI6"/>
  <c r="BJ6"/>
  <c r="BK6"/>
  <c r="BL6"/>
  <c r="AK7"/>
  <c r="AL7"/>
  <c r="AM7"/>
  <c r="AN7"/>
  <c r="AO7"/>
  <c r="AP7"/>
  <c r="AQ7"/>
  <c r="AR7"/>
  <c r="AS7"/>
  <c r="AT7"/>
  <c r="AU7"/>
  <c r="AV7"/>
  <c r="AW7"/>
  <c r="AX7"/>
  <c r="AY7"/>
  <c r="AZ7"/>
  <c r="BA7"/>
  <c r="BB7"/>
  <c r="BC7"/>
  <c r="BD7"/>
  <c r="BE7"/>
  <c r="BF7"/>
  <c r="BG7"/>
  <c r="BH7"/>
  <c r="BI7"/>
  <c r="BJ7"/>
  <c r="BK7"/>
  <c r="BL7"/>
  <c r="AK8"/>
  <c r="AL8"/>
  <c r="AM8"/>
  <c r="AN8"/>
  <c r="AO8"/>
  <c r="AP8"/>
  <c r="AQ8"/>
  <c r="AR8"/>
  <c r="AS8"/>
  <c r="AT8"/>
  <c r="AU8"/>
  <c r="AV8"/>
  <c r="AW8"/>
  <c r="AX8"/>
  <c r="AY8"/>
  <c r="AZ8"/>
  <c r="BA8"/>
  <c r="BB8"/>
  <c r="BC8"/>
  <c r="BD8"/>
  <c r="BE8"/>
  <c r="BF8"/>
  <c r="BG8"/>
  <c r="BH8"/>
  <c r="BI8"/>
  <c r="BJ8"/>
  <c r="BK8"/>
  <c r="BL8"/>
  <c r="AK9"/>
  <c r="AL9"/>
  <c r="AM9"/>
  <c r="AN9"/>
  <c r="AO9"/>
  <c r="AP9"/>
  <c r="AQ9"/>
  <c r="AR9"/>
  <c r="AS9"/>
  <c r="AT9"/>
  <c r="AU9"/>
  <c r="AV9"/>
  <c r="AW9"/>
  <c r="AX9"/>
  <c r="AY9"/>
  <c r="AZ9"/>
  <c r="BA9"/>
  <c r="BB9"/>
  <c r="BC9"/>
  <c r="BD9"/>
  <c r="BE9"/>
  <c r="BF9"/>
  <c r="BG9"/>
  <c r="BH9"/>
  <c r="BI9"/>
  <c r="BJ9"/>
  <c r="BK9"/>
  <c r="BL9"/>
  <c r="AK10"/>
  <c r="AL10"/>
  <c r="AM10"/>
  <c r="AN10"/>
  <c r="AO10"/>
  <c r="AP10"/>
  <c r="AQ10"/>
  <c r="AR10"/>
  <c r="AS10"/>
  <c r="AT10"/>
  <c r="AU10"/>
  <c r="AV10"/>
  <c r="AW10"/>
  <c r="AX10"/>
  <c r="AY10"/>
  <c r="AZ10"/>
  <c r="BA10"/>
  <c r="BB10"/>
  <c r="BC10"/>
  <c r="BD10"/>
  <c r="BE10"/>
  <c r="BF10"/>
  <c r="BG10"/>
  <c r="BH10"/>
  <c r="BI10"/>
  <c r="BJ10"/>
  <c r="BK10"/>
  <c r="BL10"/>
  <c r="AK11"/>
  <c r="AL11"/>
  <c r="AM11"/>
  <c r="AN11"/>
  <c r="AO11"/>
  <c r="AP11"/>
  <c r="AQ11"/>
  <c r="AR11"/>
  <c r="AS11"/>
  <c r="AT11"/>
  <c r="AU11"/>
  <c r="AV11"/>
  <c r="AW11"/>
  <c r="AX11"/>
  <c r="AY11"/>
  <c r="AZ11"/>
  <c r="BA11"/>
  <c r="BB11"/>
  <c r="BC11"/>
  <c r="BD11"/>
  <c r="BE11"/>
  <c r="BF11"/>
  <c r="BG11"/>
  <c r="BH11"/>
  <c r="BI11"/>
  <c r="BJ11"/>
  <c r="BK11"/>
  <c r="BL11"/>
  <c r="AK12"/>
  <c r="AL12"/>
  <c r="AM12"/>
  <c r="AN12"/>
  <c r="AO12"/>
  <c r="AP12"/>
  <c r="AQ12"/>
  <c r="AR12"/>
  <c r="AS12"/>
  <c r="AT12"/>
  <c r="AU12"/>
  <c r="AV12"/>
  <c r="AW12"/>
  <c r="AX12"/>
  <c r="AY12"/>
  <c r="AZ12"/>
  <c r="BA12"/>
  <c r="BB12"/>
  <c r="BC12"/>
  <c r="BD12"/>
  <c r="BE12"/>
  <c r="BF12"/>
  <c r="BG12"/>
  <c r="BH12"/>
  <c r="BI12"/>
  <c r="BJ12"/>
  <c r="BK12"/>
  <c r="BL12"/>
  <c r="AK13"/>
  <c r="AL13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BE13"/>
  <c r="BF13"/>
  <c r="BG13"/>
  <c r="BH13"/>
  <c r="BI13"/>
  <c r="BJ13"/>
  <c r="BK13"/>
  <c r="BL13"/>
  <c r="AK14"/>
  <c r="AL14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BE14"/>
  <c r="BF14"/>
  <c r="BG14"/>
  <c r="BH14"/>
  <c r="BI14"/>
  <c r="BJ14"/>
  <c r="BK14"/>
  <c r="BL14"/>
  <c r="AK15"/>
  <c r="AL15"/>
  <c r="AM15"/>
  <c r="AN15"/>
  <c r="AO15"/>
  <c r="AP15"/>
  <c r="AQ15"/>
  <c r="AR15"/>
  <c r="AS15"/>
  <c r="AT15"/>
  <c r="AU15"/>
  <c r="AV15"/>
  <c r="AW15"/>
  <c r="AX15"/>
  <c r="AY15"/>
  <c r="AZ15"/>
  <c r="BA15"/>
  <c r="BB15"/>
  <c r="BC15"/>
  <c r="BD15"/>
  <c r="BE15"/>
  <c r="BF15"/>
  <c r="BG15"/>
  <c r="BH15"/>
  <c r="BI15"/>
  <c r="BJ15"/>
  <c r="BK15"/>
  <c r="BL15"/>
  <c r="AK16"/>
  <c r="AL16"/>
  <c r="AM16"/>
  <c r="AN16"/>
  <c r="AO16"/>
  <c r="AP16"/>
  <c r="AQ16"/>
  <c r="AR16"/>
  <c r="AS16"/>
  <c r="AT16"/>
  <c r="AU16"/>
  <c r="AV16"/>
  <c r="AW16"/>
  <c r="AX16"/>
  <c r="AY16"/>
  <c r="AZ16"/>
  <c r="BA16"/>
  <c r="BB16"/>
  <c r="BC16"/>
  <c r="BD16"/>
  <c r="BE16"/>
  <c r="BF16"/>
  <c r="BG16"/>
  <c r="BH16"/>
  <c r="BI16"/>
  <c r="BJ16"/>
  <c r="BK16"/>
  <c r="BL16"/>
  <c r="AK17"/>
  <c r="AL17"/>
  <c r="AM17"/>
  <c r="AN17"/>
  <c r="AO17"/>
  <c r="AP17"/>
  <c r="AQ17"/>
  <c r="AR17"/>
  <c r="AS17"/>
  <c r="AT17"/>
  <c r="AU17"/>
  <c r="AV17"/>
  <c r="AW17"/>
  <c r="AX17"/>
  <c r="AY17"/>
  <c r="AZ17"/>
  <c r="BA17"/>
  <c r="BB17"/>
  <c r="BC17"/>
  <c r="BD17"/>
  <c r="BE17"/>
  <c r="BF17"/>
  <c r="BG17"/>
  <c r="BH17"/>
  <c r="BI17"/>
  <c r="BJ17"/>
  <c r="BK17"/>
  <c r="BL17"/>
  <c r="AK18"/>
  <c r="AL18"/>
  <c r="AM18"/>
  <c r="AN18"/>
  <c r="AO18"/>
  <c r="AP18"/>
  <c r="AQ18"/>
  <c r="AR18"/>
  <c r="AS18"/>
  <c r="AT18"/>
  <c r="AU18"/>
  <c r="AV18"/>
  <c r="AW18"/>
  <c r="AX18"/>
  <c r="AY18"/>
  <c r="AZ18"/>
  <c r="BA18"/>
  <c r="BB18"/>
  <c r="BC18"/>
  <c r="BD18"/>
  <c r="BE18"/>
  <c r="BF18"/>
  <c r="BG18"/>
  <c r="BH18"/>
  <c r="BI18"/>
  <c r="BJ18"/>
  <c r="BK18"/>
  <c r="BL18"/>
  <c r="AK19"/>
  <c r="AL19"/>
  <c r="AM19"/>
  <c r="AN19"/>
  <c r="AO19"/>
  <c r="AP19"/>
  <c r="AQ19"/>
  <c r="AR19"/>
  <c r="AS19"/>
  <c r="AT19"/>
  <c r="AU19"/>
  <c r="AV19"/>
  <c r="AW19"/>
  <c r="AX19"/>
  <c r="AY19"/>
  <c r="AZ19"/>
  <c r="BA19"/>
  <c r="BB19"/>
  <c r="BC19"/>
  <c r="BD19"/>
  <c r="BE19"/>
  <c r="BF19"/>
  <c r="BG19"/>
  <c r="BH19"/>
  <c r="BI19"/>
  <c r="BJ19"/>
  <c r="BK19"/>
  <c r="BL19"/>
  <c r="AK20"/>
  <c r="AL20"/>
  <c r="AM20"/>
  <c r="AN20"/>
  <c r="AO20"/>
  <c r="AP20"/>
  <c r="AQ20"/>
  <c r="AR20"/>
  <c r="AS20"/>
  <c r="AT20"/>
  <c r="AU20"/>
  <c r="AV20"/>
  <c r="AW20"/>
  <c r="AX20"/>
  <c r="AY20"/>
  <c r="AZ20"/>
  <c r="BA20"/>
  <c r="BB20"/>
  <c r="BC20"/>
  <c r="BD20"/>
  <c r="BE20"/>
  <c r="BF20"/>
  <c r="BG20"/>
  <c r="BH20"/>
  <c r="BI20"/>
  <c r="BJ20"/>
  <c r="BK20"/>
  <c r="BL20"/>
  <c r="AK21"/>
  <c r="AL21"/>
  <c r="AM21"/>
  <c r="AN21"/>
  <c r="AO21"/>
  <c r="AP21"/>
  <c r="AQ21"/>
  <c r="AR21"/>
  <c r="AS21"/>
  <c r="AT21"/>
  <c r="AU21"/>
  <c r="AV21"/>
  <c r="AW21"/>
  <c r="AX21"/>
  <c r="AY21"/>
  <c r="AZ21"/>
  <c r="BA21"/>
  <c r="BB21"/>
  <c r="BC21"/>
  <c r="BD21"/>
  <c r="BE21"/>
  <c r="BF21"/>
  <c r="BG21"/>
  <c r="BH21"/>
  <c r="BI21"/>
  <c r="BJ21"/>
  <c r="BK21"/>
  <c r="BL21"/>
  <c r="AK22"/>
  <c r="AL22"/>
  <c r="AM22"/>
  <c r="AN22"/>
  <c r="AO22"/>
  <c r="AP22"/>
  <c r="AQ22"/>
  <c r="AR22"/>
  <c r="AS22"/>
  <c r="AT22"/>
  <c r="AU22"/>
  <c r="AV22"/>
  <c r="AW22"/>
  <c r="AX22"/>
  <c r="AY22"/>
  <c r="AZ22"/>
  <c r="BA22"/>
  <c r="BB22"/>
  <c r="BC22"/>
  <c r="BD22"/>
  <c r="BE22"/>
  <c r="BF22"/>
  <c r="BG22"/>
  <c r="BH22"/>
  <c r="BI22"/>
  <c r="BJ22"/>
  <c r="BK22"/>
  <c r="BL22"/>
  <c r="AK23"/>
  <c r="AL23"/>
  <c r="AM23"/>
  <c r="AN23"/>
  <c r="AO23"/>
  <c r="AP23"/>
  <c r="AQ23"/>
  <c r="AR23"/>
  <c r="AS23"/>
  <c r="AT23"/>
  <c r="AU23"/>
  <c r="AV23"/>
  <c r="AW23"/>
  <c r="AX23"/>
  <c r="AY23"/>
  <c r="AZ23"/>
  <c r="BA23"/>
  <c r="BB23"/>
  <c r="BC23"/>
  <c r="BD23"/>
  <c r="BE23"/>
  <c r="BF23"/>
  <c r="BG23"/>
  <c r="BH23"/>
  <c r="BI23"/>
  <c r="BJ23"/>
  <c r="BK23"/>
  <c r="BL23"/>
  <c r="AK24"/>
  <c r="AL24"/>
  <c r="AM24"/>
  <c r="AN24"/>
  <c r="AO24"/>
  <c r="AP24"/>
  <c r="AQ24"/>
  <c r="AR24"/>
  <c r="AS24"/>
  <c r="AT24"/>
  <c r="AU24"/>
  <c r="AV24"/>
  <c r="AW24"/>
  <c r="AX24"/>
  <c r="AY24"/>
  <c r="AZ24"/>
  <c r="BA24"/>
  <c r="BB24"/>
  <c r="BC24"/>
  <c r="BD24"/>
  <c r="BE24"/>
  <c r="BF24"/>
  <c r="BG24"/>
  <c r="BH24"/>
  <c r="BI24"/>
  <c r="BJ24"/>
  <c r="BK24"/>
  <c r="BL24"/>
  <c r="AK25"/>
  <c r="AL25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BE25"/>
  <c r="BF25"/>
  <c r="BG25"/>
  <c r="BH25"/>
  <c r="BI25"/>
  <c r="BJ25"/>
  <c r="BK25"/>
  <c r="BL25"/>
  <c r="AK26"/>
  <c r="AL26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BE26"/>
  <c r="BF26"/>
  <c r="BG26"/>
  <c r="BH26"/>
  <c r="BI26"/>
  <c r="BJ26"/>
  <c r="BK26"/>
  <c r="BL26"/>
  <c r="AK32"/>
  <c r="AL32"/>
  <c r="AM32"/>
  <c r="AN32"/>
  <c r="AO32"/>
  <c r="AP32"/>
  <c r="AQ32"/>
  <c r="AR32"/>
  <c r="AS32"/>
  <c r="AT32"/>
  <c r="AU32"/>
  <c r="AV32"/>
  <c r="AW32"/>
  <c r="AX32"/>
  <c r="AY32"/>
  <c r="AZ32"/>
  <c r="BA32"/>
  <c r="BB32"/>
  <c r="BC32"/>
  <c r="BD32"/>
  <c r="BE32"/>
  <c r="BF32"/>
  <c r="BG32"/>
  <c r="BH32"/>
  <c r="BI32"/>
  <c r="BJ32"/>
  <c r="BK32"/>
  <c r="BL32"/>
  <c r="AK33"/>
  <c r="AL33"/>
  <c r="AM33"/>
  <c r="AN33"/>
  <c r="AO33"/>
  <c r="AP33"/>
  <c r="AQ33"/>
  <c r="AR33"/>
  <c r="AS33"/>
  <c r="AT33"/>
  <c r="AU33"/>
  <c r="AV33"/>
  <c r="AW33"/>
  <c r="AX33"/>
  <c r="AY33"/>
  <c r="AZ33"/>
  <c r="BA33"/>
  <c r="BB33"/>
  <c r="BC33"/>
  <c r="BD33"/>
  <c r="BE33"/>
  <c r="BF33"/>
  <c r="BG33"/>
  <c r="BH33"/>
  <c r="BI33"/>
  <c r="BJ33"/>
  <c r="BK33"/>
  <c r="BL33"/>
  <c r="AK34"/>
  <c r="AL34"/>
  <c r="AM34"/>
  <c r="AN34"/>
  <c r="AO34"/>
  <c r="AP34"/>
  <c r="AQ34"/>
  <c r="AR34"/>
  <c r="AS34"/>
  <c r="AT34"/>
  <c r="AU34"/>
  <c r="AV34"/>
  <c r="AW34"/>
  <c r="AX34"/>
  <c r="AY34"/>
  <c r="AZ34"/>
  <c r="BA34"/>
  <c r="BB34"/>
  <c r="BC34"/>
  <c r="BD34"/>
  <c r="BE34"/>
  <c r="BF34"/>
  <c r="BG34"/>
  <c r="BH34"/>
  <c r="BI34"/>
  <c r="BJ34"/>
  <c r="BK34"/>
  <c r="BL34"/>
  <c r="AK35"/>
  <c r="AL35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BE35"/>
  <c r="BF35"/>
  <c r="BG35"/>
  <c r="BH35"/>
  <c r="BI35"/>
  <c r="BJ35"/>
  <c r="BK35"/>
  <c r="BL35"/>
  <c r="AK36"/>
  <c r="AL36"/>
  <c r="AM36"/>
  <c r="AN36"/>
  <c r="AO36"/>
  <c r="AP36"/>
  <c r="AQ36"/>
  <c r="AR36"/>
  <c r="AS36"/>
  <c r="AT36"/>
  <c r="AU36"/>
  <c r="AV36"/>
  <c r="AW36"/>
  <c r="AX36"/>
  <c r="AY36"/>
  <c r="AZ36"/>
  <c r="BA36"/>
  <c r="BB36"/>
  <c r="BC36"/>
  <c r="BD36"/>
  <c r="BE36"/>
  <c r="BF36"/>
  <c r="BG36"/>
  <c r="BH36"/>
  <c r="BI36"/>
  <c r="BJ36"/>
  <c r="BK36"/>
  <c r="BL36"/>
  <c r="AK37"/>
  <c r="AL37"/>
  <c r="AM37"/>
  <c r="AN37"/>
  <c r="AO37"/>
  <c r="AP37"/>
  <c r="AQ37"/>
  <c r="AR37"/>
  <c r="AS37"/>
  <c r="AT37"/>
  <c r="AU37"/>
  <c r="AV37"/>
  <c r="AW37"/>
  <c r="AX37"/>
  <c r="AY37"/>
  <c r="AZ37"/>
  <c r="BA37"/>
  <c r="BB37"/>
  <c r="BC37"/>
  <c r="BD37"/>
  <c r="BE37"/>
  <c r="BF37"/>
  <c r="BG37"/>
  <c r="BH37"/>
  <c r="BI37"/>
  <c r="BJ37"/>
  <c r="BK37"/>
  <c r="BL37"/>
  <c r="AK38"/>
  <c r="AL38"/>
  <c r="AM38"/>
  <c r="AN38"/>
  <c r="AO38"/>
  <c r="AP38"/>
  <c r="AQ38"/>
  <c r="AR38"/>
  <c r="AS38"/>
  <c r="AT38"/>
  <c r="AU38"/>
  <c r="AV38"/>
  <c r="AW38"/>
  <c r="AX38"/>
  <c r="AY38"/>
  <c r="AZ38"/>
  <c r="BA38"/>
  <c r="BB38"/>
  <c r="BC38"/>
  <c r="BD38"/>
  <c r="BE38"/>
  <c r="BF38"/>
  <c r="BG38"/>
  <c r="BH38"/>
  <c r="BI38"/>
  <c r="BJ38"/>
  <c r="BK38"/>
  <c r="BL38"/>
  <c r="AK39"/>
  <c r="AL39"/>
  <c r="AM39"/>
  <c r="AN39"/>
  <c r="AO39"/>
  <c r="AP39"/>
  <c r="AQ39"/>
  <c r="AR39"/>
  <c r="AS39"/>
  <c r="AT39"/>
  <c r="AU39"/>
  <c r="AV39"/>
  <c r="AW39"/>
  <c r="AX39"/>
  <c r="AY39"/>
  <c r="AZ39"/>
  <c r="BA39"/>
  <c r="BB39"/>
  <c r="BC39"/>
  <c r="BD39"/>
  <c r="BE39"/>
  <c r="BF39"/>
  <c r="BG39"/>
  <c r="BH39"/>
  <c r="BI39"/>
  <c r="BJ39"/>
  <c r="BK39"/>
  <c r="BL39"/>
  <c r="AK40"/>
  <c r="AL40"/>
  <c r="AM40"/>
  <c r="AN40"/>
  <c r="AP40"/>
  <c r="AQ40"/>
  <c r="AR40"/>
  <c r="AS40"/>
  <c r="AT40"/>
  <c r="AU40"/>
  <c r="AV40"/>
  <c r="AW40"/>
  <c r="AX40"/>
  <c r="AY40"/>
  <c r="AZ40"/>
  <c r="BA40"/>
  <c r="BB40"/>
  <c r="BC40"/>
  <c r="BD40"/>
  <c r="BE40"/>
  <c r="BF40"/>
  <c r="BG40"/>
  <c r="BH40"/>
  <c r="BI40"/>
  <c r="BJ40"/>
  <c r="BK40"/>
  <c r="BL40"/>
  <c r="AK44"/>
  <c r="AL44"/>
  <c r="AM44"/>
  <c r="AN44"/>
  <c r="AO44"/>
  <c r="AP44"/>
  <c r="AQ44"/>
  <c r="AR44"/>
  <c r="AS44"/>
  <c r="AT44"/>
  <c r="AU44"/>
  <c r="AV44"/>
  <c r="AW44"/>
  <c r="AX44"/>
  <c r="AY44"/>
  <c r="AZ44"/>
  <c r="BA44"/>
  <c r="BB44"/>
  <c r="BC44"/>
  <c r="BD44"/>
  <c r="BE44"/>
  <c r="BF44"/>
  <c r="BG44"/>
  <c r="BH44"/>
  <c r="BI44"/>
  <c r="BJ44"/>
  <c r="BK44"/>
  <c r="BL44"/>
  <c r="AK45"/>
  <c r="AL45"/>
  <c r="AM45"/>
  <c r="AN45"/>
  <c r="AO45"/>
  <c r="AP45"/>
  <c r="AQ45"/>
  <c r="AR45"/>
  <c r="AS45"/>
  <c r="AT45"/>
  <c r="AU45"/>
  <c r="AV45"/>
  <c r="AW45"/>
  <c r="AX45"/>
  <c r="AY45"/>
  <c r="AZ45"/>
  <c r="BA45"/>
  <c r="BB45"/>
  <c r="BC45"/>
  <c r="BD45"/>
  <c r="BE45"/>
  <c r="BF45"/>
  <c r="BG45"/>
  <c r="BH45"/>
  <c r="BI45"/>
  <c r="BJ45"/>
  <c r="BK45"/>
  <c r="BL45"/>
  <c r="AK46"/>
  <c r="AL46"/>
  <c r="AM46"/>
  <c r="AN46"/>
  <c r="AO46"/>
  <c r="AP46"/>
  <c r="AQ46"/>
  <c r="AR46"/>
  <c r="AS46"/>
  <c r="AT46"/>
  <c r="AU46"/>
  <c r="AV46"/>
  <c r="AW46"/>
  <c r="AX46"/>
  <c r="AY46"/>
  <c r="AZ46"/>
  <c r="BA46"/>
  <c r="BB46"/>
  <c r="BC46"/>
  <c r="BD46"/>
  <c r="BE46"/>
  <c r="BF46"/>
  <c r="BG46"/>
  <c r="BH46"/>
  <c r="BI46"/>
  <c r="BJ46"/>
  <c r="BK46"/>
  <c r="BL46"/>
  <c r="AK47"/>
  <c r="AL47"/>
  <c r="AM47"/>
  <c r="AN47"/>
  <c r="AO47"/>
  <c r="AP47"/>
  <c r="AQ47"/>
  <c r="AR47"/>
  <c r="AS47"/>
  <c r="AT47"/>
  <c r="AU47"/>
  <c r="AV47"/>
  <c r="AW47"/>
  <c r="AX47"/>
  <c r="AY47"/>
  <c r="AZ47"/>
  <c r="BA47"/>
  <c r="BB47"/>
  <c r="BC47"/>
  <c r="BD47"/>
  <c r="BE47"/>
  <c r="BF47"/>
  <c r="BG47"/>
  <c r="BH47"/>
  <c r="BI47"/>
  <c r="BJ47"/>
  <c r="BK47"/>
  <c r="BL47"/>
  <c r="BL5"/>
  <c r="BK5"/>
  <c r="BJ5"/>
  <c r="BI5"/>
  <c r="BH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G6"/>
  <c r="AH6"/>
  <c r="AI6"/>
  <c r="AJ6"/>
  <c r="AG7"/>
  <c r="AH7"/>
  <c r="AI7"/>
  <c r="AJ7"/>
  <c r="AG8"/>
  <c r="AH8"/>
  <c r="AI8"/>
  <c r="AJ8"/>
  <c r="AG9"/>
  <c r="AH9"/>
  <c r="AI9"/>
  <c r="AJ9"/>
  <c r="AG10"/>
  <c r="AH10"/>
  <c r="AI10"/>
  <c r="AJ10"/>
  <c r="AG11"/>
  <c r="AH11"/>
  <c r="AI11"/>
  <c r="AJ11"/>
  <c r="AG12"/>
  <c r="AH12"/>
  <c r="AI12"/>
  <c r="AJ12"/>
  <c r="AG13"/>
  <c r="AH13"/>
  <c r="AI13"/>
  <c r="AJ13"/>
  <c r="AG14"/>
  <c r="AH14"/>
  <c r="AI14"/>
  <c r="AJ14"/>
  <c r="AG15"/>
  <c r="AH15"/>
  <c r="AI15"/>
  <c r="AJ15"/>
  <c r="AG16"/>
  <c r="AH16"/>
  <c r="AI16"/>
  <c r="AJ16"/>
  <c r="AG17"/>
  <c r="AH17"/>
  <c r="AI17"/>
  <c r="AJ17"/>
  <c r="AG18"/>
  <c r="AH18"/>
  <c r="AI18"/>
  <c r="AJ18"/>
  <c r="AG19"/>
  <c r="AH19"/>
  <c r="AI19"/>
  <c r="AJ19"/>
  <c r="AG20"/>
  <c r="AH20"/>
  <c r="AI20"/>
  <c r="AJ20"/>
  <c r="AG21"/>
  <c r="AH21"/>
  <c r="AI21"/>
  <c r="AJ21"/>
  <c r="AG22"/>
  <c r="AH22"/>
  <c r="AI22"/>
  <c r="AJ22"/>
  <c r="AG23"/>
  <c r="AH23"/>
  <c r="AI23"/>
  <c r="AJ23"/>
  <c r="AG24"/>
  <c r="AH24"/>
  <c r="AI24"/>
  <c r="AJ24"/>
  <c r="AG25"/>
  <c r="AH25"/>
  <c r="AI25"/>
  <c r="AJ25"/>
  <c r="AG26"/>
  <c r="AH26"/>
  <c r="AI26"/>
  <c r="AJ26"/>
  <c r="AG32"/>
  <c r="AH32"/>
  <c r="AI32"/>
  <c r="AJ32"/>
  <c r="AG33"/>
  <c r="AH33"/>
  <c r="AI33"/>
  <c r="AJ33"/>
  <c r="AG34"/>
  <c r="AH34"/>
  <c r="AI34"/>
  <c r="AJ34"/>
  <c r="AG35"/>
  <c r="AH35"/>
  <c r="AI35"/>
  <c r="AJ35"/>
  <c r="AG36"/>
  <c r="AH36"/>
  <c r="AI36"/>
  <c r="AJ36"/>
  <c r="AG37"/>
  <c r="AH37"/>
  <c r="AI37"/>
  <c r="AJ37"/>
  <c r="AG38"/>
  <c r="AH38"/>
  <c r="AI38"/>
  <c r="AJ38"/>
  <c r="AG39"/>
  <c r="AH39"/>
  <c r="AI39"/>
  <c r="AJ39"/>
  <c r="AG40"/>
  <c r="AH40"/>
  <c r="AI40"/>
  <c r="AJ40"/>
  <c r="AG44"/>
  <c r="AH44"/>
  <c r="AI44"/>
  <c r="AJ44"/>
  <c r="AG45"/>
  <c r="AH45"/>
  <c r="AI45"/>
  <c r="AJ45"/>
  <c r="AG46"/>
  <c r="AH46"/>
  <c r="AI46"/>
  <c r="AJ46"/>
  <c r="AG47"/>
  <c r="AH47"/>
  <c r="AI47"/>
  <c r="AJ47"/>
  <c r="AJ5"/>
  <c r="AI5"/>
  <c r="AH5"/>
  <c r="AG5"/>
  <c r="AE6"/>
  <c r="AF6"/>
  <c r="AE7"/>
  <c r="AF7"/>
  <c r="AE8"/>
  <c r="AF8"/>
  <c r="AE9"/>
  <c r="AF9"/>
  <c r="AE10"/>
  <c r="AF10"/>
  <c r="AE11"/>
  <c r="AF11"/>
  <c r="AE12"/>
  <c r="AF12"/>
  <c r="AE13"/>
  <c r="AF13"/>
  <c r="AE14"/>
  <c r="AF14"/>
  <c r="AE15"/>
  <c r="AF15"/>
  <c r="AE16"/>
  <c r="AF16"/>
  <c r="AE17"/>
  <c r="AF17"/>
  <c r="AE18"/>
  <c r="AF18"/>
  <c r="AE19"/>
  <c r="AF19"/>
  <c r="AE20"/>
  <c r="AF20"/>
  <c r="AE21"/>
  <c r="AF21"/>
  <c r="AE22"/>
  <c r="AF22"/>
  <c r="AE23"/>
  <c r="AF23"/>
  <c r="AE24"/>
  <c r="AF24"/>
  <c r="AE25"/>
  <c r="AF25"/>
  <c r="AE26"/>
  <c r="AF26"/>
  <c r="AE32"/>
  <c r="AF32"/>
  <c r="AE33"/>
  <c r="AF33"/>
  <c r="AE34"/>
  <c r="AF34"/>
  <c r="AE35"/>
  <c r="AF35"/>
  <c r="AE36"/>
  <c r="AF36"/>
  <c r="AE37"/>
  <c r="AF37"/>
  <c r="AE38"/>
  <c r="AF38"/>
  <c r="AE39"/>
  <c r="AF39"/>
  <c r="AE40"/>
  <c r="AF40"/>
  <c r="AE44"/>
  <c r="AF44"/>
  <c r="AE45"/>
  <c r="AF45"/>
  <c r="AE46"/>
  <c r="AF46"/>
  <c r="AE47"/>
  <c r="AF47"/>
  <c r="AF5"/>
  <c r="AE5"/>
  <c r="AC6"/>
  <c r="AD6"/>
  <c r="AC7"/>
  <c r="AD7"/>
  <c r="AC8"/>
  <c r="AD8"/>
  <c r="AC9"/>
  <c r="AD9"/>
  <c r="AC10"/>
  <c r="AD10"/>
  <c r="AC11"/>
  <c r="AD11"/>
  <c r="AC12"/>
  <c r="AD12"/>
  <c r="AC13"/>
  <c r="AD13"/>
  <c r="AC14"/>
  <c r="AD14"/>
  <c r="AC15"/>
  <c r="AD15"/>
  <c r="AC16"/>
  <c r="AD16"/>
  <c r="AC17"/>
  <c r="AD17"/>
  <c r="AC18"/>
  <c r="AD18"/>
  <c r="AC19"/>
  <c r="AD19"/>
  <c r="AC20"/>
  <c r="AD20"/>
  <c r="AC21"/>
  <c r="AD21"/>
  <c r="AC22"/>
  <c r="AD22"/>
  <c r="AC23"/>
  <c r="AD23"/>
  <c r="AC24"/>
  <c r="AD24"/>
  <c r="AC25"/>
  <c r="AD25"/>
  <c r="AC26"/>
  <c r="AD26"/>
  <c r="AC32"/>
  <c r="AD32"/>
  <c r="AC33"/>
  <c r="AD33"/>
  <c r="AC34"/>
  <c r="AD34"/>
  <c r="AC35"/>
  <c r="AD35"/>
  <c r="AC36"/>
  <c r="AD36"/>
  <c r="AC37"/>
  <c r="AD37"/>
  <c r="AC38"/>
  <c r="AD38"/>
  <c r="AC39"/>
  <c r="AD39"/>
  <c r="AC40"/>
  <c r="AD40"/>
  <c r="AC44"/>
  <c r="AD44"/>
  <c r="AC45"/>
  <c r="AD45"/>
  <c r="AC46"/>
  <c r="AD46"/>
  <c r="AC47"/>
  <c r="AD47"/>
  <c r="AD5"/>
  <c r="AC5"/>
  <c r="AA6"/>
  <c r="AB6"/>
  <c r="AA7"/>
  <c r="AB7"/>
  <c r="AA8"/>
  <c r="AB8"/>
  <c r="AA9"/>
  <c r="AB9"/>
  <c r="AA10"/>
  <c r="AB10"/>
  <c r="AA11"/>
  <c r="AB11"/>
  <c r="AA12"/>
  <c r="AB12"/>
  <c r="AA13"/>
  <c r="AB13"/>
  <c r="AA14"/>
  <c r="AB14"/>
  <c r="AA15"/>
  <c r="AB15"/>
  <c r="AA16"/>
  <c r="AB16"/>
  <c r="AA17"/>
  <c r="AB17"/>
  <c r="AA18"/>
  <c r="AB18"/>
  <c r="AA19"/>
  <c r="AB19"/>
  <c r="AA20"/>
  <c r="AB20"/>
  <c r="AA21"/>
  <c r="AB21"/>
  <c r="AA22"/>
  <c r="AB22"/>
  <c r="AA23"/>
  <c r="AB23"/>
  <c r="AA24"/>
  <c r="AB24"/>
  <c r="AA25"/>
  <c r="AB25"/>
  <c r="AA26"/>
  <c r="AB26"/>
  <c r="AA32"/>
  <c r="AB32"/>
  <c r="AA33"/>
  <c r="AB33"/>
  <c r="AA34"/>
  <c r="AB34"/>
  <c r="AA35"/>
  <c r="AB35"/>
  <c r="AA36"/>
  <c r="AB36"/>
  <c r="AA37"/>
  <c r="AB37"/>
  <c r="AA38"/>
  <c r="AB38"/>
  <c r="AA39"/>
  <c r="AB39"/>
  <c r="AA40"/>
  <c r="AB40"/>
  <c r="AA44"/>
  <c r="AB44"/>
  <c r="AA45"/>
  <c r="AB45"/>
  <c r="AA46"/>
  <c r="AB46"/>
  <c r="AA47"/>
  <c r="AB47"/>
  <c r="AB5"/>
  <c r="AA5"/>
  <c r="Y6"/>
  <c r="Z6"/>
  <c r="Y7"/>
  <c r="Z7"/>
  <c r="Y8"/>
  <c r="Z8"/>
  <c r="Y9"/>
  <c r="Z9"/>
  <c r="Y10"/>
  <c r="Z10"/>
  <c r="Y11"/>
  <c r="Z11"/>
  <c r="Y12"/>
  <c r="Z12"/>
  <c r="Y13"/>
  <c r="Z13"/>
  <c r="Y14"/>
  <c r="Z14"/>
  <c r="Y15"/>
  <c r="Z15"/>
  <c r="Y16"/>
  <c r="Z16"/>
  <c r="Y17"/>
  <c r="Z17"/>
  <c r="Y18"/>
  <c r="Z18"/>
  <c r="Y19"/>
  <c r="Z19"/>
  <c r="Y20"/>
  <c r="Z20"/>
  <c r="Y21"/>
  <c r="Z21"/>
  <c r="Y22"/>
  <c r="Z22"/>
  <c r="Y23"/>
  <c r="Z23"/>
  <c r="Y24"/>
  <c r="Z24"/>
  <c r="Y25"/>
  <c r="Z25"/>
  <c r="Y26"/>
  <c r="Z26"/>
  <c r="Y32"/>
  <c r="Z32"/>
  <c r="Y33"/>
  <c r="Z33"/>
  <c r="Y34"/>
  <c r="Z34"/>
  <c r="Y35"/>
  <c r="Z35"/>
  <c r="Y36"/>
  <c r="Z36"/>
  <c r="Y37"/>
  <c r="Z37"/>
  <c r="Y38"/>
  <c r="Z38"/>
  <c r="Y39"/>
  <c r="Z39"/>
  <c r="Y40"/>
  <c r="Z40"/>
  <c r="Y44"/>
  <c r="Z44"/>
  <c r="Y45"/>
  <c r="Z45"/>
  <c r="Y46"/>
  <c r="Z46"/>
  <c r="Y47"/>
  <c r="Z47"/>
  <c r="Z5"/>
  <c r="Y5"/>
  <c r="W6"/>
  <c r="X6"/>
  <c r="W7"/>
  <c r="X7"/>
  <c r="W8"/>
  <c r="X8"/>
  <c r="W9"/>
  <c r="X9"/>
  <c r="W10"/>
  <c r="X10"/>
  <c r="W11"/>
  <c r="X11"/>
  <c r="W12"/>
  <c r="X12"/>
  <c r="W13"/>
  <c r="X13"/>
  <c r="W14"/>
  <c r="W15"/>
  <c r="X15"/>
  <c r="W16"/>
  <c r="X16"/>
  <c r="W17"/>
  <c r="X17"/>
  <c r="W18"/>
  <c r="X18"/>
  <c r="W19"/>
  <c r="X19"/>
  <c r="W20"/>
  <c r="X20"/>
  <c r="W21"/>
  <c r="X21"/>
  <c r="W22"/>
  <c r="X22"/>
  <c r="W23"/>
  <c r="X23"/>
  <c r="W24"/>
  <c r="X24"/>
  <c r="W25"/>
  <c r="X25"/>
  <c r="W26"/>
  <c r="X26"/>
  <c r="W32"/>
  <c r="X32"/>
  <c r="W33"/>
  <c r="X33"/>
  <c r="W34"/>
  <c r="X34"/>
  <c r="W35"/>
  <c r="X35"/>
  <c r="W36"/>
  <c r="X36"/>
  <c r="W37"/>
  <c r="X37"/>
  <c r="W38"/>
  <c r="X38"/>
  <c r="W39"/>
  <c r="X39"/>
  <c r="W40"/>
  <c r="X40"/>
  <c r="W44"/>
  <c r="X44"/>
  <c r="W45"/>
  <c r="X45"/>
  <c r="W46"/>
  <c r="X46"/>
  <c r="W47"/>
  <c r="X47"/>
  <c r="X5"/>
  <c r="W5"/>
  <c r="U6"/>
  <c r="V6"/>
  <c r="U7"/>
  <c r="V7"/>
  <c r="U8"/>
  <c r="V8"/>
  <c r="U9"/>
  <c r="V9"/>
  <c r="U10"/>
  <c r="V10"/>
  <c r="U11"/>
  <c r="V11"/>
  <c r="U12"/>
  <c r="V12"/>
  <c r="U13"/>
  <c r="V13"/>
  <c r="U14"/>
  <c r="V14"/>
  <c r="U15"/>
  <c r="V15"/>
  <c r="U16"/>
  <c r="V16"/>
  <c r="U17"/>
  <c r="V17"/>
  <c r="U18"/>
  <c r="V18"/>
  <c r="U19"/>
  <c r="V19"/>
  <c r="U20"/>
  <c r="V20"/>
  <c r="U21"/>
  <c r="V21"/>
  <c r="U22"/>
  <c r="V22"/>
  <c r="U23"/>
  <c r="V23"/>
  <c r="U24"/>
  <c r="V24"/>
  <c r="U25"/>
  <c r="V25"/>
  <c r="U26"/>
  <c r="V26"/>
  <c r="U32"/>
  <c r="V32"/>
  <c r="U33"/>
  <c r="V33"/>
  <c r="U34"/>
  <c r="V34"/>
  <c r="U35"/>
  <c r="V35"/>
  <c r="U36"/>
  <c r="V36"/>
  <c r="U37"/>
  <c r="V37"/>
  <c r="U38"/>
  <c r="V38"/>
  <c r="U39"/>
  <c r="V39"/>
  <c r="U40"/>
  <c r="V40"/>
  <c r="U44"/>
  <c r="V44"/>
  <c r="U45"/>
  <c r="V45"/>
  <c r="U46"/>
  <c r="V46"/>
  <c r="U47"/>
  <c r="V47"/>
  <c r="V5"/>
  <c r="U5"/>
  <c r="S6"/>
  <c r="T6"/>
  <c r="S7"/>
  <c r="T7"/>
  <c r="S8"/>
  <c r="T8"/>
  <c r="S9"/>
  <c r="T9"/>
  <c r="S10"/>
  <c r="T10"/>
  <c r="S11"/>
  <c r="T11"/>
  <c r="S12"/>
  <c r="T12"/>
  <c r="S13"/>
  <c r="T13"/>
  <c r="S14"/>
  <c r="T14"/>
  <c r="S15"/>
  <c r="T15"/>
  <c r="S16"/>
  <c r="T16"/>
  <c r="S17"/>
  <c r="T17"/>
  <c r="S18"/>
  <c r="T18"/>
  <c r="S19"/>
  <c r="T19"/>
  <c r="S20"/>
  <c r="T20"/>
  <c r="S21"/>
  <c r="T21"/>
  <c r="S22"/>
  <c r="T22"/>
  <c r="S23"/>
  <c r="T23"/>
  <c r="S24"/>
  <c r="T24"/>
  <c r="S25"/>
  <c r="T25"/>
  <c r="S26"/>
  <c r="T26"/>
  <c r="S32"/>
  <c r="T32"/>
  <c r="S33"/>
  <c r="T33"/>
  <c r="S34"/>
  <c r="T34"/>
  <c r="S35"/>
  <c r="T35"/>
  <c r="S36"/>
  <c r="T36"/>
  <c r="S37"/>
  <c r="T37"/>
  <c r="S38"/>
  <c r="T38"/>
  <c r="S39"/>
  <c r="T39"/>
  <c r="S40"/>
  <c r="S44"/>
  <c r="T44"/>
  <c r="S45"/>
  <c r="T45"/>
  <c r="S46"/>
  <c r="T46"/>
  <c r="S47"/>
  <c r="T47"/>
  <c r="T5"/>
  <c r="S5"/>
  <c r="Q6"/>
  <c r="R6"/>
  <c r="Q7"/>
  <c r="R7"/>
  <c r="Q8"/>
  <c r="R8"/>
  <c r="Q9"/>
  <c r="R9"/>
  <c r="Q10"/>
  <c r="R10"/>
  <c r="Q11"/>
  <c r="R11"/>
  <c r="Q12"/>
  <c r="R12"/>
  <c r="Q13"/>
  <c r="R13"/>
  <c r="Q14"/>
  <c r="R14"/>
  <c r="Q15"/>
  <c r="R15"/>
  <c r="Q16"/>
  <c r="R16"/>
  <c r="Q17"/>
  <c r="R17"/>
  <c r="Q18"/>
  <c r="R18"/>
  <c r="Q19"/>
  <c r="R19"/>
  <c r="Q20"/>
  <c r="R20"/>
  <c r="Q21"/>
  <c r="R21"/>
  <c r="Q22"/>
  <c r="R22"/>
  <c r="Q23"/>
  <c r="R23"/>
  <c r="Q24"/>
  <c r="R24"/>
  <c r="Q25"/>
  <c r="R25"/>
  <c r="Q26"/>
  <c r="R26"/>
  <c r="Q32"/>
  <c r="R32"/>
  <c r="Q33"/>
  <c r="R33"/>
  <c r="Q34"/>
  <c r="R34"/>
  <c r="Q35"/>
  <c r="R35"/>
  <c r="Q36"/>
  <c r="R36"/>
  <c r="Q37"/>
  <c r="R37"/>
  <c r="Q38"/>
  <c r="R38"/>
  <c r="Q39"/>
  <c r="R39"/>
  <c r="Q40"/>
  <c r="R40"/>
  <c r="Q44"/>
  <c r="R44"/>
  <c r="Q45"/>
  <c r="R45"/>
  <c r="Q46"/>
  <c r="R46"/>
  <c r="Q47"/>
  <c r="R47"/>
  <c r="R5"/>
  <c r="Q5"/>
  <c r="O6"/>
  <c r="P6"/>
  <c r="O7"/>
  <c r="P7"/>
  <c r="O8"/>
  <c r="P8"/>
  <c r="O9"/>
  <c r="P9"/>
  <c r="O10"/>
  <c r="P10"/>
  <c r="O11"/>
  <c r="P11"/>
  <c r="O12"/>
  <c r="P12"/>
  <c r="O13"/>
  <c r="P13"/>
  <c r="O14"/>
  <c r="P14"/>
  <c r="O15"/>
  <c r="P15"/>
  <c r="O16"/>
  <c r="P16"/>
  <c r="O17"/>
  <c r="P17"/>
  <c r="O18"/>
  <c r="P18"/>
  <c r="O19"/>
  <c r="P19"/>
  <c r="O20"/>
  <c r="P20"/>
  <c r="O21"/>
  <c r="P21"/>
  <c r="O22"/>
  <c r="P22"/>
  <c r="O23"/>
  <c r="P23"/>
  <c r="O24"/>
  <c r="P24"/>
  <c r="O25"/>
  <c r="P25"/>
  <c r="O26"/>
  <c r="P26"/>
  <c r="O32"/>
  <c r="P32"/>
  <c r="O33"/>
  <c r="P33"/>
  <c r="O34"/>
  <c r="P34"/>
  <c r="O35"/>
  <c r="P35"/>
  <c r="O36"/>
  <c r="P36"/>
  <c r="O37"/>
  <c r="P37"/>
  <c r="O38"/>
  <c r="P38"/>
  <c r="O39"/>
  <c r="P39"/>
  <c r="O40"/>
  <c r="P40"/>
  <c r="O44"/>
  <c r="P44"/>
  <c r="O45"/>
  <c r="P45"/>
  <c r="O46"/>
  <c r="P46"/>
  <c r="O47"/>
  <c r="P47"/>
  <c r="P5"/>
  <c r="O5"/>
  <c r="M6"/>
  <c r="M7"/>
  <c r="N7"/>
  <c r="M8"/>
  <c r="N8"/>
  <c r="M9"/>
  <c r="N9"/>
  <c r="M10"/>
  <c r="N10"/>
  <c r="M11"/>
  <c r="N11"/>
  <c r="M12"/>
  <c r="N12"/>
  <c r="M13"/>
  <c r="N13"/>
  <c r="M14"/>
  <c r="N14"/>
  <c r="M15"/>
  <c r="N15"/>
  <c r="M16"/>
  <c r="N16"/>
  <c r="M17"/>
  <c r="N17"/>
  <c r="M18"/>
  <c r="N18"/>
  <c r="M19"/>
  <c r="N19"/>
  <c r="M20"/>
  <c r="N20"/>
  <c r="M21"/>
  <c r="N21"/>
  <c r="M22"/>
  <c r="N22"/>
  <c r="M23"/>
  <c r="N23"/>
  <c r="M24"/>
  <c r="N24"/>
  <c r="M25"/>
  <c r="N25"/>
  <c r="M26"/>
  <c r="N26"/>
  <c r="M32"/>
  <c r="N32"/>
  <c r="M33"/>
  <c r="N33"/>
  <c r="M34"/>
  <c r="N34"/>
  <c r="M35"/>
  <c r="N35"/>
  <c r="M36"/>
  <c r="N36"/>
  <c r="M37"/>
  <c r="N37"/>
  <c r="M38"/>
  <c r="N38"/>
  <c r="M39"/>
  <c r="N39"/>
  <c r="M40"/>
  <c r="N40"/>
  <c r="M44"/>
  <c r="N44"/>
  <c r="M45"/>
  <c r="N45"/>
  <c r="M46"/>
  <c r="N46"/>
  <c r="M47"/>
  <c r="N47"/>
  <c r="M5"/>
  <c r="K6"/>
  <c r="L6"/>
  <c r="K7"/>
  <c r="L7"/>
  <c r="K8"/>
  <c r="L8"/>
  <c r="K9"/>
  <c r="L9"/>
  <c r="K10"/>
  <c r="L10"/>
  <c r="K11"/>
  <c r="L11"/>
  <c r="K12"/>
  <c r="L12"/>
  <c r="K13"/>
  <c r="L13"/>
  <c r="K14"/>
  <c r="L14"/>
  <c r="K15"/>
  <c r="L15"/>
  <c r="K16"/>
  <c r="L16"/>
  <c r="K17"/>
  <c r="L17"/>
  <c r="K18"/>
  <c r="L18"/>
  <c r="K19"/>
  <c r="L19"/>
  <c r="K20"/>
  <c r="L20"/>
  <c r="K21"/>
  <c r="L21"/>
  <c r="K22"/>
  <c r="L22"/>
  <c r="K23"/>
  <c r="L23"/>
  <c r="K24"/>
  <c r="L24"/>
  <c r="K25"/>
  <c r="L25"/>
  <c r="K26"/>
  <c r="L26"/>
  <c r="K32"/>
  <c r="L32"/>
  <c r="K33"/>
  <c r="L33"/>
  <c r="K34"/>
  <c r="L34"/>
  <c r="K35"/>
  <c r="L35"/>
  <c r="K36"/>
  <c r="L36"/>
  <c r="K37"/>
  <c r="L37"/>
  <c r="K38"/>
  <c r="L38"/>
  <c r="K39"/>
  <c r="L39"/>
  <c r="K40"/>
  <c r="L40"/>
  <c r="K44"/>
  <c r="L44"/>
  <c r="K45"/>
  <c r="L45"/>
  <c r="K46"/>
  <c r="L46"/>
  <c r="K47"/>
  <c r="L47"/>
  <c r="L5"/>
  <c r="K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4"/>
  <c r="J44"/>
  <c r="I45"/>
  <c r="J45"/>
  <c r="I46"/>
  <c r="J46"/>
  <c r="I47"/>
  <c r="J47"/>
  <c r="G6"/>
  <c r="H6"/>
  <c r="G7"/>
  <c r="H7"/>
  <c r="G8"/>
  <c r="H8"/>
  <c r="G9"/>
  <c r="H9"/>
  <c r="G10"/>
  <c r="H10"/>
  <c r="G11"/>
  <c r="H11"/>
  <c r="G12"/>
  <c r="H12"/>
  <c r="G13"/>
  <c r="H13"/>
  <c r="G14"/>
  <c r="H14"/>
  <c r="G15"/>
  <c r="H15"/>
  <c r="G16"/>
  <c r="H16"/>
  <c r="G17"/>
  <c r="H17"/>
  <c r="G18"/>
  <c r="H18"/>
  <c r="G19"/>
  <c r="H19"/>
  <c r="G20"/>
  <c r="H20"/>
  <c r="G21"/>
  <c r="H21"/>
  <c r="G22"/>
  <c r="H22"/>
  <c r="G23"/>
  <c r="H23"/>
  <c r="G24"/>
  <c r="H24"/>
  <c r="G25"/>
  <c r="H25"/>
  <c r="G26"/>
  <c r="H26"/>
  <c r="G32"/>
  <c r="H32"/>
  <c r="G33"/>
  <c r="H33"/>
  <c r="G34"/>
  <c r="H34"/>
  <c r="H35"/>
  <c r="H36"/>
  <c r="H37"/>
  <c r="H38"/>
  <c r="H39"/>
  <c r="H40"/>
  <c r="G44"/>
  <c r="H44"/>
  <c r="G45"/>
  <c r="H45"/>
  <c r="G46"/>
  <c r="H46"/>
  <c r="G47"/>
  <c r="H47"/>
  <c r="J5"/>
  <c r="I5"/>
  <c r="H5"/>
  <c r="G5"/>
  <c r="E6"/>
  <c r="F6"/>
  <c r="E7"/>
  <c r="F7"/>
  <c r="E8"/>
  <c r="F8"/>
  <c r="E9"/>
  <c r="F9"/>
  <c r="E10"/>
  <c r="F10"/>
  <c r="E11"/>
  <c r="F11"/>
  <c r="E12"/>
  <c r="F12"/>
  <c r="E13"/>
  <c r="F13"/>
  <c r="E14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32"/>
  <c r="F32"/>
  <c r="E33"/>
  <c r="F33"/>
  <c r="E34"/>
  <c r="F34"/>
  <c r="E44"/>
  <c r="F44"/>
  <c r="E45"/>
  <c r="F45"/>
  <c r="E46"/>
  <c r="F46"/>
  <c r="E47"/>
  <c r="F47"/>
  <c r="F5"/>
  <c r="E5"/>
  <c r="C7"/>
  <c r="D7"/>
  <c r="C8"/>
  <c r="D8"/>
  <c r="C9"/>
  <c r="D9"/>
  <c r="C10"/>
  <c r="D10"/>
  <c r="C11"/>
  <c r="D11"/>
  <c r="C12"/>
  <c r="D12"/>
  <c r="C13"/>
  <c r="D13"/>
  <c r="C14"/>
  <c r="D14"/>
  <c r="C15"/>
  <c r="D15"/>
  <c r="C16"/>
  <c r="D16"/>
  <c r="C17"/>
  <c r="D17"/>
  <c r="C18"/>
  <c r="D18"/>
  <c r="C19"/>
  <c r="D19"/>
  <c r="C20"/>
  <c r="D20"/>
  <c r="C21"/>
  <c r="D21"/>
  <c r="C22"/>
  <c r="D22"/>
  <c r="C23"/>
  <c r="D23"/>
  <c r="C24"/>
  <c r="D24"/>
  <c r="C25"/>
  <c r="D25"/>
  <c r="C26"/>
  <c r="D26"/>
  <c r="C32"/>
  <c r="C44"/>
  <c r="C45"/>
  <c r="C46"/>
  <c r="C47"/>
  <c r="D6"/>
  <c r="C6"/>
  <c r="D5"/>
  <c r="C5"/>
  <c r="D40" i="65"/>
  <c r="AH62" i="95" l="1"/>
  <c r="T62"/>
  <c r="AH64" i="97"/>
  <c r="AH70" s="1"/>
  <c r="BK62" i="95"/>
  <c r="BL62"/>
  <c r="BA62"/>
  <c r="BF62"/>
  <c r="AP62"/>
  <c r="G62"/>
  <c r="BD62"/>
  <c r="BM8"/>
  <c r="AT62"/>
  <c r="BM12"/>
  <c r="BN6"/>
  <c r="BN12"/>
  <c r="BN8"/>
  <c r="BE62"/>
  <c r="BJ62"/>
  <c r="BI62"/>
  <c r="BB62"/>
  <c r="AZ62"/>
  <c r="BH62"/>
  <c r="BG62"/>
  <c r="BC62"/>
  <c r="BM16"/>
  <c r="AQ62"/>
  <c r="AU62"/>
  <c r="AY62"/>
  <c r="AX62"/>
  <c r="AV62"/>
  <c r="AR62"/>
  <c r="AS62"/>
  <c r="AW62"/>
  <c r="BM47"/>
  <c r="BM45"/>
  <c r="BM44"/>
  <c r="AL62"/>
  <c r="BM23"/>
  <c r="BM21"/>
  <c r="BM25"/>
  <c r="BM24"/>
  <c r="AN62"/>
  <c r="AM62"/>
  <c r="BM40"/>
  <c r="BM38"/>
  <c r="BM36"/>
  <c r="BM34"/>
  <c r="BM37"/>
  <c r="BM33"/>
  <c r="BM32"/>
  <c r="M62"/>
  <c r="AO62"/>
  <c r="AK62"/>
  <c r="AJ62"/>
  <c r="AI62"/>
  <c r="BN15"/>
  <c r="AE62"/>
  <c r="BM20"/>
  <c r="AD62"/>
  <c r="BM17"/>
  <c r="AG62"/>
  <c r="AC62"/>
  <c r="X62"/>
  <c r="BM15"/>
  <c r="W62"/>
  <c r="AB62"/>
  <c r="Z62"/>
  <c r="BN16"/>
  <c r="U62"/>
  <c r="BN18"/>
  <c r="BM18"/>
  <c r="BN17"/>
  <c r="P62"/>
  <c r="O62"/>
  <c r="BM19"/>
  <c r="BM9"/>
  <c r="BM7"/>
  <c r="BM13"/>
  <c r="BM11"/>
  <c r="BN14"/>
  <c r="BM14"/>
  <c r="I62"/>
  <c r="BN9"/>
  <c r="BN10"/>
  <c r="BM10"/>
  <c r="BN20"/>
  <c r="BN19"/>
  <c r="BN7"/>
  <c r="BN13"/>
  <c r="BN11"/>
  <c r="BN40"/>
  <c r="BN39"/>
  <c r="BN38"/>
  <c r="BN37"/>
  <c r="BN36"/>
  <c r="BN35"/>
  <c r="BN34"/>
  <c r="BN33"/>
  <c r="BN32"/>
  <c r="BM39"/>
  <c r="BM35"/>
  <c r="BN25"/>
  <c r="BN23"/>
  <c r="BN21"/>
  <c r="BN26"/>
  <c r="BN24"/>
  <c r="BN22"/>
  <c r="BM26"/>
  <c r="BM22"/>
  <c r="E62"/>
  <c r="BN47"/>
  <c r="BN46"/>
  <c r="BM46"/>
  <c r="BN45"/>
  <c r="BN44"/>
  <c r="AA62"/>
  <c r="Y62"/>
  <c r="S62"/>
  <c r="Q62"/>
  <c r="BM6"/>
  <c r="AF62"/>
  <c r="V62"/>
  <c r="R62"/>
  <c r="BN5"/>
  <c r="BM5"/>
  <c r="N62"/>
  <c r="L62"/>
  <c r="K62"/>
  <c r="J62"/>
  <c r="H62"/>
  <c r="F62"/>
  <c r="D62"/>
  <c r="C62"/>
  <c r="BN62" l="1"/>
  <c r="BM62"/>
</calcChain>
</file>

<file path=xl/sharedStrings.xml><?xml version="1.0" encoding="utf-8"?>
<sst xmlns="http://schemas.openxmlformats.org/spreadsheetml/2006/main" count="2660" uniqueCount="310">
  <si>
    <t>รายงานสรุปค่ารักษาพยาบาลประจำวัน</t>
  </si>
  <si>
    <t>ลำดับ</t>
  </si>
  <si>
    <t>สิทธิการรักษา</t>
  </si>
  <si>
    <t>จำนวนราย</t>
  </si>
  <si>
    <t>จำนวนเงิน</t>
  </si>
  <si>
    <t>ชำระเงินสด (OPD)</t>
  </si>
  <si>
    <t>ชำระเงินสด (IPD)</t>
  </si>
  <si>
    <t>เบิกกรมบัญชีกลาง (OPD)</t>
  </si>
  <si>
    <t>เบิกกรมบัญชีกลาง (OPD) ไตเทียม</t>
  </si>
  <si>
    <t>เบิกกรมบัญชีกลาง (IPD)</t>
  </si>
  <si>
    <t>เบิกกรมบัญชีกลาง (IPD) ไตเทียม</t>
  </si>
  <si>
    <t>องค์กรปกครองส่วนท้องถิ่น  (OPD)</t>
  </si>
  <si>
    <t>องค์กรปกครองส่วนท้องถิ่น  (OPD) ไตเทียม</t>
  </si>
  <si>
    <t>องค์กรปกครองส่วนท้องถิ่น  (IPD)</t>
  </si>
  <si>
    <t>องค์กรปกครองส่วนท้องถิ่น  (IPD) ไตเทียม</t>
  </si>
  <si>
    <t>สิทธิ พรบ. เรียกเก็บ OPD</t>
  </si>
  <si>
    <t>สิทธิ พรบ. เรียกเก็บ IPD</t>
  </si>
  <si>
    <t>สิทธิ ประกันชีวิต/ต่างประเทศ OPD</t>
  </si>
  <si>
    <t>สิทธิ ประกันชีวิต/ต่างประเทศ IPD</t>
  </si>
  <si>
    <t>เบิกต้นสังกัด/บริษัทห้างร้าน OPD</t>
  </si>
  <si>
    <t>เบิกต้นสังกัด/บริษัทห้างร้าน IPD</t>
  </si>
  <si>
    <t>ปกส.-OP เครือข่าย</t>
  </si>
  <si>
    <t>ปกส.-OP ต่างเครือข่าย</t>
  </si>
  <si>
    <t>ปกส.-72 ชม.</t>
  </si>
  <si>
    <t>ปกส.-OP ทุพพลภาพ</t>
  </si>
  <si>
    <t>ปกส.-OP คชจ.สูง</t>
  </si>
  <si>
    <t>ปกส.-กองทุนทดแทน</t>
  </si>
  <si>
    <t>UC OP ใน CUP</t>
  </si>
  <si>
    <t>UC OP นอก CUP ใน จ.(สธ) - รพ.ถลาง</t>
  </si>
  <si>
    <t>UC OP นอก CUP ใน จ.(สธ) - รพ.ป่าตอง</t>
  </si>
  <si>
    <t>UC OP นอก CUP ใน จ.(นอก สธ.) - อบจ.</t>
  </si>
  <si>
    <t>UC OP Refer ตจว.</t>
  </si>
  <si>
    <t>UC OP AE</t>
  </si>
  <si>
    <t>UC - สิทธิว่างมาตรา 8 / เด็กแรกเกิด</t>
  </si>
  <si>
    <t>UC - ส่งเสริมป้องกันโรค</t>
  </si>
  <si>
    <t xml:space="preserve">UC - ฟอกไต </t>
  </si>
  <si>
    <t>แรงงานต่างด้าว OP ใน CUP</t>
  </si>
  <si>
    <t>ต่างด้าวสถานะ&amp;สิทธิ OP ใน CUP</t>
  </si>
  <si>
    <t>รวมเงิน</t>
  </si>
  <si>
    <t>รายการ / วันที่</t>
  </si>
  <si>
    <t>ราย</t>
  </si>
  <si>
    <t>องค์กรปกครองส่วนท้องถิ่น (OPD)</t>
  </si>
  <si>
    <t>องค์กรปกครองส่วนท้องถิ่น (OPD) ไตเทียม</t>
  </si>
  <si>
    <t>องค์กรปกครองส่วนท้องถิ่น (IPD)</t>
  </si>
  <si>
    <t>องค์กรปกครองส่วนท้องถิ่น (IPD) ไตเทียม</t>
  </si>
  <si>
    <t>แรงงานต่างด้าว OP นอก CUP- (เรียกเก็บ)</t>
  </si>
  <si>
    <t>ต่างด้าวสถานะ&amp;สิทธิ OP นอก CUP (เรียกเก็บ)**</t>
  </si>
  <si>
    <t>แรงงานต่างด้าว OP นอก CUP- (เรียกเก็บ)**</t>
  </si>
  <si>
    <t>รวม</t>
  </si>
  <si>
    <t>ชำระเงินสด (OPD)   &gt;&gt;ไม่ลงบ/ช.&lt;&lt;</t>
  </si>
  <si>
    <t>ชำระเงินสด (IPD)     &gt;&gt;ไม่ลงบ/ช.&lt;&lt;</t>
  </si>
  <si>
    <t>สิทธิ ประกันชีวิต/ต่างประเทศ OPD   ((3.2 OPD))</t>
  </si>
  <si>
    <t>สิทธิ ประกันชีวิต/ต่างประเทศ IPD   ((3.1 IPD))</t>
  </si>
  <si>
    <t>เบิกกรมบัญชีกลาง (OPD)                   ((1.3))</t>
  </si>
  <si>
    <t>เบิกกรมบัญชีกลาง (OPD) ไตเทียม        ((1.4))</t>
  </si>
  <si>
    <t>เบิกกรมบัญชีกลาง (IPD)                     ((1.5))</t>
  </si>
  <si>
    <t>เบิกกรมบัญชีกลาง (IPD) ไตเทียม          ((1.1))</t>
  </si>
  <si>
    <t>องค์กรปกครองส่วนท้องถิ่น  (OPD)         ((3.6))</t>
  </si>
  <si>
    <t>องค์กรปกครองส่วนท้องถิ่น  (OPD) ไตเทียม  ((3.6))</t>
  </si>
  <si>
    <t>องค์กรปกครองส่วนท้องถิ่น  (IPD)               ((3.5))</t>
  </si>
  <si>
    <t>องค์กรปกครองส่วนท้องถิ่น  (IPD) ไตเทียม    ((3.5))</t>
  </si>
  <si>
    <t>สิทธิ พรบ. เรียกเก็บ OPD                         ((2.2))</t>
  </si>
  <si>
    <t>สิทธิ พรบ. เรียกเก็บ IPD                           ((2.1))</t>
  </si>
  <si>
    <t>เบิกต้นสังกัด/บริษัทห้างร้าน OPD            ((3.4))</t>
  </si>
  <si>
    <t>เบิกต้นสังกัด/บริษัทห้างร้าน IPD              ((3.3))</t>
  </si>
  <si>
    <t>ปกส.-OP เครือข่าย                              ((9.6))</t>
  </si>
  <si>
    <t>ปกส.-72 ชม.              ((9.1))((1102050194.306))</t>
  </si>
  <si>
    <t>ปกส.-OP คชจ.สูง         ((9.1))((1102050194.307))</t>
  </si>
  <si>
    <t>ปกส.-กองทุนทดแทน     ((9.1))((1102050194.305))</t>
  </si>
  <si>
    <t>UC OP ใน CUP          ((10.5))</t>
  </si>
  <si>
    <t>UC OP นอก CUP ใน จ.(สธ) - รพ.ถลาง       ((10.6))</t>
  </si>
  <si>
    <t>UC OP นอก CUP ใน จ.(สธ) - รพ.ป่าตอง     ((10.6))</t>
  </si>
  <si>
    <t>UC OP นอก CUP ใน จ.(นอก สธ.) - อบจ.    ((10.7))</t>
  </si>
  <si>
    <t xml:space="preserve">UC OP Refer ตจว.                                 ((11.2)) </t>
  </si>
  <si>
    <t>UC OP AE                                            ((4.1))</t>
  </si>
  <si>
    <t>UC - สิทธิว่างมาตรา 8 / เด็กแรกเกิด           ((4.1.1))</t>
  </si>
  <si>
    <t>แรงงานต่างด้าว OP ใน CUP                          ((7.1))</t>
  </si>
  <si>
    <t>แรงงานต่างด้าว OP นอก CUP- (เรียกเก็บ)***      ((6.1))</t>
  </si>
  <si>
    <t>ต่างด้าวสถานะ&amp;สิทธิ OP ใน CUP                 ((14.1))</t>
  </si>
  <si>
    <t>ต่างด้าวสถานะ&amp;สิทธิ OP นอก CUP (เรียกเก็บ)**  ((12.2))</t>
  </si>
  <si>
    <r>
      <rPr>
        <u/>
        <sz val="18"/>
        <color theme="1"/>
        <rFont val="Angsana New"/>
        <family val="1"/>
      </rPr>
      <t>หัก</t>
    </r>
    <r>
      <rPr>
        <sz val="18"/>
        <color theme="1"/>
        <rFont val="Angsana New"/>
        <family val="1"/>
      </rPr>
      <t xml:space="preserve"> ยังไม่ลงบช</t>
    </r>
  </si>
  <si>
    <r>
      <rPr>
        <u/>
        <sz val="12"/>
        <color theme="1"/>
        <rFont val="Angsana New"/>
        <family val="1"/>
      </rPr>
      <t>บวก</t>
    </r>
    <r>
      <rPr>
        <sz val="12"/>
        <color theme="1"/>
        <rFont val="Angsana New"/>
        <family val="1"/>
      </rPr>
      <t xml:space="preserve">   Hos Ver.3</t>
    </r>
  </si>
  <si>
    <t>สิทธิ21 ((1.2))</t>
  </si>
  <si>
    <t>สิทธิ24 ((1.6))</t>
  </si>
  <si>
    <t>สิทธิ34 ((9.4))</t>
  </si>
  <si>
    <t>สิทธิ90 ((11.1))</t>
  </si>
  <si>
    <t>สิทธิ31 ((9.5))</t>
  </si>
  <si>
    <t>ผลต่าง</t>
  </si>
  <si>
    <t>ถลาง</t>
  </si>
  <si>
    <t>ป่าตอง</t>
  </si>
  <si>
    <t>ตจว.</t>
  </si>
  <si>
    <t>รวมสุทธิ</t>
  </si>
  <si>
    <t>*** ผลต่างจุดทศนิยมจากโปรแกรมทศนิยม 3 ตำแหน่ง</t>
  </si>
  <si>
    <t>ล/น.แรงงานต่งด้าว -OPD   ฉลอง**</t>
  </si>
  <si>
    <t xml:space="preserve">ล/น.ประกันสังคม -OPD   ฉลอง** </t>
  </si>
  <si>
    <t xml:space="preserve">ล/น.UC-OPDบริการเฉพาะ **AE **ฉลอง** </t>
  </si>
  <si>
    <t xml:space="preserve">ล/น.UC-OPD ใน CUP -ฉลอง** </t>
  </si>
  <si>
    <t xml:space="preserve">ล/น.เบิกจ่ายตรง-อปท. -ฉลอง**  </t>
  </si>
  <si>
    <t xml:space="preserve">ล/น.เบิกจ่ายตรงกรมบ/ช.กลาง -ฉลอง** </t>
  </si>
  <si>
    <t>ล/น.เบิกจ่ายตรงกรมบ/ช.กลาง -ฉลอง**                                      ((1.3 / ฉลอง))</t>
  </si>
  <si>
    <t>ล/น.เบิกจ่ายตรง-อปท. -ฉลอง**                                                     ((3.6 / ฉลอง))</t>
  </si>
  <si>
    <t>ล/น.UC-OPD ใน CUP -ฉลอง**                                                   ((10.5 / ฉลอง))</t>
  </si>
  <si>
    <t>ล/น.UC-OPDบริการเฉพาะ **AE **ฉลอง**                           ((4.1 / ฉลอง))</t>
  </si>
  <si>
    <t>ล/น.ประกันสังคม -OPD   ฉลอง**                                               ((9.6 / ฉลอง))</t>
  </si>
  <si>
    <t>ล/น.แรงงานต่งด้าว -OPD   ฉลอง**                                             ((7.1 / ฉลอง))</t>
  </si>
  <si>
    <t>ล/น.เบิกได้จ่ายตรง -OPD หยี่เต้ง    ((1.2 / หยี่เต้ง))</t>
  </si>
  <si>
    <t>ล/น.บัตรทอง 30บ./บัตรทองรพ.วชิระ -OPD หยี่เต้ง ((11.1 / หยี่เต้ง))</t>
  </si>
  <si>
    <t>ล/น.สิทธิ 34 บัตรปกส. -OPD หยี่เต้ง  ((9.4 / หยี่เต้ง))</t>
  </si>
  <si>
    <t xml:space="preserve">ล/น.เบิกได้จ่ายตรง -OPD หยี่เต้ง  </t>
  </si>
  <si>
    <t xml:space="preserve">ล/น.บัตรทอง 30บ./บัตรทองรพ.วชิระ -OPD หยี่เต้ง </t>
  </si>
  <si>
    <t xml:space="preserve">ล/น.สิทธิ 34 บัตรปกส. -OPD หยี่เต้ง </t>
  </si>
  <si>
    <t xml:space="preserve">ล/น.เบิกได้จ่ายตรง-อปท.  -OPD หยี่เต้ง    </t>
  </si>
  <si>
    <t>ล/น.เบิกได้จ่ายตรง-อปท.  -OPD หยี่เต้ง    ((1.6 / หยี่เต้ง))</t>
  </si>
  <si>
    <t>1-30 Report</t>
  </si>
  <si>
    <t>ล/น.แรงงานต่างด้าว - OPD หยี่เต้ง  ((7.1 / หยี่เต้ง))</t>
  </si>
  <si>
    <t xml:space="preserve"> </t>
  </si>
  <si>
    <t>1 พค.63</t>
  </si>
  <si>
    <t>2 พค.63</t>
  </si>
  <si>
    <t>3 พค.63</t>
  </si>
  <si>
    <t>4 พค.63</t>
  </si>
  <si>
    <t>5 พค.63</t>
  </si>
  <si>
    <t>6 พค.63</t>
  </si>
  <si>
    <t>7 พค.63</t>
  </si>
  <si>
    <t>8 พค.63</t>
  </si>
  <si>
    <t>9 พค.63</t>
  </si>
  <si>
    <t>10 พค.63</t>
  </si>
  <si>
    <t>11 พค.63</t>
  </si>
  <si>
    <t>12 พค.63</t>
  </si>
  <si>
    <t>13 พค.63</t>
  </si>
  <si>
    <t>14 พค.63</t>
  </si>
  <si>
    <t>15 พค.63</t>
  </si>
  <si>
    <t>16 พค.63</t>
  </si>
  <si>
    <t>17 พค.63</t>
  </si>
  <si>
    <t>18 พค.63</t>
  </si>
  <si>
    <t>19 พค.63</t>
  </si>
  <si>
    <t>20 พค.63</t>
  </si>
  <si>
    <t>21 พค.63</t>
  </si>
  <si>
    <t>22 พค.63</t>
  </si>
  <si>
    <t>23 พค.63</t>
  </si>
  <si>
    <t>24 พค.63</t>
  </si>
  <si>
    <t>25 พค.63</t>
  </si>
  <si>
    <t>26 พค.63</t>
  </si>
  <si>
    <t>27 พค.63</t>
  </si>
  <si>
    <t>28 พค.63</t>
  </si>
  <si>
    <t>29 พค.63</t>
  </si>
  <si>
    <t>30 พค.63</t>
  </si>
  <si>
    <t>31 พค.63</t>
  </si>
  <si>
    <t>ประจำวันที่    สิงหาคม 2562</t>
  </si>
  <si>
    <t xml:space="preserve">ประจำเดือน สิงหาคม 2563 </t>
  </si>
  <si>
    <t>** เปลี่ยนแปลงตาราง ไม่แยก ถลาง/ป่าตอง/ตจว. เริ่ม สค.62</t>
  </si>
  <si>
    <t>1 สค.63</t>
  </si>
  <si>
    <t>2 สค.63</t>
  </si>
  <si>
    <t>3 สค.63</t>
  </si>
  <si>
    <t>4 สค.63</t>
  </si>
  <si>
    <t>5 สค.63</t>
  </si>
  <si>
    <t>6 สค.63</t>
  </si>
  <si>
    <t>7 สค.63</t>
  </si>
  <si>
    <t>8 สค.63</t>
  </si>
  <si>
    <t>9 สค.63</t>
  </si>
  <si>
    <t>10 สค.63</t>
  </si>
  <si>
    <t>11 สค.63</t>
  </si>
  <si>
    <t>12 สค.63</t>
  </si>
  <si>
    <t>13 สค.63</t>
  </si>
  <si>
    <t>14 สค.63</t>
  </si>
  <si>
    <t>15 สค.63</t>
  </si>
  <si>
    <t>16 สค.63</t>
  </si>
  <si>
    <t>17 สค.63</t>
  </si>
  <si>
    <t>18 สค.63</t>
  </si>
  <si>
    <t>19 สค.63</t>
  </si>
  <si>
    <t>20 สค.63</t>
  </si>
  <si>
    <t>21 สค.63</t>
  </si>
  <si>
    <t>22 สค.63</t>
  </si>
  <si>
    <t>23 สค.63</t>
  </si>
  <si>
    <t>24 สค.63</t>
  </si>
  <si>
    <t>25 สค.63</t>
  </si>
  <si>
    <t>26 สค.63</t>
  </si>
  <si>
    <t>27 สค.63</t>
  </si>
  <si>
    <t>28 สค.63</t>
  </si>
  <si>
    <t>29 สค.63</t>
  </si>
  <si>
    <t>30 สค.63</t>
  </si>
  <si>
    <t>31 สค.63</t>
  </si>
  <si>
    <t xml:space="preserve">ประจำเดือน มกราคม 2564 </t>
  </si>
  <si>
    <t>1 มค.64</t>
  </si>
  <si>
    <t>2 มค.64</t>
  </si>
  <si>
    <t>3 มค.64</t>
  </si>
  <si>
    <t>4 มค.64</t>
  </si>
  <si>
    <t>5 มค.64</t>
  </si>
  <si>
    <t>6 มค.64</t>
  </si>
  <si>
    <t>7 มค.64</t>
  </si>
  <si>
    <t>8 มค.64</t>
  </si>
  <si>
    <t>9 มค.64</t>
  </si>
  <si>
    <t>10 มค.64</t>
  </si>
  <si>
    <t>11 มค.64</t>
  </si>
  <si>
    <t>12 มค.64</t>
  </si>
  <si>
    <t>13 มค.64</t>
  </si>
  <si>
    <t>14 มค.64</t>
  </si>
  <si>
    <t>15 มค.64</t>
  </si>
  <si>
    <t>16 มค.64</t>
  </si>
  <si>
    <t>17 มค.64</t>
  </si>
  <si>
    <t>18 มค.64</t>
  </si>
  <si>
    <t>19 มค.64</t>
  </si>
  <si>
    <t>20 มค.64</t>
  </si>
  <si>
    <t>21 มค.64</t>
  </si>
  <si>
    <t>22 มค.64</t>
  </si>
  <si>
    <t>23 มค.64</t>
  </si>
  <si>
    <t>24 มค.64</t>
  </si>
  <si>
    <t>25 มค.64</t>
  </si>
  <si>
    <t>26 มค.64</t>
  </si>
  <si>
    <t>27 มค.64</t>
  </si>
  <si>
    <t>28 มค.64</t>
  </si>
  <si>
    <t>29 มค.64</t>
  </si>
  <si>
    <t>30 มค.64</t>
  </si>
  <si>
    <t>31 มค.64</t>
  </si>
  <si>
    <t>1 มีค.65</t>
  </si>
  <si>
    <t>2 มีค.65</t>
  </si>
  <si>
    <t>3 มีค.65</t>
  </si>
  <si>
    <t>4 มีค.65</t>
  </si>
  <si>
    <t>5 มีค.65</t>
  </si>
  <si>
    <t>6 มีค.65</t>
  </si>
  <si>
    <t>7 มีค.65</t>
  </si>
  <si>
    <t>8 มีค.65</t>
  </si>
  <si>
    <t>9 มีค.65</t>
  </si>
  <si>
    <t>10 มีค.65</t>
  </si>
  <si>
    <t>11 มีค.65</t>
  </si>
  <si>
    <t>12 มีค.65</t>
  </si>
  <si>
    <t>13 มีค.65</t>
  </si>
  <si>
    <t>14 มีค.65</t>
  </si>
  <si>
    <t>15 มีค.65</t>
  </si>
  <si>
    <t>16 มีค.65</t>
  </si>
  <si>
    <t>17 มีค.65</t>
  </si>
  <si>
    <t>18 มีค.65</t>
  </si>
  <si>
    <t>19 มีค.65</t>
  </si>
  <si>
    <t>20 มีค.65</t>
  </si>
  <si>
    <t>21 มีค.65</t>
  </si>
  <si>
    <t>22 มีค.65</t>
  </si>
  <si>
    <t>23 มีค.65</t>
  </si>
  <si>
    <t>24 มีค.65</t>
  </si>
  <si>
    <t>25 มีค.65</t>
  </si>
  <si>
    <t>26 มีค.65</t>
  </si>
  <si>
    <t>27 มีค.65</t>
  </si>
  <si>
    <t>28 มีค.65</t>
  </si>
  <si>
    <t>29 มีค.65</t>
  </si>
  <si>
    <t>30 มีค.65</t>
  </si>
  <si>
    <t>31 มีค.65</t>
  </si>
  <si>
    <r>
      <rPr>
        <u/>
        <sz val="20"/>
        <color theme="1"/>
        <rFont val="AngsanaUPC"/>
        <family val="1"/>
      </rPr>
      <t>หัก</t>
    </r>
    <r>
      <rPr>
        <sz val="20"/>
        <color theme="1"/>
        <rFont val="AngsanaUPC"/>
        <family val="1"/>
      </rPr>
      <t xml:space="preserve"> ยังไม่ลงบช</t>
    </r>
  </si>
  <si>
    <r>
      <rPr>
        <u/>
        <sz val="20"/>
        <color theme="1"/>
        <rFont val="AngsanaUPC"/>
        <family val="1"/>
      </rPr>
      <t>บวก</t>
    </r>
    <r>
      <rPr>
        <sz val="20"/>
        <color theme="1"/>
        <rFont val="AngsanaUPC"/>
        <family val="1"/>
      </rPr>
      <t xml:space="preserve">   Hos Ver.3</t>
    </r>
  </si>
  <si>
    <t>ฉลอง</t>
  </si>
  <si>
    <t>เบิกกรมบัญชีกลาง (OPD) กทม.    ((1.3))</t>
  </si>
  <si>
    <t>เบิกกรมบัญชีกลาง (OPD)              ((1.3))</t>
  </si>
  <si>
    <t>เบิกกรมบัญชีกลาง  (IPD)  กทม.     ((1.5))</t>
  </si>
  <si>
    <t xml:space="preserve">เบิกกรมบัญชีกลาง  (IPD)  กทม.    </t>
  </si>
  <si>
    <t xml:space="preserve">เบิกกรมบัญชีกลาง (OPD) กทม.    </t>
  </si>
  <si>
    <t>ล/น.เบิกจ่ายตรง อปท.รูปแบบพิเศษ IP (1102050102.804)(กทม./ขสมก./กสทช./กกต.)((3.7))</t>
  </si>
  <si>
    <t>ล/น.เบิกจ่ายตรง อปท.รูปแบบพิเศษ OP (1102050102.803) (กทม./ขสมก./กสทช./กกต.)((3.8))</t>
  </si>
  <si>
    <t>ล/น.เบิกจ่ายตรง อปท.รูปแบบพิเศษ OP ((3.8))</t>
  </si>
  <si>
    <t>ล/น.เบิกจ่ายตรง อปท.รูปแบบพิเศษ IP ((3.7))</t>
  </si>
  <si>
    <t>UC OP นอก CUP ใน จ.(สธ) - รพ.ป่าตอง,ฉลอง,ถลาง   ((10.6))</t>
  </si>
  <si>
    <t>UC OP  บริการเฉพาะ</t>
  </si>
  <si>
    <t>UC OP  PP</t>
  </si>
  <si>
    <t>UC IP ใน CUP วชิระ</t>
  </si>
  <si>
    <t>UC IP นอก CUP ในจังหวัด ป่าตอง ฉลอง ถลาง</t>
  </si>
  <si>
    <t>UC IP นอก CUP ในจังหวัด อบจ.</t>
  </si>
  <si>
    <t>UC IP ต่างจังหวัด</t>
  </si>
  <si>
    <t>IP สิทธิว่างมาตรา 8/เด็กแรกเกิด</t>
  </si>
  <si>
    <t>IP ส่งเงินสมทบไม่ครบ 5 เดือน</t>
  </si>
  <si>
    <t>IP ประกันตนคนพิการ</t>
  </si>
  <si>
    <t xml:space="preserve">ปกส.-72 ชม.           </t>
  </si>
  <si>
    <t>ปกส.-IP ต่างเครือข่าย</t>
  </si>
  <si>
    <t>ปกส.-IP คชจ.สูง         ((9.1))((1102050194.307))</t>
  </si>
  <si>
    <t xml:space="preserve">ปกส.-IP ในเครือข่าย             (( 9.2))               </t>
  </si>
  <si>
    <t xml:space="preserve">ปกส.-IP ในเครือข่าย                        </t>
  </si>
  <si>
    <t xml:space="preserve">ปกส.-IP คชจ.สูง         </t>
  </si>
  <si>
    <t xml:space="preserve">ปกส.-กองทุนทดแทน    </t>
  </si>
  <si>
    <t>แรงงานต่างด้าว IP ใน CUP                          ((8.1))</t>
  </si>
  <si>
    <t>แรงงานต่างด้าว IP นอก CUP- (เรียกเก็บ)***      ((8))</t>
  </si>
  <si>
    <t>แรงงานต่างด้าว IP เบิกส่วนกลาง</t>
  </si>
  <si>
    <t>ต่างด้าวสถานะ&amp;สิทธิ OP เบิกส่วนกลาง</t>
  </si>
  <si>
    <t>ประจำเดือน กันยายน 2569</t>
  </si>
  <si>
    <t>ต่างด้าวสถานะ&amp;สิทธิ IP เบิกส่วนกลาง</t>
  </si>
  <si>
    <t>ประจำวันที่  01  กันยายน  2569</t>
  </si>
  <si>
    <t>ประจำวันที่  02  กันยายน  2569</t>
  </si>
  <si>
    <t>ประจำวันที่  03  กันยายน  2569</t>
  </si>
  <si>
    <t>ประจำวันที่  04  กันยายน  2569</t>
  </si>
  <si>
    <t>ประจำวันที่  05  กันยายน  2569</t>
  </si>
  <si>
    <t>ประจำวันที่  06  กันยายน  2569</t>
  </si>
  <si>
    <t>ประจำวันที่  07  กันยายน  2569</t>
  </si>
  <si>
    <t>ประจำวันที่  08  กันยายน  2569</t>
  </si>
  <si>
    <t>ประจำวันที่  09  กันยายน  2569</t>
  </si>
  <si>
    <t>ประจำวันที่  10  กันยายน  2569</t>
  </si>
  <si>
    <t>ประจำวันที่  11  กันยายน  2569</t>
  </si>
  <si>
    <t>ประจำวันที่  12  กันยายน  2569</t>
  </si>
  <si>
    <t>ประจำวันที่  13  กันยายน  2569</t>
  </si>
  <si>
    <t>ประจำวันที่  14  กันยายน  2569</t>
  </si>
  <si>
    <t>ประจำวันที่  15  กันยายน  2569</t>
  </si>
  <si>
    <t>ประจำวันที่  16  กันยายน  2569</t>
  </si>
  <si>
    <t>ประจำวันที่  17  กันยายน  2569</t>
  </si>
  <si>
    <t>ประจำวันที่  18  กันยายน  2569</t>
  </si>
  <si>
    <t>ประจำวันที่  19  กันยายน  2569</t>
  </si>
  <si>
    <t>ประจำวันที่  20  กันยายน  2569</t>
  </si>
  <si>
    <t>ประจำวันที่  21 กันยายน  2569</t>
  </si>
  <si>
    <t>ประจำวันที่  22  กันยายน  2569</t>
  </si>
  <si>
    <t>ประจำวันที่  23  กันยายน  2569</t>
  </si>
  <si>
    <t>ประจำวันที่  24  กันยายน  2569</t>
  </si>
  <si>
    <t>ประจำวันที่  25  กันยายน  2569</t>
  </si>
  <si>
    <t>ประจำวันที่  26  กันยายน  2569</t>
  </si>
  <si>
    <t>ประจำวันที่  27  กันยายน  2569</t>
  </si>
  <si>
    <t>ประจำวันที่  28  กันยายน  2569</t>
  </si>
  <si>
    <t>ประจำวันที่  29  กันยายน  2569</t>
  </si>
  <si>
    <t>ประจำวันที่  30  กันยายน  2569</t>
  </si>
  <si>
    <t xml:space="preserve">ประจำวันที่  31  กันยายน  2565 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</si>
</sst>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_-* #,##0_-;\-* #,##0_-;_-* &quot;-&quot;??_-;_-@_-"/>
  </numFmts>
  <fonts count="62">
    <font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name val="TH SarabunPSK"/>
      <family val="2"/>
    </font>
    <font>
      <sz val="16"/>
      <name val="TH SarabunPSK"/>
      <family val="2"/>
    </font>
    <font>
      <sz val="16"/>
      <color rgb="FF0000FF"/>
      <name val="TH SarabunPSK"/>
      <family val="2"/>
    </font>
    <font>
      <sz val="16"/>
      <name val="TH SarabunPSK"/>
      <family val="2"/>
      <charset val="222"/>
    </font>
    <font>
      <sz val="16"/>
      <color rgb="FF0000FF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rgb="FFC00000"/>
      <name val="TH SarabunPSK"/>
      <family val="2"/>
    </font>
    <font>
      <sz val="16"/>
      <color theme="1"/>
      <name val="TH SarabunPSK"/>
      <family val="2"/>
    </font>
    <font>
      <b/>
      <sz val="16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  <font>
      <sz val="16"/>
      <color rgb="FF0000FF"/>
      <name val="Angsana New"/>
      <family val="1"/>
    </font>
    <font>
      <sz val="12"/>
      <color theme="1"/>
      <name val="Angsana New"/>
      <family val="1"/>
    </font>
    <font>
      <u/>
      <sz val="12"/>
      <color theme="1"/>
      <name val="Angsana New"/>
      <family val="1"/>
    </font>
    <font>
      <sz val="18"/>
      <color theme="1"/>
      <name val="Angsana New"/>
      <family val="1"/>
    </font>
    <font>
      <u/>
      <sz val="18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FF0000"/>
      <name val="TH SarabunPSK"/>
      <family val="2"/>
    </font>
    <font>
      <sz val="16"/>
      <color rgb="FFFF0000"/>
      <name val="TH SarabunPSK"/>
      <family val="2"/>
    </font>
    <font>
      <b/>
      <sz val="16"/>
      <color rgb="FFFF0000"/>
      <name val="TH SarabunPSK"/>
      <charset val="222"/>
    </font>
    <font>
      <sz val="16"/>
      <color rgb="FFFF0000"/>
      <name val="TH SarabunPSK"/>
      <charset val="222"/>
    </font>
    <font>
      <sz val="16"/>
      <color rgb="FFFF0000"/>
      <name val="Angsana New"/>
      <family val="1"/>
    </font>
    <font>
      <sz val="15"/>
      <color theme="1"/>
      <name val="Angsana New"/>
      <family val="1"/>
    </font>
    <font>
      <sz val="14"/>
      <color theme="1"/>
      <name val="TH SarabunPSK"/>
      <family val="2"/>
      <charset val="222"/>
    </font>
    <font>
      <sz val="18"/>
      <color rgb="FFFF0000"/>
      <name val="Angsana New"/>
      <family val="1"/>
    </font>
    <font>
      <sz val="18"/>
      <color rgb="FF0000FF"/>
      <name val="Angsana New"/>
      <family val="1"/>
    </font>
    <font>
      <sz val="18"/>
      <color theme="1"/>
      <name val="TH SarabunPSK"/>
      <family val="2"/>
      <charset val="222"/>
    </font>
    <font>
      <sz val="18"/>
      <name val="TH SarabunPSK"/>
      <family val="2"/>
      <charset val="222"/>
    </font>
    <font>
      <sz val="15"/>
      <color rgb="FF0000FF"/>
      <name val="Angsana New"/>
      <family val="1"/>
    </font>
    <font>
      <sz val="14"/>
      <color rgb="FF0000FF"/>
      <name val="Angsana New"/>
      <family val="1"/>
    </font>
    <font>
      <sz val="15"/>
      <color theme="1" tint="4.9989318521683403E-2"/>
      <name val="Angsana New"/>
      <family val="1"/>
    </font>
    <font>
      <sz val="16"/>
      <color theme="1" tint="4.9989318521683403E-2"/>
      <name val="Angsana New"/>
      <family val="1"/>
    </font>
    <font>
      <sz val="14"/>
      <color theme="1" tint="4.9989318521683403E-2"/>
      <name val="Angsana New"/>
      <family val="1"/>
    </font>
    <font>
      <sz val="20"/>
      <color rgb="FF0000FF"/>
      <name val="Angsana New"/>
      <family val="1"/>
    </font>
    <font>
      <sz val="20"/>
      <color theme="1"/>
      <name val="Angsana New"/>
      <family val="1"/>
    </font>
    <font>
      <sz val="20"/>
      <color theme="1" tint="4.9989318521683403E-2"/>
      <name val="Angsana New"/>
      <family val="1"/>
    </font>
    <font>
      <sz val="16"/>
      <color rgb="FF00B050"/>
      <name val="Angsana New"/>
      <family val="1"/>
    </font>
    <font>
      <sz val="14"/>
      <color rgb="FFFF66FF"/>
      <name val="Angsana New"/>
      <family val="1"/>
    </font>
    <font>
      <sz val="16"/>
      <color theme="6" tint="-0.249977111117893"/>
      <name val="Angsana New"/>
      <family val="1"/>
    </font>
    <font>
      <sz val="16"/>
      <color rgb="FF92D050"/>
      <name val="Angsana New"/>
      <family val="1"/>
    </font>
    <font>
      <sz val="20"/>
      <color theme="1"/>
      <name val="TH SarabunPSK"/>
      <family val="2"/>
      <charset val="222"/>
    </font>
    <font>
      <sz val="20"/>
      <color rgb="FF0000FF"/>
      <name val="TH SarabunPSK"/>
      <family val="2"/>
      <charset val="222"/>
    </font>
    <font>
      <sz val="20"/>
      <name val="TH SarabunPSK"/>
      <family val="2"/>
    </font>
    <font>
      <sz val="20"/>
      <color theme="1"/>
      <name val="TH SarabunPSK"/>
      <family val="2"/>
    </font>
    <font>
      <sz val="20"/>
      <color rgb="FFC00000"/>
      <name val="TH SarabunPSK"/>
      <family val="2"/>
    </font>
    <font>
      <sz val="20"/>
      <name val="TH SarabunPSK"/>
      <family val="2"/>
      <charset val="222"/>
    </font>
    <font>
      <b/>
      <sz val="20"/>
      <name val="AngsanaUPC"/>
      <family val="1"/>
    </font>
    <font>
      <sz val="20"/>
      <color theme="1"/>
      <name val="AngsanaUPC"/>
      <family val="1"/>
    </font>
    <font>
      <sz val="20"/>
      <color rgb="FF0000FF"/>
      <name val="AngsanaUPC"/>
      <family val="1"/>
    </font>
    <font>
      <b/>
      <sz val="20"/>
      <color theme="1"/>
      <name val="AngsanaUPC"/>
      <family val="1"/>
    </font>
    <font>
      <sz val="20"/>
      <name val="AngsanaUPC"/>
      <family val="1"/>
    </font>
    <font>
      <sz val="20"/>
      <color rgb="FFC00000"/>
      <name val="AngsanaUPC"/>
      <family val="1"/>
    </font>
    <font>
      <sz val="20"/>
      <color rgb="FFFF0000"/>
      <name val="AngsanaUPC"/>
      <family val="1"/>
    </font>
    <font>
      <sz val="20"/>
      <color theme="1" tint="4.9989318521683403E-2"/>
      <name val="AngsanaUPC"/>
      <family val="1"/>
    </font>
    <font>
      <u/>
      <sz val="20"/>
      <color theme="1"/>
      <name val="AngsanaUPC"/>
      <family val="1"/>
    </font>
    <font>
      <sz val="16"/>
      <color theme="1"/>
      <name val="AngsanaUPC"/>
      <family val="1"/>
    </font>
    <font>
      <sz val="11"/>
      <color theme="1"/>
      <name val="Arial"/>
      <family val="2"/>
    </font>
    <font>
      <sz val="14"/>
      <name val="Angsana New"/>
      <family val="1"/>
    </font>
    <font>
      <sz val="18"/>
      <name val="Angsana New"/>
      <family val="1"/>
    </font>
    <font>
      <sz val="16"/>
      <name val="AngsanaUPC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1">
    <xf numFmtId="0" fontId="0" fillId="0" borderId="0" xfId="0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3" fontId="4" fillId="0" borderId="1" xfId="1" applyFont="1" applyBorder="1"/>
    <xf numFmtId="0" fontId="3" fillId="0" borderId="1" xfId="0" applyFont="1" applyBorder="1"/>
    <xf numFmtId="43" fontId="3" fillId="0" borderId="1" xfId="1" applyFont="1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1" applyFont="1" applyBorder="1"/>
    <xf numFmtId="0" fontId="5" fillId="0" borderId="0" xfId="0" applyFont="1"/>
    <xf numFmtId="0" fontId="5" fillId="0" borderId="1" xfId="0" applyFont="1" applyBorder="1"/>
    <xf numFmtId="43" fontId="0" fillId="0" borderId="1" xfId="1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43" fontId="3" fillId="0" borderId="0" xfId="1" applyFont="1"/>
    <xf numFmtId="0" fontId="2" fillId="0" borderId="0" xfId="0" applyFont="1" applyAlignment="1"/>
    <xf numFmtId="43" fontId="6" fillId="0" borderId="0" xfId="1" applyFont="1"/>
    <xf numFmtId="0" fontId="2" fillId="0" borderId="0" xfId="0" applyFont="1" applyBorder="1" applyAlignment="1"/>
    <xf numFmtId="43" fontId="7" fillId="0" borderId="1" xfId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43" fontId="2" fillId="0" borderId="0" xfId="1" applyFont="1" applyAlignment="1"/>
    <xf numFmtId="43" fontId="2" fillId="0" borderId="0" xfId="1" applyFont="1" applyBorder="1" applyAlignment="1"/>
    <xf numFmtId="43" fontId="0" fillId="0" borderId="1" xfId="1" applyFont="1" applyBorder="1" applyAlignment="1">
      <alignment horizontal="center"/>
    </xf>
    <xf numFmtId="43" fontId="0" fillId="0" borderId="0" xfId="1" applyFont="1"/>
    <xf numFmtId="0" fontId="9" fillId="0" borderId="1" xfId="0" applyFont="1" applyBorder="1" applyAlignment="1">
      <alignment horizontal="center"/>
    </xf>
    <xf numFmtId="43" fontId="9" fillId="0" borderId="1" xfId="1" applyFont="1" applyBorder="1"/>
    <xf numFmtId="187" fontId="0" fillId="0" borderId="0" xfId="1" applyNumberFormat="1" applyFont="1"/>
    <xf numFmtId="187" fontId="2" fillId="0" borderId="1" xfId="1" applyNumberFormat="1" applyFont="1" applyBorder="1" applyAlignment="1">
      <alignment horizontal="center"/>
    </xf>
    <xf numFmtId="187" fontId="4" fillId="0" borderId="1" xfId="1" applyNumberFormat="1" applyFont="1" applyBorder="1" applyAlignment="1">
      <alignment horizontal="center"/>
    </xf>
    <xf numFmtId="187" fontId="0" fillId="0" borderId="1" xfId="1" applyNumberFormat="1" applyFont="1" applyBorder="1" applyAlignment="1">
      <alignment horizontal="center"/>
    </xf>
    <xf numFmtId="187" fontId="9" fillId="0" borderId="1" xfId="1" applyNumberFormat="1" applyFont="1" applyBorder="1" applyAlignment="1">
      <alignment horizontal="center"/>
    </xf>
    <xf numFmtId="43" fontId="9" fillId="0" borderId="1" xfId="1" applyFont="1" applyFill="1" applyBorder="1"/>
    <xf numFmtId="0" fontId="11" fillId="0" borderId="0" xfId="0" applyFont="1"/>
    <xf numFmtId="0" fontId="10" fillId="0" borderId="1" xfId="0" applyFont="1" applyBorder="1" applyAlignment="1"/>
    <xf numFmtId="0" fontId="10" fillId="0" borderId="1" xfId="0" applyFont="1" applyBorder="1" applyAlignment="1">
      <alignment horizontal="center"/>
    </xf>
    <xf numFmtId="43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3" fontId="13" fillId="0" borderId="1" xfId="1" applyFont="1" applyBorder="1"/>
    <xf numFmtId="0" fontId="12" fillId="0" borderId="1" xfId="0" applyFont="1" applyBorder="1"/>
    <xf numFmtId="43" fontId="12" fillId="0" borderId="1" xfId="1" applyFont="1" applyBorder="1"/>
    <xf numFmtId="0" fontId="11" fillId="0" borderId="1" xfId="0" applyFont="1" applyBorder="1" applyAlignment="1">
      <alignment horizontal="center"/>
    </xf>
    <xf numFmtId="0" fontId="12" fillId="0" borderId="0" xfId="0" applyFont="1"/>
    <xf numFmtId="43" fontId="11" fillId="0" borderId="1" xfId="1" applyFont="1" applyBorder="1"/>
    <xf numFmtId="0" fontId="12" fillId="0" borderId="0" xfId="0" applyFont="1" applyAlignment="1">
      <alignment horizontal="center"/>
    </xf>
    <xf numFmtId="43" fontId="12" fillId="0" borderId="0" xfId="1" applyFont="1"/>
    <xf numFmtId="43" fontId="2" fillId="0" borderId="1" xfId="1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187" fontId="2" fillId="0" borderId="0" xfId="1" applyNumberFormat="1" applyFont="1" applyAlignment="1"/>
    <xf numFmtId="187" fontId="2" fillId="0" borderId="0" xfId="1" applyNumberFormat="1" applyFont="1" applyBorder="1" applyAlignment="1"/>
    <xf numFmtId="187" fontId="3" fillId="0" borderId="0" xfId="1" applyNumberFormat="1" applyFont="1" applyAlignment="1">
      <alignment horizontal="center"/>
    </xf>
    <xf numFmtId="43" fontId="9" fillId="0" borderId="1" xfId="1" applyFont="1" applyBorder="1" applyAlignment="1">
      <alignment horizontal="center"/>
    </xf>
    <xf numFmtId="187" fontId="0" fillId="0" borderId="0" xfId="1" applyNumberFormat="1" applyFont="1" applyAlignment="1">
      <alignment horizontal="center"/>
    </xf>
    <xf numFmtId="187" fontId="2" fillId="0" borderId="0" xfId="1" applyNumberFormat="1" applyFont="1" applyAlignment="1">
      <alignment horizontal="center"/>
    </xf>
    <xf numFmtId="187" fontId="2" fillId="0" borderId="0" xfId="1" applyNumberFormat="1" applyFont="1" applyBorder="1" applyAlignment="1">
      <alignment horizontal="center"/>
    </xf>
    <xf numFmtId="0" fontId="9" fillId="0" borderId="1" xfId="0" applyFont="1" applyBorder="1"/>
    <xf numFmtId="0" fontId="9" fillId="0" borderId="0" xfId="0" applyFont="1"/>
    <xf numFmtId="187" fontId="8" fillId="0" borderId="1" xfId="1" applyNumberFormat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8" fillId="0" borderId="1" xfId="1" applyFont="1" applyBorder="1"/>
    <xf numFmtId="0" fontId="8" fillId="0" borderId="0" xfId="0" applyFont="1"/>
    <xf numFmtId="0" fontId="0" fillId="0" borderId="1" xfId="0" applyFont="1" applyBorder="1"/>
    <xf numFmtId="0" fontId="0" fillId="0" borderId="0" xfId="0" applyFont="1"/>
    <xf numFmtId="43" fontId="11" fillId="0" borderId="0" xfId="1" applyFont="1"/>
    <xf numFmtId="0" fontId="0" fillId="0" borderId="0" xfId="0" applyAlignment="1">
      <alignment horizontal="center"/>
    </xf>
    <xf numFmtId="43" fontId="2" fillId="0" borderId="6" xfId="1" applyFont="1" applyBorder="1" applyAlignment="1">
      <alignment horizontal="center"/>
    </xf>
    <xf numFmtId="0" fontId="0" fillId="0" borderId="1" xfId="0" applyBorder="1"/>
    <xf numFmtId="0" fontId="14" fillId="0" borderId="0" xfId="0" applyFont="1"/>
    <xf numFmtId="0" fontId="16" fillId="0" borderId="0" xfId="0" applyFont="1"/>
    <xf numFmtId="43" fontId="16" fillId="0" borderId="0" xfId="0" applyNumberFormat="1" applyFont="1"/>
    <xf numFmtId="43" fontId="16" fillId="0" borderId="0" xfId="0" applyNumberFormat="1" applyFont="1" applyBorder="1"/>
    <xf numFmtId="43" fontId="16" fillId="0" borderId="8" xfId="0" applyNumberFormat="1" applyFont="1" applyBorder="1"/>
    <xf numFmtId="43" fontId="16" fillId="0" borderId="0" xfId="1" applyFont="1"/>
    <xf numFmtId="0" fontId="16" fillId="0" borderId="0" xfId="0" applyFont="1" applyBorder="1"/>
    <xf numFmtId="0" fontId="2" fillId="3" borderId="1" xfId="0" applyFont="1" applyFill="1" applyBorder="1" applyAlignment="1">
      <alignment horizontal="center"/>
    </xf>
    <xf numFmtId="43" fontId="7" fillId="3" borderId="1" xfId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horizontal="center"/>
    </xf>
    <xf numFmtId="43" fontId="9" fillId="3" borderId="1" xfId="1" applyFont="1" applyFill="1" applyBorder="1" applyAlignment="1">
      <alignment horizontal="center"/>
    </xf>
    <xf numFmtId="43" fontId="8" fillId="3" borderId="1" xfId="1" applyFont="1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43" fontId="0" fillId="3" borderId="10" xfId="1" applyFont="1" applyFill="1" applyBorder="1" applyAlignment="1">
      <alignment horizontal="center"/>
    </xf>
    <xf numFmtId="43" fontId="2" fillId="3" borderId="1" xfId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43" fontId="0" fillId="2" borderId="1" xfId="1" applyFont="1" applyFill="1" applyBorder="1" applyAlignment="1">
      <alignment horizontal="center"/>
    </xf>
    <xf numFmtId="43" fontId="0" fillId="2" borderId="1" xfId="1" applyFont="1" applyFill="1" applyBorder="1"/>
    <xf numFmtId="0" fontId="0" fillId="2" borderId="1" xfId="0" applyFill="1" applyBorder="1" applyAlignment="1">
      <alignment horizontal="center"/>
    </xf>
    <xf numFmtId="0" fontId="6" fillId="2" borderId="1" xfId="0" applyFont="1" applyFill="1" applyBorder="1"/>
    <xf numFmtId="43" fontId="4" fillId="2" borderId="1" xfId="1" applyFont="1" applyFill="1" applyBorder="1" applyAlignment="1">
      <alignment horizontal="center"/>
    </xf>
    <xf numFmtId="43" fontId="4" fillId="2" borderId="1" xfId="1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43" fontId="16" fillId="0" borderId="0" xfId="1" applyFont="1" applyBorder="1"/>
    <xf numFmtId="43" fontId="18" fillId="4" borderId="9" xfId="0" applyNumberFormat="1" applyFont="1" applyFill="1" applyBorder="1"/>
    <xf numFmtId="0" fontId="18" fillId="4" borderId="0" xfId="0" applyFont="1" applyFill="1" applyBorder="1" applyAlignment="1">
      <alignment horizontal="center"/>
    </xf>
    <xf numFmtId="187" fontId="2" fillId="3" borderId="1" xfId="1" applyNumberFormat="1" applyFont="1" applyFill="1" applyBorder="1" applyAlignment="1">
      <alignment horizontal="center"/>
    </xf>
    <xf numFmtId="187" fontId="4" fillId="3" borderId="1" xfId="1" applyNumberFormat="1" applyFont="1" applyFill="1" applyBorder="1" applyAlignment="1">
      <alignment horizontal="center"/>
    </xf>
    <xf numFmtId="187" fontId="0" fillId="3" borderId="10" xfId="1" applyNumberFormat="1" applyFont="1" applyFill="1" applyBorder="1" applyAlignment="1">
      <alignment horizontal="center"/>
    </xf>
    <xf numFmtId="187" fontId="19" fillId="3" borderId="1" xfId="1" applyNumberFormat="1" applyFont="1" applyFill="1" applyBorder="1" applyAlignment="1">
      <alignment horizontal="center"/>
    </xf>
    <xf numFmtId="43" fontId="19" fillId="3" borderId="1" xfId="1" applyFont="1" applyFill="1" applyBorder="1" applyAlignment="1">
      <alignment horizontal="center" vertical="center"/>
    </xf>
    <xf numFmtId="187" fontId="20" fillId="0" borderId="1" xfId="0" applyNumberFormat="1" applyFont="1" applyBorder="1"/>
    <xf numFmtId="43" fontId="20" fillId="0" borderId="1" xfId="0" applyNumberFormat="1" applyFont="1" applyBorder="1"/>
    <xf numFmtId="43" fontId="21" fillId="0" borderId="10" xfId="1" applyFont="1" applyBorder="1"/>
    <xf numFmtId="0" fontId="13" fillId="0" borderId="1" xfId="0" applyFont="1" applyFill="1" applyBorder="1"/>
    <xf numFmtId="0" fontId="12" fillId="0" borderId="1" xfId="0" applyFont="1" applyFill="1" applyBorder="1"/>
    <xf numFmtId="43" fontId="22" fillId="0" borderId="10" xfId="1" applyFont="1" applyBorder="1"/>
    <xf numFmtId="187" fontId="9" fillId="0" borderId="1" xfId="1" applyNumberFormat="1" applyFont="1" applyFill="1" applyBorder="1" applyAlignment="1">
      <alignment horizontal="center"/>
    </xf>
    <xf numFmtId="1" fontId="11" fillId="0" borderId="0" xfId="0" applyNumberFormat="1" applyFont="1"/>
    <xf numFmtId="1" fontId="12" fillId="0" borderId="0" xfId="0" applyNumberFormat="1" applyFont="1"/>
    <xf numFmtId="1" fontId="11" fillId="0" borderId="0" xfId="1" applyNumberFormat="1" applyFont="1"/>
    <xf numFmtId="187" fontId="11" fillId="0" borderId="0" xfId="1" applyNumberFormat="1" applyFont="1"/>
    <xf numFmtId="187" fontId="12" fillId="0" borderId="0" xfId="1" applyNumberFormat="1" applyFont="1"/>
    <xf numFmtId="43" fontId="9" fillId="0" borderId="0" xfId="1" applyFont="1"/>
    <xf numFmtId="43" fontId="9" fillId="0" borderId="0" xfId="0" applyNumberFormat="1" applyFont="1"/>
    <xf numFmtId="43" fontId="8" fillId="0" borderId="0" xfId="1" applyFont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43" fontId="23" fillId="0" borderId="1" xfId="1" applyFont="1" applyBorder="1"/>
    <xf numFmtId="0" fontId="23" fillId="0" borderId="0" xfId="0" applyFont="1"/>
    <xf numFmtId="1" fontId="23" fillId="0" borderId="0" xfId="1" applyNumberFormat="1" applyFont="1"/>
    <xf numFmtId="43" fontId="23" fillId="0" borderId="0" xfId="1" applyFont="1"/>
    <xf numFmtId="187" fontId="23" fillId="0" borderId="0" xfId="1" applyNumberFormat="1" applyFont="1"/>
    <xf numFmtId="0" fontId="24" fillId="0" borderId="1" xfId="0" applyFont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28" fillId="0" borderId="1" xfId="0" applyFont="1" applyBorder="1" applyAlignment="1">
      <alignment horizontal="center"/>
    </xf>
    <xf numFmtId="0" fontId="29" fillId="0" borderId="1" xfId="0" applyFont="1" applyBorder="1"/>
    <xf numFmtId="0" fontId="30" fillId="0" borderId="1" xfId="0" applyFont="1" applyBorder="1" applyAlignment="1">
      <alignment horizontal="center"/>
    </xf>
    <xf numFmtId="0" fontId="30" fillId="0" borderId="1" xfId="0" applyFont="1" applyBorder="1"/>
    <xf numFmtId="0" fontId="14" fillId="0" borderId="1" xfId="0" applyFont="1" applyBorder="1"/>
    <xf numFmtId="0" fontId="31" fillId="0" borderId="1" xfId="0" applyFont="1" applyBorder="1"/>
    <xf numFmtId="0" fontId="13" fillId="0" borderId="0" xfId="0" applyFont="1"/>
    <xf numFmtId="1" fontId="13" fillId="0" borderId="0" xfId="1" applyNumberFormat="1" applyFont="1"/>
    <xf numFmtId="43" fontId="13" fillId="0" borderId="0" xfId="1" applyFont="1"/>
    <xf numFmtId="0" fontId="3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43" fontId="33" fillId="0" borderId="1" xfId="1" applyFont="1" applyBorder="1"/>
    <xf numFmtId="0" fontId="33" fillId="0" borderId="0" xfId="0" applyFont="1"/>
    <xf numFmtId="1" fontId="33" fillId="0" borderId="0" xfId="1" applyNumberFormat="1" applyFont="1"/>
    <xf numFmtId="43" fontId="33" fillId="0" borderId="0" xfId="1" applyFont="1"/>
    <xf numFmtId="0" fontId="34" fillId="0" borderId="1" xfId="0" applyFont="1" applyBorder="1"/>
    <xf numFmtId="0" fontId="35" fillId="0" borderId="1" xfId="0" applyFont="1" applyBorder="1" applyAlignment="1">
      <alignment horizontal="center"/>
    </xf>
    <xf numFmtId="0" fontId="35" fillId="0" borderId="1" xfId="0" applyFont="1" applyBorder="1"/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1" xfId="0" applyFont="1" applyBorder="1"/>
    <xf numFmtId="0" fontId="38" fillId="0" borderId="1" xfId="0" applyFont="1" applyBorder="1"/>
    <xf numFmtId="0" fontId="38" fillId="0" borderId="1" xfId="0" applyFont="1" applyBorder="1" applyAlignment="1">
      <alignment horizontal="center"/>
    </xf>
    <xf numFmtId="43" fontId="38" fillId="0" borderId="1" xfId="1" applyFont="1" applyBorder="1"/>
    <xf numFmtId="0" fontId="6" fillId="0" borderId="0" xfId="0" applyFont="1"/>
    <xf numFmtId="43" fontId="0" fillId="0" borderId="0" xfId="1" applyFont="1" applyFill="1"/>
    <xf numFmtId="0" fontId="0" fillId="0" borderId="0" xfId="0" applyFill="1"/>
    <xf numFmtId="0" fontId="0" fillId="0" borderId="0" xfId="0" applyFill="1" applyAlignment="1">
      <alignment horizontal="center"/>
    </xf>
    <xf numFmtId="43" fontId="9" fillId="0" borderId="0" xfId="1" applyFont="1" applyFill="1"/>
    <xf numFmtId="43" fontId="6" fillId="0" borderId="0" xfId="1" applyFont="1" applyFill="1"/>
    <xf numFmtId="43" fontId="3" fillId="0" borderId="0" xfId="1" applyFont="1" applyFill="1"/>
    <xf numFmtId="43" fontId="8" fillId="0" borderId="0" xfId="1" applyFont="1" applyFill="1"/>
    <xf numFmtId="43" fontId="5" fillId="0" borderId="0" xfId="1" applyFont="1" applyFill="1"/>
    <xf numFmtId="43" fontId="39" fillId="0" borderId="0" xfId="0" applyNumberFormat="1" applyFont="1"/>
    <xf numFmtId="43" fontId="31" fillId="0" borderId="0" xfId="0" applyNumberFormat="1" applyFont="1"/>
    <xf numFmtId="0" fontId="40" fillId="0" borderId="1" xfId="0" applyFont="1" applyBorder="1"/>
    <xf numFmtId="0" fontId="41" fillId="0" borderId="1" xfId="0" applyFont="1" applyBorder="1"/>
    <xf numFmtId="0" fontId="2" fillId="0" borderId="6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43" fontId="42" fillId="0" borderId="0" xfId="1" applyFont="1"/>
    <xf numFmtId="0" fontId="42" fillId="0" borderId="0" xfId="0" applyFont="1"/>
    <xf numFmtId="43" fontId="43" fillId="0" borderId="0" xfId="1" applyFont="1"/>
    <xf numFmtId="0" fontId="42" fillId="0" borderId="0" xfId="0" applyFont="1" applyAlignment="1">
      <alignment horizontal="center"/>
    </xf>
    <xf numFmtId="0" fontId="45" fillId="0" borderId="0" xfId="0" applyFont="1"/>
    <xf numFmtId="0" fontId="46" fillId="0" borderId="0" xfId="0" applyFont="1"/>
    <xf numFmtId="0" fontId="47" fillId="0" borderId="0" xfId="0" applyFont="1"/>
    <xf numFmtId="0" fontId="43" fillId="0" borderId="0" xfId="0" applyFont="1"/>
    <xf numFmtId="0" fontId="44" fillId="0" borderId="0" xfId="0" applyFont="1" applyAlignment="1">
      <alignment horizontal="center"/>
    </xf>
    <xf numFmtId="0" fontId="44" fillId="0" borderId="0" xfId="0" applyFont="1"/>
    <xf numFmtId="43" fontId="44" fillId="0" borderId="0" xfId="1" applyFont="1"/>
    <xf numFmtId="43" fontId="48" fillId="0" borderId="0" xfId="1" applyFont="1" applyAlignment="1"/>
    <xf numFmtId="43" fontId="49" fillId="0" borderId="0" xfId="1" applyFont="1"/>
    <xf numFmtId="0" fontId="49" fillId="0" borderId="0" xfId="0" applyFont="1"/>
    <xf numFmtId="43" fontId="50" fillId="0" borderId="0" xfId="1" applyFont="1"/>
    <xf numFmtId="0" fontId="48" fillId="0" borderId="0" xfId="0" applyFont="1" applyAlignment="1"/>
    <xf numFmtId="43" fontId="48" fillId="0" borderId="0" xfId="1" applyFont="1" applyBorder="1" applyAlignment="1"/>
    <xf numFmtId="0" fontId="48" fillId="0" borderId="0" xfId="0" applyFont="1" applyBorder="1" applyAlignment="1"/>
    <xf numFmtId="14" fontId="48" fillId="0" borderId="6" xfId="0" applyNumberFormat="1" applyFont="1" applyBorder="1" applyAlignment="1">
      <alignment horizontal="center"/>
    </xf>
    <xf numFmtId="0" fontId="48" fillId="0" borderId="6" xfId="0" applyFont="1" applyBorder="1" applyAlignment="1">
      <alignment horizontal="center"/>
    </xf>
    <xf numFmtId="43" fontId="48" fillId="0" borderId="6" xfId="1" applyFont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0" fontId="49" fillId="0" borderId="0" xfId="0" applyFont="1" applyAlignment="1">
      <alignment horizontal="center"/>
    </xf>
    <xf numFmtId="0" fontId="48" fillId="0" borderId="1" xfId="0" applyFont="1" applyBorder="1" applyAlignment="1">
      <alignment horizontal="center"/>
    </xf>
    <xf numFmtId="43" fontId="48" fillId="0" borderId="1" xfId="1" applyFont="1" applyBorder="1" applyAlignment="1">
      <alignment horizontal="center" vertical="center"/>
    </xf>
    <xf numFmtId="43" fontId="51" fillId="0" borderId="1" xfId="1" applyFont="1" applyBorder="1" applyAlignment="1">
      <alignment horizontal="center" vertical="center"/>
    </xf>
    <xf numFmtId="43" fontId="51" fillId="3" borderId="1" xfId="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/>
    </xf>
    <xf numFmtId="0" fontId="50" fillId="2" borderId="1" xfId="0" applyFont="1" applyFill="1" applyBorder="1"/>
    <xf numFmtId="43" fontId="50" fillId="2" borderId="1" xfId="1" applyFont="1" applyFill="1" applyBorder="1"/>
    <xf numFmtId="43" fontId="50" fillId="2" borderId="1" xfId="1" applyFont="1" applyFill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49" fillId="0" borderId="1" xfId="0" applyFont="1" applyBorder="1"/>
    <xf numFmtId="43" fontId="49" fillId="0" borderId="1" xfId="1" applyFont="1" applyBorder="1" applyAlignment="1">
      <alignment horizontal="center"/>
    </xf>
    <xf numFmtId="43" fontId="49" fillId="0" borderId="1" xfId="1" applyFont="1" applyBorder="1"/>
    <xf numFmtId="43" fontId="49" fillId="3" borderId="1" xfId="1" applyFont="1" applyFill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3" fillId="0" borderId="1" xfId="0" applyFont="1" applyBorder="1"/>
    <xf numFmtId="43" fontId="53" fillId="0" borderId="1" xfId="1" applyFont="1" applyBorder="1" applyAlignment="1">
      <alignment horizontal="center"/>
    </xf>
    <xf numFmtId="43" fontId="53" fillId="0" borderId="1" xfId="1" applyFont="1" applyBorder="1"/>
    <xf numFmtId="43" fontId="53" fillId="3" borderId="1" xfId="1" applyFont="1" applyFill="1" applyBorder="1" applyAlignment="1">
      <alignment horizontal="center"/>
    </xf>
    <xf numFmtId="0" fontId="53" fillId="0" borderId="0" xfId="0" applyFont="1"/>
    <xf numFmtId="0" fontId="52" fillId="0" borderId="1" xfId="0" applyFont="1" applyBorder="1" applyAlignment="1">
      <alignment horizontal="center"/>
    </xf>
    <xf numFmtId="0" fontId="50" fillId="0" borderId="1" xfId="0" applyFont="1" applyBorder="1"/>
    <xf numFmtId="43" fontId="50" fillId="0" borderId="1" xfId="1" applyFont="1" applyBorder="1" applyAlignment="1">
      <alignment horizontal="center"/>
    </xf>
    <xf numFmtId="43" fontId="50" fillId="0" borderId="1" xfId="1" applyFont="1" applyBorder="1"/>
    <xf numFmtId="43" fontId="50" fillId="3" borderId="1" xfId="1" applyFont="1" applyFill="1" applyBorder="1" applyAlignment="1">
      <alignment horizontal="center"/>
    </xf>
    <xf numFmtId="0" fontId="52" fillId="0" borderId="0" xfId="0" applyFont="1"/>
    <xf numFmtId="0" fontId="54" fillId="0" borderId="1" xfId="0" applyFont="1" applyBorder="1" applyAlignment="1">
      <alignment horizontal="center"/>
    </xf>
    <xf numFmtId="0" fontId="54" fillId="0" borderId="1" xfId="0" applyFont="1" applyBorder="1"/>
    <xf numFmtId="0" fontId="50" fillId="0" borderId="1" xfId="0" applyFont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5" fillId="0" borderId="1" xfId="0" applyFont="1" applyBorder="1"/>
    <xf numFmtId="0" fontId="50" fillId="0" borderId="0" xfId="0" applyFont="1"/>
    <xf numFmtId="0" fontId="52" fillId="0" borderId="1" xfId="0" applyFont="1" applyBorder="1"/>
    <xf numFmtId="43" fontId="48" fillId="3" borderId="1" xfId="1" applyFont="1" applyFill="1" applyBorder="1" applyAlignment="1">
      <alignment horizontal="center"/>
    </xf>
    <xf numFmtId="43" fontId="49" fillId="3" borderId="10" xfId="1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43" fontId="52" fillId="0" borderId="0" xfId="1" applyFont="1"/>
    <xf numFmtId="43" fontId="49" fillId="0" borderId="0" xfId="0" applyNumberFormat="1" applyFont="1"/>
    <xf numFmtId="43" fontId="49" fillId="0" borderId="0" xfId="0" applyNumberFormat="1" applyFont="1" applyBorder="1"/>
    <xf numFmtId="43" fontId="49" fillId="0" borderId="8" xfId="0" applyNumberFormat="1" applyFont="1" applyBorder="1"/>
    <xf numFmtId="0" fontId="49" fillId="0" borderId="0" xfId="0" applyFont="1" applyBorder="1"/>
    <xf numFmtId="43" fontId="49" fillId="0" borderId="0" xfId="1" applyFont="1" applyBorder="1"/>
    <xf numFmtId="0" fontId="51" fillId="4" borderId="0" xfId="0" applyFont="1" applyFill="1" applyBorder="1" applyAlignment="1">
      <alignment horizontal="center"/>
    </xf>
    <xf numFmtId="43" fontId="51" fillId="4" borderId="9" xfId="0" applyNumberFormat="1" applyFont="1" applyFill="1" applyBorder="1"/>
    <xf numFmtId="0" fontId="49" fillId="0" borderId="0" xfId="0" applyFont="1" applyFill="1"/>
    <xf numFmtId="0" fontId="49" fillId="0" borderId="0" xfId="0" applyFont="1" applyFill="1" applyAlignment="1">
      <alignment horizontal="center"/>
    </xf>
    <xf numFmtId="43" fontId="49" fillId="0" borderId="0" xfId="1" applyFont="1" applyFill="1"/>
    <xf numFmtId="43" fontId="52" fillId="0" borderId="0" xfId="1" applyFont="1" applyFill="1"/>
    <xf numFmtId="43" fontId="53" fillId="0" borderId="0" xfId="1" applyFont="1" applyFill="1"/>
    <xf numFmtId="43" fontId="50" fillId="0" borderId="0" xfId="1" applyFont="1" applyFill="1"/>
    <xf numFmtId="0" fontId="42" fillId="0" borderId="0" xfId="0" applyFont="1" applyFill="1"/>
    <xf numFmtId="0" fontId="42" fillId="0" borderId="0" xfId="0" applyFont="1" applyFill="1" applyAlignment="1">
      <alignment horizontal="center"/>
    </xf>
    <xf numFmtId="0" fontId="45" fillId="0" borderId="0" xfId="0" applyFont="1" applyFill="1"/>
    <xf numFmtId="43" fontId="45" fillId="0" borderId="0" xfId="0" applyNumberFormat="1" applyFont="1" applyFill="1"/>
    <xf numFmtId="43" fontId="46" fillId="0" borderId="0" xfId="1" applyFont="1" applyFill="1"/>
    <xf numFmtId="0" fontId="47" fillId="0" borderId="0" xfId="0" applyFont="1" applyFill="1"/>
    <xf numFmtId="0" fontId="43" fillId="0" borderId="0" xfId="0" applyFont="1" applyFill="1"/>
    <xf numFmtId="43" fontId="42" fillId="0" borderId="0" xfId="1" applyFont="1" applyFill="1"/>
    <xf numFmtId="0" fontId="57" fillId="0" borderId="1" xfId="0" applyFont="1" applyBorder="1"/>
    <xf numFmtId="43" fontId="13" fillId="0" borderId="1" xfId="1" applyFont="1" applyBorder="1" applyAlignment="1">
      <alignment horizontal="center"/>
    </xf>
    <xf numFmtId="0" fontId="58" fillId="0" borderId="0" xfId="0" applyFont="1"/>
    <xf numFmtId="43" fontId="49" fillId="0" borderId="0" xfId="0" applyNumberFormat="1" applyFont="1" applyFill="1"/>
    <xf numFmtId="0" fontId="59" fillId="0" borderId="1" xfId="0" applyFont="1" applyBorder="1"/>
    <xf numFmtId="0" fontId="60" fillId="0" borderId="1" xfId="0" applyFont="1" applyBorder="1"/>
    <xf numFmtId="0" fontId="49" fillId="0" borderId="1" xfId="0" applyFont="1" applyFill="1" applyBorder="1" applyAlignment="1">
      <alignment horizontal="center"/>
    </xf>
    <xf numFmtId="0" fontId="49" fillId="0" borderId="1" xfId="0" applyFont="1" applyFill="1" applyBorder="1"/>
    <xf numFmtId="43" fontId="49" fillId="0" borderId="1" xfId="1" applyFont="1" applyFill="1" applyBorder="1" applyAlignment="1">
      <alignment horizontal="center"/>
    </xf>
    <xf numFmtId="43" fontId="49" fillId="0" borderId="1" xfId="1" applyFont="1" applyFill="1" applyBorder="1"/>
    <xf numFmtId="43" fontId="49" fillId="3" borderId="1" xfId="1" applyFont="1" applyFill="1" applyBorder="1"/>
    <xf numFmtId="0" fontId="57" fillId="0" borderId="1" xfId="0" applyFont="1" applyFill="1" applyBorder="1"/>
    <xf numFmtId="0" fontId="52" fillId="0" borderId="1" xfId="0" applyFont="1" applyFill="1" applyBorder="1"/>
    <xf numFmtId="0" fontId="61" fillId="0" borderId="1" xfId="0" applyFont="1" applyBorder="1"/>
    <xf numFmtId="0" fontId="61" fillId="0" borderId="1" xfId="0" applyFont="1" applyFill="1" applyBorder="1"/>
    <xf numFmtId="0" fontId="50" fillId="0" borderId="1" xfId="0" applyFont="1" applyFill="1" applyBorder="1"/>
    <xf numFmtId="43" fontId="50" fillId="0" borderId="1" xfId="1" applyFont="1" applyFill="1" applyBorder="1" applyAlignment="1">
      <alignment horizontal="center"/>
    </xf>
    <xf numFmtId="43" fontId="50" fillId="0" borderId="1" xfId="1" applyFont="1" applyFill="1" applyBorder="1"/>
    <xf numFmtId="43" fontId="11" fillId="0" borderId="0" xfId="0" applyNumberFormat="1" applyFont="1"/>
    <xf numFmtId="0" fontId="50" fillId="5" borderId="1" xfId="0" applyFont="1" applyFill="1" applyBorder="1"/>
    <xf numFmtId="43" fontId="50" fillId="5" borderId="1" xfId="1" applyFont="1" applyFill="1" applyBorder="1" applyAlignment="1">
      <alignment horizontal="center"/>
    </xf>
    <xf numFmtId="43" fontId="50" fillId="5" borderId="1" xfId="1" applyFont="1" applyFill="1" applyBorder="1"/>
    <xf numFmtId="43" fontId="11" fillId="0" borderId="1" xfId="1" applyFont="1" applyBorder="1" applyAlignment="1">
      <alignment horizontal="right"/>
    </xf>
    <xf numFmtId="14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3" fontId="2" fillId="0" borderId="7" xfId="1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48" fillId="0" borderId="5" xfId="0" applyFont="1" applyBorder="1" applyAlignment="1">
      <alignment horizontal="center"/>
    </xf>
    <xf numFmtId="0" fontId="48" fillId="0" borderId="6" xfId="0" applyFont="1" applyBorder="1" applyAlignment="1">
      <alignment horizontal="center"/>
    </xf>
    <xf numFmtId="0" fontId="48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เครื่องหมาย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00FF"/>
      <color rgb="FFFF66FF"/>
      <color rgb="FFFFCCFF"/>
      <color rgb="FF99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BR19"/>
  <sheetViews>
    <sheetView zoomScale="63" zoomScaleNormal="63" workbookViewId="0">
      <pane xSplit="2" topLeftCell="AY1" activePane="topRight" state="frozen"/>
      <selection activeCell="BK21" sqref="BK21"/>
      <selection pane="topRight" activeCell="BL11" sqref="BL11"/>
    </sheetView>
  </sheetViews>
  <sheetFormatPr defaultRowHeight="25.5"/>
  <cols>
    <col min="1" max="1" width="5.7265625" style="18" bestFit="1" customWidth="1"/>
    <col min="2" max="2" width="33.90625" style="19" customWidth="1"/>
    <col min="3" max="3" width="5.453125" style="59" hidden="1" customWidth="1"/>
    <col min="4" max="4" width="11.90625" style="20" hidden="1" customWidth="1"/>
    <col min="5" max="5" width="6.90625" style="34" hidden="1" customWidth="1"/>
    <col min="6" max="6" width="12.90625" style="31" hidden="1" customWidth="1"/>
    <col min="7" max="7" width="6.90625" style="34" hidden="1" customWidth="1"/>
    <col min="8" max="8" width="11.90625" style="31" hidden="1" customWidth="1"/>
    <col min="9" max="9" width="5.453125" style="34" hidden="1" customWidth="1"/>
    <col min="10" max="10" width="11.90625" style="31" hidden="1" customWidth="1"/>
    <col min="11" max="11" width="5.453125" style="34" hidden="1" customWidth="1"/>
    <col min="12" max="12" width="12.90625" style="31" hidden="1" customWidth="1"/>
    <col min="13" max="13" width="5.453125" style="34" hidden="1" customWidth="1"/>
    <col min="14" max="14" width="11.90625" style="31" hidden="1" customWidth="1"/>
    <col min="15" max="15" width="5.453125" style="34" hidden="1" customWidth="1"/>
    <col min="16" max="16" width="11.90625" style="31" hidden="1" customWidth="1"/>
    <col min="17" max="17" width="5.453125" style="34" hidden="1" customWidth="1"/>
    <col min="18" max="18" width="11.90625" style="31" hidden="1" customWidth="1"/>
    <col min="19" max="19" width="5.453125" style="34" hidden="1" customWidth="1"/>
    <col min="20" max="20" width="11.90625" style="31" hidden="1" customWidth="1"/>
    <col min="21" max="21" width="5.453125" style="34" hidden="1" customWidth="1"/>
    <col min="22" max="22" width="12.90625" style="31" hidden="1" customWidth="1"/>
    <col min="23" max="23" width="5.453125" style="34" hidden="1" customWidth="1"/>
    <col min="24" max="24" width="11.90625" style="31" hidden="1" customWidth="1"/>
    <col min="25" max="25" width="5.453125" style="34" hidden="1" customWidth="1"/>
    <col min="26" max="26" width="13.6328125" style="31" hidden="1" customWidth="1"/>
    <col min="27" max="27" width="5.453125" style="34" hidden="1" customWidth="1"/>
    <col min="28" max="28" width="11.90625" style="31" hidden="1" customWidth="1"/>
    <col min="29" max="29" width="5.453125" style="34" hidden="1" customWidth="1"/>
    <col min="30" max="30" width="11.90625" style="31" hidden="1" customWidth="1"/>
    <col min="31" max="31" width="5.453125" style="34" hidden="1" customWidth="1"/>
    <col min="32" max="32" width="11.90625" style="22" hidden="1" customWidth="1"/>
    <col min="33" max="33" width="5.453125" style="59" hidden="1" customWidth="1"/>
    <col min="34" max="34" width="11.90625" style="20" hidden="1" customWidth="1"/>
    <col min="35" max="35" width="5.453125" style="34" hidden="1" customWidth="1"/>
    <col min="36" max="36" width="11.90625" style="31" hidden="1" customWidth="1"/>
    <col min="37" max="37" width="5.453125" style="34" hidden="1" customWidth="1"/>
    <col min="38" max="38" width="11.90625" style="31" hidden="1" customWidth="1"/>
    <col min="39" max="39" width="5.453125" style="34" hidden="1" customWidth="1"/>
    <col min="40" max="40" width="11.90625" style="31" hidden="1" customWidth="1"/>
    <col min="41" max="41" width="5.453125" style="34" hidden="1" customWidth="1"/>
    <col min="42" max="42" width="11.90625" style="31" hidden="1" customWidth="1"/>
    <col min="43" max="43" width="5.453125" style="34" hidden="1" customWidth="1"/>
    <col min="44" max="44" width="11.90625" style="31" hidden="1" customWidth="1"/>
    <col min="45" max="45" width="5.453125" style="34" hidden="1" customWidth="1"/>
    <col min="46" max="46" width="11.90625" style="31" hidden="1" customWidth="1"/>
    <col min="47" max="47" width="5.453125" style="34" hidden="1" customWidth="1"/>
    <col min="48" max="48" width="11.90625" style="31" hidden="1" customWidth="1"/>
    <col min="49" max="49" width="5.453125" style="34" hidden="1" customWidth="1"/>
    <col min="50" max="50" width="11.90625" style="31" hidden="1" customWidth="1"/>
    <col min="51" max="51" width="5.453125" style="34" hidden="1" customWidth="1"/>
    <col min="52" max="52" width="11.90625" style="31" hidden="1" customWidth="1"/>
    <col min="53" max="53" width="5.453125" style="34" hidden="1" customWidth="1"/>
    <col min="54" max="54" width="11.90625" style="31" hidden="1" customWidth="1"/>
    <col min="55" max="55" width="5.453125" style="34" hidden="1" customWidth="1"/>
    <col min="56" max="56" width="11.90625" style="31" hidden="1" customWidth="1"/>
    <col min="57" max="57" width="5.453125" style="34" hidden="1" customWidth="1"/>
    <col min="58" max="58" width="11.90625" style="31" hidden="1" customWidth="1"/>
    <col min="59" max="59" width="5.453125" style="34" hidden="1" customWidth="1"/>
    <col min="60" max="60" width="2.1796875" style="31" hidden="1" customWidth="1"/>
    <col min="61" max="61" width="5.453125" style="34" customWidth="1"/>
    <col min="62" max="62" width="11.90625" style="22" customWidth="1"/>
    <col min="63" max="63" width="5.453125" style="34" customWidth="1"/>
    <col min="64" max="64" width="11.90625" style="22" customWidth="1"/>
    <col min="65" max="65" width="8.08984375" style="61" bestFit="1" customWidth="1"/>
    <col min="66" max="66" width="14.7265625" style="22" bestFit="1" customWidth="1"/>
    <col min="67" max="67" width="8.08984375" bestFit="1" customWidth="1"/>
    <col min="68" max="68" width="16.26953125" style="31" customWidth="1"/>
    <col min="69" max="69" width="11.08984375" bestFit="1" customWidth="1"/>
    <col min="70" max="70" width="13.90625" bestFit="1" customWidth="1"/>
  </cols>
  <sheetData>
    <row r="1" spans="1:70">
      <c r="A1" s="283" t="s">
        <v>0</v>
      </c>
      <c r="B1" s="284"/>
      <c r="C1" s="62"/>
      <c r="D1" s="28"/>
      <c r="AG1" s="57"/>
      <c r="AH1" s="28"/>
    </row>
    <row r="2" spans="1:70">
      <c r="A2" s="285" t="s">
        <v>148</v>
      </c>
      <c r="B2" s="286"/>
      <c r="C2" s="63"/>
      <c r="D2" s="29"/>
      <c r="AG2" s="58"/>
      <c r="AH2" s="29"/>
    </row>
    <row r="3" spans="1:70">
      <c r="A3" s="287" t="s">
        <v>39</v>
      </c>
      <c r="B3" s="282"/>
      <c r="C3" s="281" t="s">
        <v>116</v>
      </c>
      <c r="D3" s="282"/>
      <c r="E3" s="281" t="s">
        <v>117</v>
      </c>
      <c r="F3" s="282"/>
      <c r="G3" s="281" t="s">
        <v>118</v>
      </c>
      <c r="H3" s="282"/>
      <c r="I3" s="281" t="s">
        <v>119</v>
      </c>
      <c r="J3" s="282"/>
      <c r="K3" s="281" t="s">
        <v>120</v>
      </c>
      <c r="L3" s="282"/>
      <c r="M3" s="281" t="s">
        <v>121</v>
      </c>
      <c r="N3" s="282"/>
      <c r="O3" s="281" t="s">
        <v>122</v>
      </c>
      <c r="P3" s="282"/>
      <c r="Q3" s="281" t="s">
        <v>123</v>
      </c>
      <c r="R3" s="282"/>
      <c r="S3" s="281" t="s">
        <v>124</v>
      </c>
      <c r="T3" s="288"/>
      <c r="U3" s="281" t="s">
        <v>125</v>
      </c>
      <c r="V3" s="288"/>
      <c r="W3" s="281" t="s">
        <v>126</v>
      </c>
      <c r="X3" s="288"/>
      <c r="Y3" s="281" t="s">
        <v>127</v>
      </c>
      <c r="Z3" s="288"/>
      <c r="AA3" s="281" t="s">
        <v>128</v>
      </c>
      <c r="AB3" s="288"/>
      <c r="AC3" s="281" t="s">
        <v>129</v>
      </c>
      <c r="AD3" s="288"/>
      <c r="AE3" s="281" t="s">
        <v>130</v>
      </c>
      <c r="AF3" s="288"/>
      <c r="AG3" s="287" t="s">
        <v>131</v>
      </c>
      <c r="AH3" s="288"/>
      <c r="AI3" s="287" t="s">
        <v>132</v>
      </c>
      <c r="AJ3" s="282"/>
      <c r="AK3" s="287" t="s">
        <v>133</v>
      </c>
      <c r="AL3" s="282"/>
      <c r="AM3" s="287" t="s">
        <v>134</v>
      </c>
      <c r="AN3" s="282"/>
      <c r="AO3" s="287" t="s">
        <v>135</v>
      </c>
      <c r="AP3" s="282"/>
      <c r="AQ3" s="287" t="s">
        <v>136</v>
      </c>
      <c r="AR3" s="282"/>
      <c r="AS3" s="287" t="s">
        <v>137</v>
      </c>
      <c r="AT3" s="282"/>
      <c r="AU3" s="287" t="s">
        <v>138</v>
      </c>
      <c r="AV3" s="282"/>
      <c r="AW3" s="287" t="s">
        <v>139</v>
      </c>
      <c r="AX3" s="282"/>
      <c r="AY3" s="287" t="s">
        <v>140</v>
      </c>
      <c r="AZ3" s="282"/>
      <c r="BA3" s="287" t="s">
        <v>141</v>
      </c>
      <c r="BB3" s="282"/>
      <c r="BC3" s="287" t="s">
        <v>142</v>
      </c>
      <c r="BD3" s="282"/>
      <c r="BE3" s="287" t="s">
        <v>143</v>
      </c>
      <c r="BF3" s="282"/>
      <c r="BG3" s="287" t="s">
        <v>144</v>
      </c>
      <c r="BH3" s="282"/>
      <c r="BI3" s="287" t="s">
        <v>145</v>
      </c>
      <c r="BJ3" s="282"/>
      <c r="BK3" s="287" t="s">
        <v>146</v>
      </c>
      <c r="BL3" s="282"/>
      <c r="BM3" s="287" t="s">
        <v>48</v>
      </c>
      <c r="BN3" s="282"/>
      <c r="BO3" s="291" t="s">
        <v>113</v>
      </c>
      <c r="BP3" s="292"/>
      <c r="BQ3" s="289" t="s">
        <v>87</v>
      </c>
      <c r="BR3" s="290"/>
    </row>
    <row r="4" spans="1:70">
      <c r="A4" s="2" t="s">
        <v>1</v>
      </c>
      <c r="B4" s="2" t="s">
        <v>2</v>
      </c>
      <c r="C4" s="35" t="s">
        <v>40</v>
      </c>
      <c r="D4" s="3" t="s">
        <v>4</v>
      </c>
      <c r="E4" s="35" t="s">
        <v>40</v>
      </c>
      <c r="F4" s="3" t="s">
        <v>4</v>
      </c>
      <c r="G4" s="35" t="s">
        <v>40</v>
      </c>
      <c r="H4" s="3" t="s">
        <v>4</v>
      </c>
      <c r="I4" s="35" t="s">
        <v>40</v>
      </c>
      <c r="J4" s="3" t="s">
        <v>4</v>
      </c>
      <c r="K4" s="35" t="s">
        <v>40</v>
      </c>
      <c r="L4" s="3" t="s">
        <v>4</v>
      </c>
      <c r="M4" s="35" t="s">
        <v>40</v>
      </c>
      <c r="N4" s="3" t="s">
        <v>4</v>
      </c>
      <c r="O4" s="35" t="s">
        <v>40</v>
      </c>
      <c r="P4" s="3" t="s">
        <v>4</v>
      </c>
      <c r="Q4" s="35" t="s">
        <v>40</v>
      </c>
      <c r="R4" s="3" t="s">
        <v>4</v>
      </c>
      <c r="S4" s="35" t="s">
        <v>40</v>
      </c>
      <c r="T4" s="3" t="s">
        <v>4</v>
      </c>
      <c r="U4" s="35" t="s">
        <v>40</v>
      </c>
      <c r="V4" s="3" t="s">
        <v>4</v>
      </c>
      <c r="W4" s="35" t="s">
        <v>40</v>
      </c>
      <c r="X4" s="3" t="s">
        <v>4</v>
      </c>
      <c r="Y4" s="35" t="s">
        <v>40</v>
      </c>
      <c r="Z4" s="3" t="s">
        <v>4</v>
      </c>
      <c r="AA4" s="35" t="s">
        <v>40</v>
      </c>
      <c r="AB4" s="3" t="s">
        <v>4</v>
      </c>
      <c r="AC4" s="35" t="s">
        <v>40</v>
      </c>
      <c r="AD4" s="3" t="s">
        <v>4</v>
      </c>
      <c r="AE4" s="35" t="s">
        <v>40</v>
      </c>
      <c r="AF4" s="24" t="s">
        <v>4</v>
      </c>
      <c r="AG4" s="35" t="s">
        <v>40</v>
      </c>
      <c r="AH4" s="3" t="s">
        <v>4</v>
      </c>
      <c r="AI4" s="35" t="s">
        <v>40</v>
      </c>
      <c r="AJ4" s="3" t="s">
        <v>4</v>
      </c>
      <c r="AK4" s="35" t="s">
        <v>40</v>
      </c>
      <c r="AL4" s="3" t="s">
        <v>4</v>
      </c>
      <c r="AM4" s="35" t="s">
        <v>40</v>
      </c>
      <c r="AN4" s="3" t="s">
        <v>4</v>
      </c>
      <c r="AO4" s="35" t="s">
        <v>40</v>
      </c>
      <c r="AP4" s="3" t="s">
        <v>4</v>
      </c>
      <c r="AQ4" s="35" t="s">
        <v>40</v>
      </c>
      <c r="AR4" s="3" t="s">
        <v>4</v>
      </c>
      <c r="AS4" s="35" t="s">
        <v>40</v>
      </c>
      <c r="AT4" s="3" t="s">
        <v>4</v>
      </c>
      <c r="AU4" s="35" t="s">
        <v>40</v>
      </c>
      <c r="AV4" s="3" t="s">
        <v>4</v>
      </c>
      <c r="AW4" s="35" t="s">
        <v>40</v>
      </c>
      <c r="AX4" s="3" t="s">
        <v>4</v>
      </c>
      <c r="AY4" s="35" t="s">
        <v>40</v>
      </c>
      <c r="AZ4" s="3" t="s">
        <v>4</v>
      </c>
      <c r="BA4" s="35" t="s">
        <v>40</v>
      </c>
      <c r="BB4" s="3" t="s">
        <v>4</v>
      </c>
      <c r="BC4" s="35" t="s">
        <v>40</v>
      </c>
      <c r="BD4" s="3" t="s">
        <v>4</v>
      </c>
      <c r="BE4" s="35" t="s">
        <v>40</v>
      </c>
      <c r="BF4" s="3" t="s">
        <v>4</v>
      </c>
      <c r="BG4" s="35" t="s">
        <v>40</v>
      </c>
      <c r="BH4" s="3" t="s">
        <v>4</v>
      </c>
      <c r="BI4" s="35" t="s">
        <v>40</v>
      </c>
      <c r="BJ4" s="24" t="s">
        <v>4</v>
      </c>
      <c r="BK4" s="35" t="s">
        <v>40</v>
      </c>
      <c r="BL4" s="24" t="s">
        <v>4</v>
      </c>
      <c r="BM4" s="35" t="s">
        <v>40</v>
      </c>
      <c r="BN4" s="24" t="s">
        <v>4</v>
      </c>
      <c r="BO4" s="104" t="s">
        <v>40</v>
      </c>
      <c r="BP4" s="84" t="s">
        <v>4</v>
      </c>
      <c r="BQ4" s="107" t="s">
        <v>40</v>
      </c>
      <c r="BR4" s="108" t="s">
        <v>4</v>
      </c>
    </row>
    <row r="5" spans="1:70">
      <c r="A5" s="4">
        <v>1</v>
      </c>
      <c r="B5" s="5" t="s">
        <v>5</v>
      </c>
      <c r="C5" s="36">
        <f>+'01'!C4</f>
        <v>0</v>
      </c>
      <c r="D5" s="7">
        <f>+'01'!D4</f>
        <v>0</v>
      </c>
      <c r="E5" s="36">
        <f>+'02'!C4</f>
        <v>0</v>
      </c>
      <c r="F5" s="7">
        <f>+'02'!D4</f>
        <v>0</v>
      </c>
      <c r="G5" s="36">
        <f>+'03'!C4</f>
        <v>0</v>
      </c>
      <c r="H5" s="7">
        <f>+'03'!D4</f>
        <v>0</v>
      </c>
      <c r="I5" s="36">
        <f>+'04'!C4</f>
        <v>0</v>
      </c>
      <c r="J5" s="7">
        <f>+'04'!D4</f>
        <v>0</v>
      </c>
      <c r="K5" s="36">
        <f>+'05'!C4</f>
        <v>0</v>
      </c>
      <c r="L5" s="7">
        <f>+'05'!D4</f>
        <v>0</v>
      </c>
      <c r="M5" s="36">
        <f>+'06'!C4</f>
        <v>0</v>
      </c>
      <c r="N5" s="7">
        <f>+'06'!D4</f>
        <v>0</v>
      </c>
      <c r="O5" s="36">
        <f>+'07'!C4</f>
        <v>0</v>
      </c>
      <c r="P5" s="56">
        <f>+'07'!D4</f>
        <v>0</v>
      </c>
      <c r="Q5" s="36">
        <f>+'08'!C4</f>
        <v>0</v>
      </c>
      <c r="R5" s="7">
        <f>+'08'!D4</f>
        <v>0</v>
      </c>
      <c r="S5" s="36">
        <f>+'09'!C4</f>
        <v>0</v>
      </c>
      <c r="T5" s="7">
        <f>+'09'!D4</f>
        <v>0</v>
      </c>
      <c r="U5" s="36">
        <f>+'10'!C4</f>
        <v>0</v>
      </c>
      <c r="V5" s="7">
        <f>+'10'!D4</f>
        <v>0</v>
      </c>
      <c r="W5" s="36">
        <f>+'11'!C4</f>
        <v>0</v>
      </c>
      <c r="X5" s="7">
        <f>+'11'!D4</f>
        <v>0</v>
      </c>
      <c r="Y5" s="36">
        <f>+'12'!C4</f>
        <v>0</v>
      </c>
      <c r="Z5" s="7">
        <f>+'12'!D4</f>
        <v>0</v>
      </c>
      <c r="AA5" s="36">
        <f>+'13'!C4</f>
        <v>0</v>
      </c>
      <c r="AB5" s="7">
        <f>+'13'!D4</f>
        <v>0</v>
      </c>
      <c r="AC5" s="36">
        <f>+'14'!C4</f>
        <v>0</v>
      </c>
      <c r="AD5" s="7">
        <f>+'14'!D4</f>
        <v>0</v>
      </c>
      <c r="AE5" s="36">
        <f>+'15'!C4</f>
        <v>0</v>
      </c>
      <c r="AF5" s="7">
        <f>+'15'!D4</f>
        <v>0</v>
      </c>
      <c r="AG5" s="36">
        <f>+'16'!C4</f>
        <v>0</v>
      </c>
      <c r="AH5" s="7">
        <f>+'16'!D4</f>
        <v>0</v>
      </c>
      <c r="AI5" s="36">
        <f>+'17'!C4</f>
        <v>0</v>
      </c>
      <c r="AJ5" s="7">
        <f>+'17'!D4</f>
        <v>0</v>
      </c>
      <c r="AK5" s="36">
        <f>+'18'!C4</f>
        <v>0</v>
      </c>
      <c r="AL5" s="7">
        <f>+'18'!D4</f>
        <v>0</v>
      </c>
      <c r="AM5" s="36">
        <f>+'19'!C4</f>
        <v>0</v>
      </c>
      <c r="AN5" s="56">
        <f>+'19'!D4</f>
        <v>0</v>
      </c>
      <c r="AO5" s="36">
        <f>+'20'!C4</f>
        <v>0</v>
      </c>
      <c r="AP5" s="56">
        <f>+'20'!D4</f>
        <v>0</v>
      </c>
      <c r="AQ5" s="36">
        <f>+'21'!C4</f>
        <v>0</v>
      </c>
      <c r="AR5" s="56">
        <f>+'21'!D4</f>
        <v>0</v>
      </c>
      <c r="AS5" s="36">
        <f>+'22'!C4</f>
        <v>0</v>
      </c>
      <c r="AT5" s="56">
        <f>+'22'!D4</f>
        <v>0</v>
      </c>
      <c r="AU5" s="36">
        <f>+'23'!C4</f>
        <v>0</v>
      </c>
      <c r="AV5" s="56">
        <f>+'23'!D4</f>
        <v>0</v>
      </c>
      <c r="AW5" s="36">
        <f>+'24'!C4</f>
        <v>0</v>
      </c>
      <c r="AX5" s="56">
        <f>+'24'!D4</f>
        <v>0</v>
      </c>
      <c r="AY5" s="36">
        <f>+'25'!C4</f>
        <v>0</v>
      </c>
      <c r="AZ5" s="56">
        <f>+'25'!D4</f>
        <v>0</v>
      </c>
      <c r="BA5" s="36">
        <f>+'26'!C4</f>
        <v>0</v>
      </c>
      <c r="BB5" s="56">
        <f>+'26'!D4</f>
        <v>0</v>
      </c>
      <c r="BC5" s="36">
        <f>+'27'!C4</f>
        <v>0</v>
      </c>
      <c r="BD5" s="56">
        <f>+'27'!D4</f>
        <v>0</v>
      </c>
      <c r="BE5" s="36">
        <f>+'28'!C4</f>
        <v>0</v>
      </c>
      <c r="BF5" s="56">
        <f>+'28'!D4</f>
        <v>0</v>
      </c>
      <c r="BG5" s="36">
        <f>+'29'!C4</f>
        <v>0</v>
      </c>
      <c r="BH5" s="56">
        <f>+'29'!D4</f>
        <v>0</v>
      </c>
      <c r="BI5" s="36">
        <f>+'30'!C4</f>
        <v>0</v>
      </c>
      <c r="BJ5" s="56">
        <f>+'30'!D4</f>
        <v>0</v>
      </c>
      <c r="BK5" s="36">
        <f>+'31'!C4</f>
        <v>0</v>
      </c>
      <c r="BL5" s="56">
        <f>+'31'!D4</f>
        <v>0</v>
      </c>
      <c r="BM5" s="36">
        <f>+C5+E5+G5+I5+K5+M5+O5+Q5+S5+U5+W5+Y5+AA5+AC5+AE5+AG5+AI5+AK5+AM5+AO5+AQ5+AS5+AU5+AW5+AY5+BA5+BC5+BE5+BG5+BI5+BK5</f>
        <v>0</v>
      </c>
      <c r="BN5" s="56">
        <f>+D5+F5+H5+J5+L5+N5+P5+R5+T5+V5+X5+Z5+AB5+AD5+AF5+AH5+AJ5+AL5+AN5+AP5+AR5+AT5+AV5+AX5+AZ5+BB5+BD5+BF5+BH5+BJ5+BL5</f>
        <v>0</v>
      </c>
      <c r="BO5" s="105">
        <v>11321</v>
      </c>
      <c r="BP5" s="85">
        <v>5259401.12</v>
      </c>
      <c r="BQ5" s="109">
        <f>+BM5-BO5</f>
        <v>-11321</v>
      </c>
      <c r="BR5" s="110">
        <f>+BN5-BP5</f>
        <v>-5259401.12</v>
      </c>
    </row>
    <row r="6" spans="1:70">
      <c r="A6" s="4">
        <v>2</v>
      </c>
      <c r="B6" s="5" t="s">
        <v>6</v>
      </c>
      <c r="C6" s="36">
        <f>+'01'!C5</f>
        <v>0</v>
      </c>
      <c r="D6" s="56">
        <f>+'01'!D5</f>
        <v>0</v>
      </c>
      <c r="E6" s="36">
        <f>+'02'!C5</f>
        <v>0</v>
      </c>
      <c r="F6" s="7">
        <f>+'02'!D5</f>
        <v>0</v>
      </c>
      <c r="G6" s="36">
        <f>+'03'!C5</f>
        <v>0</v>
      </c>
      <c r="H6" s="7">
        <f>+'03'!D5</f>
        <v>0</v>
      </c>
      <c r="I6" s="36">
        <f>+'04'!C5</f>
        <v>0</v>
      </c>
      <c r="J6" s="7">
        <f>+'04'!D5</f>
        <v>0</v>
      </c>
      <c r="K6" s="36">
        <f>+'05'!C5</f>
        <v>0</v>
      </c>
      <c r="L6" s="7">
        <f>+'05'!D5</f>
        <v>0</v>
      </c>
      <c r="M6" s="36">
        <f>+'06'!C5</f>
        <v>0</v>
      </c>
      <c r="N6" s="7">
        <f>+'06'!D5</f>
        <v>0</v>
      </c>
      <c r="O6" s="36">
        <f>+'07'!C5</f>
        <v>0</v>
      </c>
      <c r="P6" s="56">
        <f>+'07'!D5</f>
        <v>0</v>
      </c>
      <c r="Q6" s="36">
        <f>+'08'!C5</f>
        <v>0</v>
      </c>
      <c r="R6" s="7">
        <f>+'08'!D5</f>
        <v>0</v>
      </c>
      <c r="S6" s="36">
        <f>+'09'!C5</f>
        <v>0</v>
      </c>
      <c r="T6" s="7">
        <f>+'09'!D5</f>
        <v>0</v>
      </c>
      <c r="U6" s="36">
        <f>+'10'!C5</f>
        <v>0</v>
      </c>
      <c r="V6" s="7">
        <f>+'10'!D5</f>
        <v>0</v>
      </c>
      <c r="W6" s="36">
        <f>+'11'!C5</f>
        <v>0</v>
      </c>
      <c r="X6" s="7">
        <f>+'11'!D5</f>
        <v>0</v>
      </c>
      <c r="Y6" s="36">
        <f>+'12'!C5</f>
        <v>0</v>
      </c>
      <c r="Z6" s="7">
        <f>+'12'!D5</f>
        <v>0</v>
      </c>
      <c r="AA6" s="36">
        <f>+'13'!C5</f>
        <v>0</v>
      </c>
      <c r="AB6" s="7">
        <f>+'13'!D5</f>
        <v>0</v>
      </c>
      <c r="AC6" s="36">
        <f>+'14'!C5</f>
        <v>0</v>
      </c>
      <c r="AD6" s="7">
        <f>+'14'!D5</f>
        <v>0</v>
      </c>
      <c r="AE6" s="36">
        <f>+'15'!C5</f>
        <v>0</v>
      </c>
      <c r="AF6" s="7">
        <f>+'15'!D5</f>
        <v>0</v>
      </c>
      <c r="AG6" s="36">
        <f>+'16'!C5</f>
        <v>0</v>
      </c>
      <c r="AH6" s="7">
        <f>+'16'!D5</f>
        <v>0</v>
      </c>
      <c r="AI6" s="36">
        <f>+'17'!C5</f>
        <v>0</v>
      </c>
      <c r="AJ6" s="7">
        <f>+'17'!D5</f>
        <v>0</v>
      </c>
      <c r="AK6" s="36">
        <f>+'18'!C5</f>
        <v>0</v>
      </c>
      <c r="AL6" s="7">
        <f>+'18'!D5</f>
        <v>0</v>
      </c>
      <c r="AM6" s="36">
        <f>+'19'!C5</f>
        <v>0</v>
      </c>
      <c r="AN6" s="56">
        <f>+'19'!D5</f>
        <v>0</v>
      </c>
      <c r="AO6" s="36">
        <f>+'20'!C5</f>
        <v>0</v>
      </c>
      <c r="AP6" s="56">
        <f>+'20'!D5</f>
        <v>0</v>
      </c>
      <c r="AQ6" s="36">
        <f>+'21'!C5</f>
        <v>0</v>
      </c>
      <c r="AR6" s="56">
        <f>+'21'!D5</f>
        <v>0</v>
      </c>
      <c r="AS6" s="36">
        <f>+'22'!C5</f>
        <v>0</v>
      </c>
      <c r="AT6" s="56">
        <f>+'22'!D5</f>
        <v>0</v>
      </c>
      <c r="AU6" s="36">
        <f>+'23'!C5</f>
        <v>0</v>
      </c>
      <c r="AV6" s="56">
        <f>+'23'!D5</f>
        <v>0</v>
      </c>
      <c r="AW6" s="36">
        <f>+'24'!C5</f>
        <v>0</v>
      </c>
      <c r="AX6" s="56">
        <f>+'24'!D5</f>
        <v>0</v>
      </c>
      <c r="AY6" s="36">
        <f>+'25'!C5</f>
        <v>0</v>
      </c>
      <c r="AZ6" s="56">
        <f>+'25'!D5</f>
        <v>0</v>
      </c>
      <c r="BA6" s="36">
        <f>+'26'!C5</f>
        <v>0</v>
      </c>
      <c r="BB6" s="56">
        <f>+'26'!D5</f>
        <v>0</v>
      </c>
      <c r="BC6" s="36">
        <f>+'27'!C5</f>
        <v>0</v>
      </c>
      <c r="BD6" s="56">
        <f>+'27'!D5</f>
        <v>0</v>
      </c>
      <c r="BE6" s="36">
        <f>+'28'!C5</f>
        <v>0</v>
      </c>
      <c r="BF6" s="56">
        <f>+'28'!D5</f>
        <v>0</v>
      </c>
      <c r="BG6" s="36">
        <f>+'29'!C5</f>
        <v>0</v>
      </c>
      <c r="BH6" s="56">
        <f>+'29'!D5</f>
        <v>0</v>
      </c>
      <c r="BI6" s="36">
        <f>+'30'!C5</f>
        <v>0</v>
      </c>
      <c r="BJ6" s="56">
        <f>+'30'!D5</f>
        <v>0</v>
      </c>
      <c r="BK6" s="36">
        <f>+'31'!C5</f>
        <v>0</v>
      </c>
      <c r="BL6" s="56">
        <f>+'31'!D5</f>
        <v>0</v>
      </c>
      <c r="BM6" s="36">
        <f t="shared" ref="BM6:BN6" si="0">+C6+E6+G6+I6+K6+M6+O6+Q6+S6+U6+W6+Y6+AA6+AC6+AE6+AG6+AI6+AK6+AM6+AO6+AQ6+AS6+AU6+AW6+AY6+BA6+BC6+BE6+BG6+BI6+BK6</f>
        <v>0</v>
      </c>
      <c r="BN6" s="56">
        <f t="shared" si="0"/>
        <v>0</v>
      </c>
      <c r="BO6" s="105">
        <v>2255</v>
      </c>
      <c r="BP6" s="85">
        <v>8615754.8399999999</v>
      </c>
      <c r="BQ6" s="109">
        <f>+BM6-BO6</f>
        <v>-2255</v>
      </c>
      <c r="BR6" s="110">
        <f>+BN6-BP6</f>
        <v>-8615754.8399999999</v>
      </c>
    </row>
    <row r="7" spans="1:70" s="31" customFormat="1" ht="26.25" thickBot="1">
      <c r="A7" s="30"/>
      <c r="B7" s="55" t="s">
        <v>38</v>
      </c>
      <c r="C7" s="37">
        <f t="shared" ref="C7:AH7" si="1">SUM(C5:C6)</f>
        <v>0</v>
      </c>
      <c r="D7" s="30">
        <f t="shared" si="1"/>
        <v>0</v>
      </c>
      <c r="E7" s="37">
        <f t="shared" si="1"/>
        <v>0</v>
      </c>
      <c r="F7" s="30">
        <f t="shared" si="1"/>
        <v>0</v>
      </c>
      <c r="G7" s="37">
        <f t="shared" si="1"/>
        <v>0</v>
      </c>
      <c r="H7" s="30">
        <f t="shared" si="1"/>
        <v>0</v>
      </c>
      <c r="I7" s="37">
        <f t="shared" si="1"/>
        <v>0</v>
      </c>
      <c r="J7" s="30">
        <f t="shared" si="1"/>
        <v>0</v>
      </c>
      <c r="K7" s="37">
        <f t="shared" si="1"/>
        <v>0</v>
      </c>
      <c r="L7" s="30">
        <f t="shared" si="1"/>
        <v>0</v>
      </c>
      <c r="M7" s="37">
        <f t="shared" si="1"/>
        <v>0</v>
      </c>
      <c r="N7" s="30">
        <f t="shared" si="1"/>
        <v>0</v>
      </c>
      <c r="O7" s="37">
        <f t="shared" si="1"/>
        <v>0</v>
      </c>
      <c r="P7" s="30">
        <f t="shared" si="1"/>
        <v>0</v>
      </c>
      <c r="Q7" s="37">
        <f t="shared" si="1"/>
        <v>0</v>
      </c>
      <c r="R7" s="30">
        <f t="shared" si="1"/>
        <v>0</v>
      </c>
      <c r="S7" s="37">
        <f t="shared" si="1"/>
        <v>0</v>
      </c>
      <c r="T7" s="30">
        <f>SUM(T5:T6)</f>
        <v>0</v>
      </c>
      <c r="U7" s="37">
        <f t="shared" si="1"/>
        <v>0</v>
      </c>
      <c r="V7" s="30">
        <f t="shared" si="1"/>
        <v>0</v>
      </c>
      <c r="W7" s="37">
        <f t="shared" si="1"/>
        <v>0</v>
      </c>
      <c r="X7" s="30">
        <f t="shared" si="1"/>
        <v>0</v>
      </c>
      <c r="Y7" s="37">
        <f t="shared" si="1"/>
        <v>0</v>
      </c>
      <c r="Z7" s="30">
        <f t="shared" si="1"/>
        <v>0</v>
      </c>
      <c r="AA7" s="37">
        <f t="shared" si="1"/>
        <v>0</v>
      </c>
      <c r="AB7" s="30">
        <f t="shared" si="1"/>
        <v>0</v>
      </c>
      <c r="AC7" s="37">
        <f t="shared" si="1"/>
        <v>0</v>
      </c>
      <c r="AD7" s="30">
        <f t="shared" si="1"/>
        <v>0</v>
      </c>
      <c r="AE7" s="37">
        <f t="shared" si="1"/>
        <v>0</v>
      </c>
      <c r="AF7" s="30">
        <f t="shared" si="1"/>
        <v>0</v>
      </c>
      <c r="AG7" s="37">
        <f t="shared" si="1"/>
        <v>0</v>
      </c>
      <c r="AH7" s="30">
        <f t="shared" si="1"/>
        <v>0</v>
      </c>
      <c r="AI7" s="37">
        <f t="shared" ref="AI7:BN7" si="2">SUM(AI5:AI6)</f>
        <v>0</v>
      </c>
      <c r="AJ7" s="30">
        <f t="shared" si="2"/>
        <v>0</v>
      </c>
      <c r="AK7" s="37">
        <f t="shared" si="2"/>
        <v>0</v>
      </c>
      <c r="AL7" s="30">
        <f t="shared" si="2"/>
        <v>0</v>
      </c>
      <c r="AM7" s="37">
        <f t="shared" si="2"/>
        <v>0</v>
      </c>
      <c r="AN7" s="30">
        <f t="shared" si="2"/>
        <v>0</v>
      </c>
      <c r="AO7" s="37">
        <f t="shared" si="2"/>
        <v>0</v>
      </c>
      <c r="AP7" s="30">
        <f t="shared" si="2"/>
        <v>0</v>
      </c>
      <c r="AQ7" s="37">
        <f t="shared" si="2"/>
        <v>0</v>
      </c>
      <c r="AR7" s="30">
        <f t="shared" si="2"/>
        <v>0</v>
      </c>
      <c r="AS7" s="37">
        <f t="shared" si="2"/>
        <v>0</v>
      </c>
      <c r="AT7" s="30">
        <f t="shared" si="2"/>
        <v>0</v>
      </c>
      <c r="AU7" s="37">
        <f t="shared" si="2"/>
        <v>0</v>
      </c>
      <c r="AV7" s="30">
        <f t="shared" si="2"/>
        <v>0</v>
      </c>
      <c r="AW7" s="37">
        <f t="shared" si="2"/>
        <v>0</v>
      </c>
      <c r="AX7" s="30">
        <f t="shared" si="2"/>
        <v>0</v>
      </c>
      <c r="AY7" s="37">
        <f t="shared" si="2"/>
        <v>0</v>
      </c>
      <c r="AZ7" s="30">
        <f t="shared" si="2"/>
        <v>0</v>
      </c>
      <c r="BA7" s="37">
        <f t="shared" si="2"/>
        <v>0</v>
      </c>
      <c r="BB7" s="30">
        <f t="shared" si="2"/>
        <v>0</v>
      </c>
      <c r="BC7" s="37">
        <f t="shared" si="2"/>
        <v>0</v>
      </c>
      <c r="BD7" s="30">
        <f t="shared" si="2"/>
        <v>0</v>
      </c>
      <c r="BE7" s="37">
        <f t="shared" si="2"/>
        <v>0</v>
      </c>
      <c r="BF7" s="30">
        <f t="shared" si="2"/>
        <v>0</v>
      </c>
      <c r="BG7" s="37">
        <f t="shared" si="2"/>
        <v>0</v>
      </c>
      <c r="BH7" s="30">
        <f t="shared" si="2"/>
        <v>0</v>
      </c>
      <c r="BI7" s="37">
        <f t="shared" si="2"/>
        <v>0</v>
      </c>
      <c r="BJ7" s="30">
        <f t="shared" si="2"/>
        <v>0</v>
      </c>
      <c r="BK7" s="37">
        <f t="shared" si="2"/>
        <v>0</v>
      </c>
      <c r="BL7" s="30">
        <f t="shared" si="2"/>
        <v>0</v>
      </c>
      <c r="BM7" s="37">
        <f t="shared" si="2"/>
        <v>0</v>
      </c>
      <c r="BN7" s="30">
        <f t="shared" si="2"/>
        <v>0</v>
      </c>
      <c r="BO7" s="106">
        <f t="shared" ref="BO7:BQ7" si="3">SUM(BO5:BO6)</f>
        <v>13576</v>
      </c>
      <c r="BP7" s="89">
        <f t="shared" si="3"/>
        <v>13875155.960000001</v>
      </c>
      <c r="BQ7" s="111">
        <f t="shared" si="3"/>
        <v>-13576</v>
      </c>
      <c r="BR7" s="114">
        <f>+BN7-BP7</f>
        <v>-13875155.960000001</v>
      </c>
    </row>
    <row r="8" spans="1:70" ht="26.25" thickTop="1"/>
    <row r="9" spans="1:70">
      <c r="BP9" s="31" t="s">
        <v>92</v>
      </c>
    </row>
    <row r="19" spans="66:66">
      <c r="BN19" s="22" t="s">
        <v>115</v>
      </c>
    </row>
  </sheetData>
  <mergeCells count="37">
    <mergeCell ref="BQ3:BR3"/>
    <mergeCell ref="BE3:BF3"/>
    <mergeCell ref="BG3:BH3"/>
    <mergeCell ref="BI3:BJ3"/>
    <mergeCell ref="BK3:BL3"/>
    <mergeCell ref="BM3:BN3"/>
    <mergeCell ref="BO3:BP3"/>
    <mergeCell ref="BC3:BD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AE3:AF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G3:H3"/>
    <mergeCell ref="A1:B1"/>
    <mergeCell ref="A2:B2"/>
    <mergeCell ref="A3:B3"/>
    <mergeCell ref="C3:D3"/>
    <mergeCell ref="E3:F3"/>
  </mergeCells>
  <pageMargins left="0.15748031496062992" right="0.88" top="1.0236220472440944" bottom="0.74803149606299213" header="0.31496062992125984" footer="0.31496062992125984"/>
  <pageSetup paperSize="9" scale="45" orientation="landscape" r:id="rId1"/>
  <ignoredErrors>
    <ignoredError sqref="BN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BN64"/>
  <sheetViews>
    <sheetView zoomScale="63" zoomScaleNormal="63" workbookViewId="0">
      <pane xSplit="2" ySplit="4" topLeftCell="C44" activePane="bottomRight" state="frozen"/>
      <selection activeCell="BK21" sqref="BK21"/>
      <selection pane="topRight" activeCell="BK21" sqref="BK21"/>
      <selection pane="bottomLeft" activeCell="BK21" sqref="BK21"/>
      <selection pane="bottomRight" activeCell="C50" sqref="C50"/>
    </sheetView>
  </sheetViews>
  <sheetFormatPr defaultRowHeight="25.5"/>
  <cols>
    <col min="1" max="1" width="5.7265625" style="18" bestFit="1" customWidth="1"/>
    <col min="2" max="2" width="59.6328125" style="19" customWidth="1"/>
    <col min="3" max="3" width="12.90625" style="20" customWidth="1"/>
    <col min="4" max="6" width="12.90625" style="31" customWidth="1"/>
    <col min="7" max="7" width="13.6328125" style="31" customWidth="1"/>
    <col min="8" max="9" width="12.90625" style="31" customWidth="1"/>
    <col min="10" max="10" width="13.6328125" style="31" customWidth="1"/>
    <col min="11" max="12" width="12.90625" style="31" customWidth="1"/>
    <col min="13" max="14" width="13.6328125" style="31" customWidth="1"/>
    <col min="15" max="15" width="12.90625" hidden="1" customWidth="1"/>
    <col min="16" max="16" width="13.6328125" hidden="1" customWidth="1"/>
    <col min="17" max="17" width="12.90625" style="22" hidden="1" customWidth="1"/>
    <col min="18" max="18" width="12.90625" style="20" hidden="1" customWidth="1"/>
    <col min="19" max="20" width="12.90625" hidden="1" customWidth="1"/>
    <col min="21" max="21" width="13.6328125" hidden="1" customWidth="1"/>
    <col min="22" max="22" width="12.90625" hidden="1" customWidth="1"/>
    <col min="23" max="23" width="12.90625" style="31" hidden="1" customWidth="1"/>
    <col min="24" max="25" width="12.90625" hidden="1" customWidth="1"/>
    <col min="26" max="26" width="13.453125" hidden="1" customWidth="1"/>
    <col min="27" max="29" width="12.90625" hidden="1" customWidth="1"/>
    <col min="30" max="30" width="13.6328125" hidden="1" customWidth="1"/>
    <col min="31" max="31" width="12.90625" hidden="1" customWidth="1"/>
    <col min="32" max="33" width="12.90625" style="22" hidden="1" customWidth="1"/>
    <col min="34" max="34" width="14.90625" style="22" bestFit="1" customWidth="1"/>
    <col min="36" max="36" width="14.90625" style="165" bestFit="1" customWidth="1"/>
    <col min="37" max="38" width="13.90625" bestFit="1" customWidth="1"/>
  </cols>
  <sheetData>
    <row r="1" spans="1:38">
      <c r="A1" s="283" t="s">
        <v>0</v>
      </c>
      <c r="B1" s="284"/>
      <c r="C1" s="28"/>
      <c r="R1" s="21"/>
    </row>
    <row r="2" spans="1:38">
      <c r="A2" s="285" t="s">
        <v>148</v>
      </c>
      <c r="B2" s="286"/>
      <c r="C2" s="29"/>
      <c r="R2" s="23"/>
    </row>
    <row r="3" spans="1:38" s="73" customFormat="1">
      <c r="A3" s="287" t="s">
        <v>39</v>
      </c>
      <c r="B3" s="282"/>
      <c r="C3" s="177" t="s">
        <v>182</v>
      </c>
      <c r="D3" s="177" t="s">
        <v>183</v>
      </c>
      <c r="E3" s="177" t="s">
        <v>184</v>
      </c>
      <c r="F3" s="177" t="s">
        <v>185</v>
      </c>
      <c r="G3" s="177" t="s">
        <v>186</v>
      </c>
      <c r="H3" s="177" t="s">
        <v>187</v>
      </c>
      <c r="I3" s="177" t="s">
        <v>188</v>
      </c>
      <c r="J3" s="177" t="s">
        <v>189</v>
      </c>
      <c r="K3" s="177" t="s">
        <v>190</v>
      </c>
      <c r="L3" s="177" t="s">
        <v>191</v>
      </c>
      <c r="M3" s="177" t="s">
        <v>192</v>
      </c>
      <c r="N3" s="177" t="s">
        <v>193</v>
      </c>
      <c r="O3" s="177" t="s">
        <v>194</v>
      </c>
      <c r="P3" s="177" t="s">
        <v>195</v>
      </c>
      <c r="Q3" s="177" t="s">
        <v>196</v>
      </c>
      <c r="R3" s="176" t="s">
        <v>197</v>
      </c>
      <c r="S3" s="176" t="s">
        <v>198</v>
      </c>
      <c r="T3" s="176" t="s">
        <v>199</v>
      </c>
      <c r="U3" s="176" t="s">
        <v>200</v>
      </c>
      <c r="V3" s="176" t="s">
        <v>201</v>
      </c>
      <c r="W3" s="74" t="s">
        <v>202</v>
      </c>
      <c r="X3" s="176" t="s">
        <v>203</v>
      </c>
      <c r="Y3" s="176" t="s">
        <v>204</v>
      </c>
      <c r="Z3" s="176" t="s">
        <v>205</v>
      </c>
      <c r="AA3" s="176" t="s">
        <v>206</v>
      </c>
      <c r="AB3" s="176" t="s">
        <v>207</v>
      </c>
      <c r="AC3" s="176" t="s">
        <v>208</v>
      </c>
      <c r="AD3" s="176" t="s">
        <v>209</v>
      </c>
      <c r="AE3" s="176" t="s">
        <v>210</v>
      </c>
      <c r="AF3" s="176" t="s">
        <v>211</v>
      </c>
      <c r="AG3" s="176" t="s">
        <v>212</v>
      </c>
      <c r="AH3" s="83" t="s">
        <v>48</v>
      </c>
      <c r="AJ3" s="166"/>
    </row>
    <row r="4" spans="1:38">
      <c r="A4" s="2" t="s">
        <v>1</v>
      </c>
      <c r="B4" s="2" t="s">
        <v>2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4</v>
      </c>
      <c r="M4" s="3" t="s">
        <v>4</v>
      </c>
      <c r="N4" s="3" t="s">
        <v>4</v>
      </c>
      <c r="O4" s="3" t="s">
        <v>4</v>
      </c>
      <c r="P4" s="3" t="s">
        <v>4</v>
      </c>
      <c r="Q4" s="24" t="s">
        <v>4</v>
      </c>
      <c r="R4" s="3" t="s">
        <v>4</v>
      </c>
      <c r="S4" s="3" t="s">
        <v>4</v>
      </c>
      <c r="T4" s="3" t="s">
        <v>4</v>
      </c>
      <c r="U4" s="3" t="s">
        <v>4</v>
      </c>
      <c r="V4" s="3" t="s">
        <v>4</v>
      </c>
      <c r="W4" s="3" t="s">
        <v>4</v>
      </c>
      <c r="X4" s="3" t="s">
        <v>4</v>
      </c>
      <c r="Y4" s="3" t="s">
        <v>4</v>
      </c>
      <c r="Z4" s="3" t="s">
        <v>4</v>
      </c>
      <c r="AA4" s="3" t="s">
        <v>4</v>
      </c>
      <c r="AB4" s="3" t="s">
        <v>4</v>
      </c>
      <c r="AC4" s="3" t="s">
        <v>4</v>
      </c>
      <c r="AD4" s="3" t="s">
        <v>4</v>
      </c>
      <c r="AE4" s="3" t="s">
        <v>4</v>
      </c>
      <c r="AF4" s="24" t="s">
        <v>4</v>
      </c>
      <c r="AG4" s="24" t="s">
        <v>4</v>
      </c>
      <c r="AH4" s="84" t="s">
        <v>4</v>
      </c>
    </row>
    <row r="5" spans="1:38">
      <c r="A5" s="99">
        <v>1</v>
      </c>
      <c r="B5" s="100" t="s">
        <v>49</v>
      </c>
      <c r="C5" s="98">
        <f>+'01'!D4</f>
        <v>0</v>
      </c>
      <c r="D5" s="98">
        <f>+'02'!D4</f>
        <v>0</v>
      </c>
      <c r="E5" s="98">
        <f>+'03'!D4</f>
        <v>0</v>
      </c>
      <c r="F5" s="98">
        <f>+'04'!D4</f>
        <v>0</v>
      </c>
      <c r="G5" s="98">
        <f>+'05'!D4</f>
        <v>0</v>
      </c>
      <c r="H5" s="98">
        <f>+'06'!D4</f>
        <v>0</v>
      </c>
      <c r="I5" s="98">
        <f>+'06'!D4</f>
        <v>0</v>
      </c>
      <c r="J5" s="98">
        <f>+'08'!D4</f>
        <v>0</v>
      </c>
      <c r="K5" s="98">
        <f>+'09'!D4</f>
        <v>0</v>
      </c>
      <c r="L5" s="98">
        <f>+'10'!D4</f>
        <v>0</v>
      </c>
      <c r="M5" s="98">
        <f>+'11'!D4</f>
        <v>0</v>
      </c>
      <c r="N5" s="98">
        <f>+'12'!D4</f>
        <v>0</v>
      </c>
      <c r="O5" s="98"/>
      <c r="P5" s="98"/>
      <c r="Q5" s="98"/>
      <c r="R5" s="98"/>
      <c r="S5" s="98"/>
      <c r="T5" s="98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>
        <f>+C5+D5+E5+F5+G5+H5+I5+J5+K5+L5+M5+N5+O5+P5+Q5+R5+S5+T5+U5+V5+W5+X5+Y5+Z5+AA5+AB5+AC5+AD5+AE5+AF5+AG5</f>
        <v>0</v>
      </c>
    </row>
    <row r="6" spans="1:38">
      <c r="A6" s="99">
        <v>2</v>
      </c>
      <c r="B6" s="100" t="s">
        <v>50</v>
      </c>
      <c r="C6" s="97">
        <f>+'01'!D5</f>
        <v>0</v>
      </c>
      <c r="D6" s="98">
        <f>+'02'!D5</f>
        <v>0</v>
      </c>
      <c r="E6" s="98">
        <f>+'03'!D5</f>
        <v>0</v>
      </c>
      <c r="F6" s="98">
        <f>+'04'!D5</f>
        <v>0</v>
      </c>
      <c r="G6" s="98">
        <f>+'05'!D5</f>
        <v>0</v>
      </c>
      <c r="H6" s="98">
        <f>+'06'!D5</f>
        <v>0</v>
      </c>
      <c r="I6" s="98">
        <f>+'06'!D5</f>
        <v>0</v>
      </c>
      <c r="J6" s="98">
        <f>+'08'!D5</f>
        <v>0</v>
      </c>
      <c r="K6" s="98">
        <f>+'09'!D5</f>
        <v>0</v>
      </c>
      <c r="L6" s="98">
        <f>+'10'!D5</f>
        <v>0</v>
      </c>
      <c r="M6" s="98">
        <f>+'11'!D5</f>
        <v>0</v>
      </c>
      <c r="N6" s="98">
        <f>+'12'!D5</f>
        <v>0</v>
      </c>
      <c r="O6" s="98"/>
      <c r="P6" s="98"/>
      <c r="Q6" s="98"/>
      <c r="R6" s="98"/>
      <c r="S6" s="98"/>
      <c r="T6" s="98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>
        <f t="shared" ref="AH6:AH44" si="0">+C6+D6+E6+F6+G6+H6+I6+J6+K6+L6+M6+N6+O6+P6+Q6+R6+S6+T6+U6+V6+W6+X6+Y6+Z6+AA6+AB6+AC6+AD6+AE6+AF6+AG6</f>
        <v>0</v>
      </c>
      <c r="AJ6" s="164"/>
      <c r="AK6" s="31"/>
    </row>
    <row r="7" spans="1:38" s="65" customFormat="1" ht="20.25">
      <c r="A7" s="32">
        <v>3</v>
      </c>
      <c r="B7" s="64" t="s">
        <v>53</v>
      </c>
      <c r="C7" s="60">
        <f>+'01'!D6</f>
        <v>1196065.3500000001</v>
      </c>
      <c r="D7" s="33">
        <f>+'02'!D6</f>
        <v>991915.36</v>
      </c>
      <c r="E7" s="33">
        <f>+'03'!D6</f>
        <v>1013029.39</v>
      </c>
      <c r="F7" s="33">
        <f>+'04'!D6</f>
        <v>1091659.6100000001</v>
      </c>
      <c r="G7" s="33">
        <f>+'05'!D6</f>
        <v>201880</v>
      </c>
      <c r="H7" s="33">
        <f>+'06'!D6</f>
        <v>258386.09</v>
      </c>
      <c r="I7" s="33">
        <f>+'07'!D6</f>
        <v>1297943.49</v>
      </c>
      <c r="J7" s="33">
        <f>+'08'!D6</f>
        <v>996194.45</v>
      </c>
      <c r="K7" s="33">
        <f>+'09'!D6</f>
        <v>1017542.35</v>
      </c>
      <c r="L7" s="33">
        <f>+'10'!D6</f>
        <v>1108876.3500000001</v>
      </c>
      <c r="M7" s="33">
        <f>+'11'!D6</f>
        <v>986978.24</v>
      </c>
      <c r="N7" s="33">
        <f>+'12'!D6</f>
        <v>110870.75</v>
      </c>
      <c r="O7" s="33"/>
      <c r="P7" s="33"/>
      <c r="Q7" s="33"/>
      <c r="R7" s="33"/>
      <c r="S7" s="33"/>
      <c r="T7" s="33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86">
        <f t="shared" si="0"/>
        <v>10271341.43</v>
      </c>
      <c r="AJ7" s="167"/>
      <c r="AK7" s="121">
        <f t="shared" ref="AK7:AK10" si="1">+AH7-AJ7</f>
        <v>10271341.43</v>
      </c>
    </row>
    <row r="8" spans="1:38" s="65" customFormat="1" ht="20.25">
      <c r="A8" s="32"/>
      <c r="B8" s="64" t="s">
        <v>54</v>
      </c>
      <c r="C8" s="60">
        <f>+'01'!D8</f>
        <v>0</v>
      </c>
      <c r="D8" s="33">
        <f>+'02'!D8</f>
        <v>0</v>
      </c>
      <c r="E8" s="33">
        <f>+'03'!D8</f>
        <v>0</v>
      </c>
      <c r="F8" s="33">
        <f>+'04'!D8</f>
        <v>0</v>
      </c>
      <c r="G8" s="33">
        <f>+'05'!D8</f>
        <v>0</v>
      </c>
      <c r="H8" s="33">
        <f>+'06'!D8</f>
        <v>0</v>
      </c>
      <c r="I8" s="33">
        <f>+'07'!D8</f>
        <v>0</v>
      </c>
      <c r="J8" s="33">
        <f>+'08'!D8</f>
        <v>0</v>
      </c>
      <c r="K8" s="33">
        <f>+'09'!D8</f>
        <v>0</v>
      </c>
      <c r="L8" s="33">
        <f>+'10'!D8</f>
        <v>0</v>
      </c>
      <c r="M8" s="33">
        <f>+'11'!D8</f>
        <v>0</v>
      </c>
      <c r="N8" s="33">
        <f>+'12'!D8</f>
        <v>0</v>
      </c>
      <c r="O8" s="33"/>
      <c r="P8" s="33"/>
      <c r="Q8" s="33"/>
      <c r="R8" s="33"/>
      <c r="S8" s="33"/>
      <c r="T8" s="33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86">
        <f t="shared" si="0"/>
        <v>0</v>
      </c>
      <c r="AJ8" s="167"/>
      <c r="AK8" s="121">
        <f t="shared" si="1"/>
        <v>0</v>
      </c>
    </row>
    <row r="9" spans="1:38" s="65" customFormat="1" ht="20.25">
      <c r="A9" s="32">
        <v>4</v>
      </c>
      <c r="B9" s="64" t="s">
        <v>55</v>
      </c>
      <c r="C9" s="60">
        <f>+'01'!D9</f>
        <v>14625.57</v>
      </c>
      <c r="D9" s="33">
        <f>+'02'!D9</f>
        <v>10241.75</v>
      </c>
      <c r="E9" s="33">
        <f>+'03'!D9</f>
        <v>1002440.27</v>
      </c>
      <c r="F9" s="33">
        <f>+'04'!D9</f>
        <v>301960.53999999998</v>
      </c>
      <c r="G9" s="33">
        <f>+'05'!D9</f>
        <v>2011182.78</v>
      </c>
      <c r="H9" s="33">
        <f>+'06'!D9</f>
        <v>119707.28</v>
      </c>
      <c r="I9" s="33">
        <f>+'07'!D9</f>
        <v>395076.87</v>
      </c>
      <c r="J9" s="33">
        <f>+'08'!D9</f>
        <v>39275.5</v>
      </c>
      <c r="K9" s="33">
        <f>+'09'!D9</f>
        <v>606366.98</v>
      </c>
      <c r="L9" s="33">
        <f>+'10'!D9</f>
        <v>520167.66</v>
      </c>
      <c r="M9" s="33">
        <f>+'11'!D9</f>
        <v>511836.05</v>
      </c>
      <c r="N9" s="33">
        <f>+'12'!D9</f>
        <v>97675.5</v>
      </c>
      <c r="O9" s="33"/>
      <c r="P9" s="33"/>
      <c r="Q9" s="33"/>
      <c r="R9" s="33"/>
      <c r="S9" s="33"/>
      <c r="T9" s="33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86">
        <f t="shared" si="0"/>
        <v>5630556.75</v>
      </c>
      <c r="AJ9" s="169"/>
      <c r="AK9" s="121">
        <f t="shared" si="1"/>
        <v>5630556.75</v>
      </c>
    </row>
    <row r="10" spans="1:38" s="65" customFormat="1" ht="20.25">
      <c r="A10" s="32"/>
      <c r="B10" s="64" t="s">
        <v>56</v>
      </c>
      <c r="C10" s="60">
        <f>+'01'!D11</f>
        <v>0</v>
      </c>
      <c r="D10" s="33">
        <f>+'02'!D11</f>
        <v>0</v>
      </c>
      <c r="E10" s="33">
        <f>+'03'!D11</f>
        <v>0</v>
      </c>
      <c r="F10" s="33">
        <f>+'04'!D11</f>
        <v>0</v>
      </c>
      <c r="G10" s="33">
        <f>+'05'!D11</f>
        <v>0</v>
      </c>
      <c r="H10" s="33">
        <f>+'06'!D11</f>
        <v>0</v>
      </c>
      <c r="I10" s="33">
        <f>+'07'!D11</f>
        <v>0</v>
      </c>
      <c r="J10" s="33">
        <f>+'08'!D11</f>
        <v>0</v>
      </c>
      <c r="K10" s="33">
        <f>+'09'!D11</f>
        <v>0</v>
      </c>
      <c r="L10" s="33">
        <f>+'10'!D11</f>
        <v>0</v>
      </c>
      <c r="M10" s="33">
        <f>+'11'!D11</f>
        <v>0</v>
      </c>
      <c r="N10" s="33">
        <f>+'12'!D11</f>
        <v>0</v>
      </c>
      <c r="O10" s="33"/>
      <c r="P10" s="33"/>
      <c r="Q10" s="33"/>
      <c r="R10" s="33"/>
      <c r="S10" s="33"/>
      <c r="T10" s="33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86">
        <f>+C10+D10+E10+F10+G10+H10+I10+J10+K10+L10+M10+N10+O10+P10+Q10+R10+S10+T10+U10+V10+W10+X10+Y10+Z10+AA10+AB10+AC10+AD10+AE10+AF10+AG10</f>
        <v>0</v>
      </c>
      <c r="AJ10" s="169"/>
      <c r="AK10" s="121">
        <f t="shared" si="1"/>
        <v>0</v>
      </c>
    </row>
    <row r="11" spans="1:38" s="65" customFormat="1" ht="20.25">
      <c r="A11" s="32">
        <v>5</v>
      </c>
      <c r="B11" s="64" t="s">
        <v>57</v>
      </c>
      <c r="C11" s="60">
        <f>+'01'!D12</f>
        <v>250757</v>
      </c>
      <c r="D11" s="33">
        <f>+'02'!D12</f>
        <v>204218.5</v>
      </c>
      <c r="E11" s="33">
        <f>+'03'!D12</f>
        <v>99684.5</v>
      </c>
      <c r="F11" s="33">
        <f>+'04'!D12</f>
        <v>173171.75</v>
      </c>
      <c r="G11" s="33">
        <f>+'05'!D12</f>
        <v>8111.5</v>
      </c>
      <c r="H11" s="33">
        <f>+'06'!D12</f>
        <v>2595</v>
      </c>
      <c r="I11" s="33">
        <f>+'07'!D12</f>
        <v>194220.5</v>
      </c>
      <c r="J11" s="33">
        <f>+'08'!D12</f>
        <v>148808.5</v>
      </c>
      <c r="K11" s="33">
        <f>+'09'!D12</f>
        <v>221222.5</v>
      </c>
      <c r="L11" s="33">
        <f>+'10'!D12</f>
        <v>98994.25</v>
      </c>
      <c r="M11" s="33">
        <f>+'11'!D12</f>
        <v>101994.75</v>
      </c>
      <c r="N11" s="33">
        <f>+'12'!D12</f>
        <v>11465.25</v>
      </c>
      <c r="O11" s="33"/>
      <c r="P11" s="33"/>
      <c r="Q11" s="33"/>
      <c r="R11" s="33"/>
      <c r="S11" s="33"/>
      <c r="T11" s="33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86">
        <f t="shared" si="0"/>
        <v>1515244</v>
      </c>
      <c r="AJ11" s="167"/>
      <c r="AK11" s="121">
        <f>+AH11-AJ11</f>
        <v>1515244</v>
      </c>
    </row>
    <row r="12" spans="1:38" s="65" customFormat="1" ht="20.25">
      <c r="A12" s="32"/>
      <c r="B12" s="64" t="s">
        <v>58</v>
      </c>
      <c r="C12" s="60">
        <f>+'01'!D13</f>
        <v>0</v>
      </c>
      <c r="D12" s="33">
        <f>+'02'!D13</f>
        <v>0</v>
      </c>
      <c r="E12" s="33">
        <f>+'03'!D13</f>
        <v>0</v>
      </c>
      <c r="F12" s="33">
        <f>+'04'!D13</f>
        <v>0</v>
      </c>
      <c r="G12" s="33">
        <f>+'05'!D13</f>
        <v>0</v>
      </c>
      <c r="H12" s="33">
        <f>+'06'!D13</f>
        <v>0</v>
      </c>
      <c r="I12" s="33">
        <f>+'07'!D13</f>
        <v>0</v>
      </c>
      <c r="J12" s="33">
        <f>+'08'!D13</f>
        <v>0</v>
      </c>
      <c r="K12" s="33">
        <f>+'09'!D13</f>
        <v>0</v>
      </c>
      <c r="L12" s="33">
        <f>+'10'!D13</f>
        <v>0</v>
      </c>
      <c r="M12" s="33">
        <f>+'11'!D13</f>
        <v>0</v>
      </c>
      <c r="N12" s="33">
        <f>+'12'!D13</f>
        <v>0</v>
      </c>
      <c r="O12" s="33"/>
      <c r="P12" s="33"/>
      <c r="Q12" s="33"/>
      <c r="R12" s="33"/>
      <c r="S12" s="33"/>
      <c r="T12" s="33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86">
        <f t="shared" si="0"/>
        <v>0</v>
      </c>
      <c r="AJ12" s="167"/>
      <c r="AK12" s="121">
        <f t="shared" ref="AK12:AK20" si="2">+AH12-AJ12</f>
        <v>0</v>
      </c>
    </row>
    <row r="13" spans="1:38" s="65" customFormat="1" ht="20.25">
      <c r="A13" s="32">
        <v>6</v>
      </c>
      <c r="B13" s="64" t="s">
        <v>59</v>
      </c>
      <c r="C13" s="60">
        <f>+'01'!D14</f>
        <v>0</v>
      </c>
      <c r="D13" s="33">
        <f>+'02'!D14</f>
        <v>0</v>
      </c>
      <c r="E13" s="33">
        <f>+'03'!D14</f>
        <v>251744.69</v>
      </c>
      <c r="F13" s="33">
        <f>+'04'!D14</f>
        <v>28292.75</v>
      </c>
      <c r="G13" s="33">
        <f>+'05'!D14</f>
        <v>97963</v>
      </c>
      <c r="H13" s="33">
        <f>+'06'!D14</f>
        <v>18868.54</v>
      </c>
      <c r="I13" s="33">
        <f>+'07'!D14</f>
        <v>19090</v>
      </c>
      <c r="J13" s="33">
        <f>+'08'!D14</f>
        <v>0</v>
      </c>
      <c r="K13" s="33">
        <f>+'09'!D14</f>
        <v>29935.54</v>
      </c>
      <c r="L13" s="33">
        <f>+'10'!D14</f>
        <v>27436.75</v>
      </c>
      <c r="M13" s="33">
        <f>+'11'!D14</f>
        <v>27597.75</v>
      </c>
      <c r="N13" s="33">
        <f>+'12'!D14</f>
        <v>18074.75</v>
      </c>
      <c r="O13" s="33"/>
      <c r="P13" s="33"/>
      <c r="Q13" s="33"/>
      <c r="R13" s="33"/>
      <c r="S13" s="33"/>
      <c r="T13" s="33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86">
        <f t="shared" si="0"/>
        <v>519003.76999999996</v>
      </c>
      <c r="AJ13" s="167"/>
      <c r="AK13" s="121">
        <f t="shared" si="2"/>
        <v>519003.76999999996</v>
      </c>
    </row>
    <row r="14" spans="1:38" s="65" customFormat="1" ht="20.25">
      <c r="A14" s="32"/>
      <c r="B14" s="64" t="s">
        <v>60</v>
      </c>
      <c r="C14" s="60">
        <f>+'01'!D15</f>
        <v>0</v>
      </c>
      <c r="D14" s="33">
        <f>+'02'!D15</f>
        <v>0</v>
      </c>
      <c r="E14" s="33">
        <f>+'03'!D15</f>
        <v>0</v>
      </c>
      <c r="F14" s="33">
        <f>+'04'!D15</f>
        <v>0</v>
      </c>
      <c r="G14" s="33">
        <f>+'05'!D15</f>
        <v>0</v>
      </c>
      <c r="H14" s="33">
        <f>+'06'!D15</f>
        <v>0</v>
      </c>
      <c r="I14" s="33">
        <f>+'07'!D15</f>
        <v>0</v>
      </c>
      <c r="J14" s="33">
        <f>+'08'!D15</f>
        <v>0</v>
      </c>
      <c r="K14" s="33">
        <f>+'09'!D15</f>
        <v>0</v>
      </c>
      <c r="L14" s="33">
        <f>+'10'!D15</f>
        <v>12192</v>
      </c>
      <c r="M14" s="33" t="e">
        <f>+'11'!#REF!</f>
        <v>#REF!</v>
      </c>
      <c r="N14" s="33">
        <f>+'12'!D15</f>
        <v>0</v>
      </c>
      <c r="O14" s="33"/>
      <c r="P14" s="33"/>
      <c r="Q14" s="33"/>
      <c r="R14" s="33"/>
      <c r="S14" s="33"/>
      <c r="T14" s="33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86" t="e">
        <f t="shared" si="0"/>
        <v>#REF!</v>
      </c>
      <c r="AJ14" s="167"/>
      <c r="AK14" s="121" t="e">
        <f t="shared" si="2"/>
        <v>#REF!</v>
      </c>
      <c r="AL14" s="122"/>
    </row>
    <row r="15" spans="1:38" s="65" customFormat="1" ht="20.25">
      <c r="A15" s="32">
        <v>7</v>
      </c>
      <c r="B15" s="64" t="s">
        <v>61</v>
      </c>
      <c r="C15" s="60">
        <f>+'01'!D16</f>
        <v>7239</v>
      </c>
      <c r="D15" s="33">
        <f>+'02'!D16</f>
        <v>30121</v>
      </c>
      <c r="E15" s="33">
        <f>+'03'!D16</f>
        <v>58020</v>
      </c>
      <c r="F15" s="33">
        <f>+'04'!D16</f>
        <v>19277.5</v>
      </c>
      <c r="G15" s="33">
        <f>+'05'!D16</f>
        <v>23759.75</v>
      </c>
      <c r="H15" s="33">
        <f>+'06'!D16</f>
        <v>10755</v>
      </c>
      <c r="I15" s="33">
        <f>+'07'!D16</f>
        <v>20087</v>
      </c>
      <c r="J15" s="33">
        <f>+'08'!D16</f>
        <v>24517.75</v>
      </c>
      <c r="K15" s="33">
        <f>+'09'!D16</f>
        <v>24679.25</v>
      </c>
      <c r="L15" s="33">
        <f>+'10'!D16</f>
        <v>12590.25</v>
      </c>
      <c r="M15" s="33">
        <f>+'11'!D16</f>
        <v>31367.5</v>
      </c>
      <c r="N15" s="33">
        <f>+'12'!D16</f>
        <v>33764.199999999997</v>
      </c>
      <c r="O15" s="33"/>
      <c r="P15" s="33"/>
      <c r="Q15" s="33"/>
      <c r="R15" s="33"/>
      <c r="S15" s="33"/>
      <c r="T15" s="33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86">
        <f t="shared" si="0"/>
        <v>296178.2</v>
      </c>
      <c r="AJ15" s="167"/>
      <c r="AK15" s="121">
        <f t="shared" si="2"/>
        <v>296178.2</v>
      </c>
      <c r="AL15" s="122"/>
    </row>
    <row r="16" spans="1:38" s="65" customFormat="1" ht="20.25">
      <c r="A16" s="32"/>
      <c r="B16" s="64" t="s">
        <v>62</v>
      </c>
      <c r="C16" s="60">
        <f>+'01'!D17</f>
        <v>127214</v>
      </c>
      <c r="D16" s="33">
        <f>+'02'!D17</f>
        <v>11539</v>
      </c>
      <c r="E16" s="33">
        <f>+'03'!D17</f>
        <v>154651.5</v>
      </c>
      <c r="F16" s="33">
        <f>+'04'!D17</f>
        <v>205807.5</v>
      </c>
      <c r="G16" s="33">
        <f>+'05'!D17</f>
        <v>50020.05</v>
      </c>
      <c r="H16" s="33">
        <f>+'06'!D17</f>
        <v>61025.29</v>
      </c>
      <c r="I16" s="33">
        <f>+'07'!D17</f>
        <v>36617.5</v>
      </c>
      <c r="J16" s="33">
        <f>+'08'!D17</f>
        <v>110000</v>
      </c>
      <c r="K16" s="33">
        <f>+'09'!D17</f>
        <v>118398.25</v>
      </c>
      <c r="L16" s="33">
        <f>+'10'!D17</f>
        <v>68207</v>
      </c>
      <c r="M16" s="33">
        <f>+'11'!D17</f>
        <v>52150</v>
      </c>
      <c r="N16" s="33">
        <f>+'12'!D17</f>
        <v>18635</v>
      </c>
      <c r="O16" s="33"/>
      <c r="P16" s="33"/>
      <c r="Q16" s="33"/>
      <c r="R16" s="33"/>
      <c r="S16" s="33"/>
      <c r="T16" s="33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86">
        <f t="shared" si="0"/>
        <v>1014265.0900000001</v>
      </c>
      <c r="AJ16" s="167"/>
      <c r="AK16" s="121">
        <f t="shared" si="2"/>
        <v>1014265.0900000001</v>
      </c>
      <c r="AL16" s="122"/>
    </row>
    <row r="17" spans="1:38" s="69" customFormat="1" ht="20.25">
      <c r="A17" s="26">
        <v>8</v>
      </c>
      <c r="B17" s="25" t="s">
        <v>51</v>
      </c>
      <c r="C17" s="67">
        <f>+'01'!D18</f>
        <v>25213.75</v>
      </c>
      <c r="D17" s="68">
        <f>+'02'!D18</f>
        <v>27194.5</v>
      </c>
      <c r="E17" s="68">
        <f>+'03'!D18</f>
        <v>14609.61</v>
      </c>
      <c r="F17" s="68">
        <f>+'04'!D18</f>
        <v>5605.25</v>
      </c>
      <c r="G17" s="68">
        <f>+'05'!D18</f>
        <v>236441.60000000001</v>
      </c>
      <c r="H17" s="68">
        <f>+'06'!D18</f>
        <v>99126.25</v>
      </c>
      <c r="I17" s="68">
        <f>+'07'!D18</f>
        <v>0</v>
      </c>
      <c r="J17" s="68">
        <f>+'08'!D18</f>
        <v>115636.25</v>
      </c>
      <c r="K17" s="68">
        <f>+'09'!D18</f>
        <v>1111</v>
      </c>
      <c r="L17" s="68">
        <f>+'10'!D18</f>
        <v>2200</v>
      </c>
      <c r="M17" s="68">
        <f>+'11'!D18</f>
        <v>15872.46</v>
      </c>
      <c r="N17" s="68">
        <f>+'12'!D18</f>
        <v>6342</v>
      </c>
      <c r="O17" s="68"/>
      <c r="P17" s="68"/>
      <c r="Q17" s="68"/>
      <c r="R17" s="68"/>
      <c r="S17" s="68"/>
      <c r="T17" s="68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87">
        <f t="shared" si="0"/>
        <v>549352.66999999993</v>
      </c>
      <c r="AJ17" s="170"/>
      <c r="AK17" s="121">
        <f t="shared" si="2"/>
        <v>549352.66999999993</v>
      </c>
      <c r="AL17" s="123"/>
    </row>
    <row r="18" spans="1:38" s="69" customFormat="1" ht="20.25">
      <c r="A18" s="26"/>
      <c r="B18" s="25" t="s">
        <v>52</v>
      </c>
      <c r="C18" s="67">
        <f>+'01'!D19</f>
        <v>125498.75</v>
      </c>
      <c r="D18" s="68">
        <f>+'02'!D19</f>
        <v>132334.75</v>
      </c>
      <c r="E18" s="68">
        <f>+'03'!D19</f>
        <v>192659.1</v>
      </c>
      <c r="F18" s="68">
        <f>+'04'!D19</f>
        <v>194130.65</v>
      </c>
      <c r="G18" s="68">
        <f>+'05'!D19</f>
        <v>89096</v>
      </c>
      <c r="H18" s="68">
        <f>+'06'!D19</f>
        <v>0</v>
      </c>
      <c r="I18" s="68">
        <f>+'07'!D19</f>
        <v>3809.75</v>
      </c>
      <c r="J18" s="68">
        <f>+'08'!D19</f>
        <v>1427767.17</v>
      </c>
      <c r="K18" s="68">
        <f>+'09'!D19</f>
        <v>128417.54</v>
      </c>
      <c r="L18" s="68">
        <f>+'10'!D19</f>
        <v>35649.25</v>
      </c>
      <c r="M18" s="68">
        <f>+'11'!D19</f>
        <v>263533.25</v>
      </c>
      <c r="N18" s="68">
        <f>+'12'!D19</f>
        <v>58909.97</v>
      </c>
      <c r="O18" s="68"/>
      <c r="P18" s="68"/>
      <c r="Q18" s="68"/>
      <c r="R18" s="68"/>
      <c r="S18" s="68"/>
      <c r="T18" s="68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87">
        <f>+C18+D18+E18+F18+G18+H18+I18+J18+K18+L18+M18+N18+O18+P18+Q18+R18+S18+T18+U18+V18+W18+X18+Y18+Z18+AA18+AB18+AC18+AD18+AE18+AF18+AG18</f>
        <v>2651806.1800000002</v>
      </c>
      <c r="AJ18" s="170"/>
      <c r="AK18" s="121">
        <f t="shared" si="2"/>
        <v>2651806.1800000002</v>
      </c>
      <c r="AL18" s="123"/>
    </row>
    <row r="19" spans="1:38" s="71" customFormat="1">
      <c r="A19" s="27">
        <v>9</v>
      </c>
      <c r="B19" s="70" t="s">
        <v>63</v>
      </c>
      <c r="C19" s="30">
        <f>+'01'!D20</f>
        <v>0</v>
      </c>
      <c r="D19" s="17">
        <f>+'02'!D20</f>
        <v>0</v>
      </c>
      <c r="E19" s="17">
        <f>+'03'!D20</f>
        <v>0</v>
      </c>
      <c r="F19" s="17">
        <f>+'04'!D20</f>
        <v>0</v>
      </c>
      <c r="G19" s="17">
        <f>+'05'!D20</f>
        <v>0</v>
      </c>
      <c r="H19" s="17">
        <f>+'06'!D20</f>
        <v>0</v>
      </c>
      <c r="I19" s="17">
        <f>+'07'!D20</f>
        <v>180409.49</v>
      </c>
      <c r="J19" s="17">
        <f>+'08'!D20</f>
        <v>168326.84</v>
      </c>
      <c r="K19" s="17">
        <f>+'09'!D20</f>
        <v>41760</v>
      </c>
      <c r="L19" s="17">
        <f>+'10'!D20</f>
        <v>0</v>
      </c>
      <c r="M19" s="17">
        <f>+'11'!D20</f>
        <v>0</v>
      </c>
      <c r="N19" s="17">
        <f>+'12'!D20</f>
        <v>0</v>
      </c>
      <c r="O19" s="17"/>
      <c r="P19" s="17"/>
      <c r="Q19" s="17"/>
      <c r="R19" s="17"/>
      <c r="S19" s="17"/>
      <c r="T19" s="17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88">
        <f t="shared" si="0"/>
        <v>390496.32999999996</v>
      </c>
      <c r="AJ19" s="164"/>
      <c r="AK19" s="121">
        <f t="shared" si="2"/>
        <v>390496.32999999996</v>
      </c>
    </row>
    <row r="20" spans="1:38" s="71" customFormat="1">
      <c r="A20" s="27"/>
      <c r="B20" s="70" t="s">
        <v>64</v>
      </c>
      <c r="C20" s="30">
        <f>+'01'!D21</f>
        <v>0</v>
      </c>
      <c r="D20" s="17">
        <f>+'02'!D21</f>
        <v>0</v>
      </c>
      <c r="E20" s="17">
        <f>+'03'!D21</f>
        <v>0</v>
      </c>
      <c r="F20" s="17">
        <f>+'04'!D21</f>
        <v>0</v>
      </c>
      <c r="G20" s="17">
        <f>+'05'!D21</f>
        <v>0</v>
      </c>
      <c r="H20" s="17">
        <f>+'06'!D21</f>
        <v>0</v>
      </c>
      <c r="I20" s="17">
        <f>+'07'!D21</f>
        <v>0</v>
      </c>
      <c r="J20" s="17">
        <f>+'08'!D21</f>
        <v>366945.81</v>
      </c>
      <c r="K20" s="17">
        <f>+'09'!D21</f>
        <v>0</v>
      </c>
      <c r="L20" s="17">
        <f>+'10'!D21</f>
        <v>0</v>
      </c>
      <c r="M20" s="17">
        <f>+'11'!D21</f>
        <v>0</v>
      </c>
      <c r="N20" s="17">
        <f>+'12'!D21</f>
        <v>0</v>
      </c>
      <c r="O20" s="17"/>
      <c r="P20" s="17"/>
      <c r="Q20" s="17"/>
      <c r="R20" s="17"/>
      <c r="S20" s="17"/>
      <c r="T20" s="17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88">
        <f t="shared" si="0"/>
        <v>366945.81</v>
      </c>
      <c r="AJ20" s="164"/>
      <c r="AK20" s="121">
        <f t="shared" si="2"/>
        <v>366945.81</v>
      </c>
    </row>
    <row r="21" spans="1:38" s="15" customFormat="1">
      <c r="A21" s="11">
        <v>10</v>
      </c>
      <c r="B21" s="12" t="s">
        <v>65</v>
      </c>
      <c r="C21" s="56">
        <f>+'01'!D22</f>
        <v>1660407.46</v>
      </c>
      <c r="D21" s="7">
        <f>+'02'!D22</f>
        <v>938187.56</v>
      </c>
      <c r="E21" s="7">
        <f>+'03'!D22</f>
        <v>865509.33</v>
      </c>
      <c r="F21" s="7">
        <f>+'04'!D22</f>
        <v>774877.8</v>
      </c>
      <c r="G21" s="7">
        <f>+'05'!D22</f>
        <v>226607</v>
      </c>
      <c r="H21" s="7">
        <f>+'06'!D22</f>
        <v>133636.25</v>
      </c>
      <c r="I21" s="7">
        <f>+'07'!D22</f>
        <v>978100.91</v>
      </c>
      <c r="J21" s="7">
        <f>+'08'!D22</f>
        <v>838568.94</v>
      </c>
      <c r="K21" s="7">
        <f>+'09'!D22</f>
        <v>983400.33</v>
      </c>
      <c r="L21" s="7">
        <f>+'10'!D22</f>
        <v>936833.08</v>
      </c>
      <c r="M21" s="7">
        <f>+'11'!D22</f>
        <v>730131.14</v>
      </c>
      <c r="N21" s="7">
        <f>+'12'!D22</f>
        <v>80634.75</v>
      </c>
      <c r="O21" s="7"/>
      <c r="P21" s="7"/>
      <c r="Q21" s="7"/>
      <c r="R21" s="7"/>
      <c r="S21" s="7"/>
      <c r="T21" s="7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85">
        <f t="shared" si="0"/>
        <v>9146894.5500000007</v>
      </c>
      <c r="AJ21" s="171"/>
      <c r="AK21" s="31">
        <f>+AH21-AJ21</f>
        <v>9146894.5500000007</v>
      </c>
    </row>
    <row r="22" spans="1:38">
      <c r="A22" s="95"/>
      <c r="B22" s="96" t="s">
        <v>22</v>
      </c>
      <c r="C22" s="97">
        <f>+'01'!D23</f>
        <v>6699.49</v>
      </c>
      <c r="D22" s="98">
        <f>+'02'!D23</f>
        <v>10215.86</v>
      </c>
      <c r="E22" s="98">
        <f>+'03'!D23</f>
        <v>12373.25</v>
      </c>
      <c r="F22" s="98">
        <f>+'04'!D23</f>
        <v>17662.25</v>
      </c>
      <c r="G22" s="98">
        <f>+'05'!D23</f>
        <v>0</v>
      </c>
      <c r="H22" s="98">
        <f>+'06'!D23</f>
        <v>0</v>
      </c>
      <c r="I22" s="98">
        <f>+'07'!D23</f>
        <v>13612.5</v>
      </c>
      <c r="J22" s="98">
        <f>+'08'!D23</f>
        <v>61550.25</v>
      </c>
      <c r="K22" s="98">
        <f>+'09'!D23</f>
        <v>31911.1</v>
      </c>
      <c r="L22" s="98">
        <f>+'10'!D23</f>
        <v>6565</v>
      </c>
      <c r="M22" s="98">
        <f>+'11'!D23</f>
        <v>15900.5</v>
      </c>
      <c r="N22" s="98">
        <f>+'12'!D23</f>
        <v>8150</v>
      </c>
      <c r="O22" s="98"/>
      <c r="P22" s="98"/>
      <c r="Q22" s="98"/>
      <c r="R22" s="98"/>
      <c r="S22" s="98"/>
      <c r="T22" s="98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>
        <f t="shared" si="0"/>
        <v>184640.2</v>
      </c>
      <c r="AJ22" s="164"/>
      <c r="AK22" s="31">
        <f t="shared" ref="AK22:AK50" si="3">+AH22-AJ22</f>
        <v>184640.2</v>
      </c>
    </row>
    <row r="23" spans="1:38">
      <c r="A23" s="10"/>
      <c r="B23" s="12" t="s">
        <v>66</v>
      </c>
      <c r="C23" s="56">
        <f>+'01'!D24</f>
        <v>0</v>
      </c>
      <c r="D23" s="7">
        <f>+'02'!D24</f>
        <v>0</v>
      </c>
      <c r="E23" s="7">
        <f>+'03'!D24</f>
        <v>0</v>
      </c>
      <c r="F23" s="7">
        <f>+'04'!D24</f>
        <v>0</v>
      </c>
      <c r="G23" s="7">
        <f>+'05'!D24</f>
        <v>0</v>
      </c>
      <c r="H23" s="7">
        <f>+'06'!D24</f>
        <v>0</v>
      </c>
      <c r="I23" s="7">
        <f>+'07'!D24</f>
        <v>0</v>
      </c>
      <c r="J23" s="7">
        <f>+'08'!D24</f>
        <v>0</v>
      </c>
      <c r="K23" s="7">
        <f>+'09'!D24</f>
        <v>0</v>
      </c>
      <c r="L23" s="7">
        <f>+'10'!D24</f>
        <v>0</v>
      </c>
      <c r="M23" s="7">
        <f>+'11'!D24</f>
        <v>0</v>
      </c>
      <c r="N23" s="7">
        <f>+'12'!D24</f>
        <v>0</v>
      </c>
      <c r="O23" s="7"/>
      <c r="P23" s="7"/>
      <c r="Q23" s="7"/>
      <c r="R23" s="7"/>
      <c r="S23" s="7"/>
      <c r="T23" s="7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85">
        <f t="shared" si="0"/>
        <v>0</v>
      </c>
      <c r="AJ23" s="164"/>
      <c r="AK23" s="31">
        <f t="shared" si="3"/>
        <v>0</v>
      </c>
    </row>
    <row r="24" spans="1:38">
      <c r="A24" s="95"/>
      <c r="B24" s="96" t="s">
        <v>24</v>
      </c>
      <c r="C24" s="97">
        <f>+'01'!D25</f>
        <v>0</v>
      </c>
      <c r="D24" s="98">
        <f>+'02'!D25</f>
        <v>0</v>
      </c>
      <c r="E24" s="98">
        <f>+'03'!D25</f>
        <v>0</v>
      </c>
      <c r="F24" s="98">
        <f>+'04'!D25</f>
        <v>0</v>
      </c>
      <c r="G24" s="98">
        <f>+'05'!D25</f>
        <v>0</v>
      </c>
      <c r="H24" s="98">
        <f>+'06'!D25</f>
        <v>0</v>
      </c>
      <c r="I24" s="98">
        <f>+'07'!D25</f>
        <v>0</v>
      </c>
      <c r="J24" s="98">
        <f>+'08'!D25</f>
        <v>0</v>
      </c>
      <c r="K24" s="98">
        <f>+'09'!D25</f>
        <v>0</v>
      </c>
      <c r="L24" s="98">
        <f>+'10'!D25</f>
        <v>0</v>
      </c>
      <c r="M24" s="98">
        <f>+'11'!D25</f>
        <v>0</v>
      </c>
      <c r="N24" s="98">
        <f>+'12'!D25</f>
        <v>0</v>
      </c>
      <c r="O24" s="98"/>
      <c r="P24" s="98"/>
      <c r="Q24" s="98"/>
      <c r="R24" s="98"/>
      <c r="S24" s="98"/>
      <c r="T24" s="98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>
        <f t="shared" si="0"/>
        <v>0</v>
      </c>
      <c r="AJ24" s="164"/>
      <c r="AK24" s="31">
        <f t="shared" si="3"/>
        <v>0</v>
      </c>
    </row>
    <row r="25" spans="1:38">
      <c r="A25" s="10"/>
      <c r="B25" s="12" t="s">
        <v>67</v>
      </c>
      <c r="C25" s="56">
        <f>+'01'!D26</f>
        <v>9047.5</v>
      </c>
      <c r="D25" s="7">
        <f>+'02'!D26</f>
        <v>7115.5</v>
      </c>
      <c r="E25" s="7">
        <f>+'03'!D26</f>
        <v>2410</v>
      </c>
      <c r="F25" s="7">
        <f>+'04'!D26</f>
        <v>14704.75</v>
      </c>
      <c r="G25" s="7">
        <f>+'05'!D26</f>
        <v>0</v>
      </c>
      <c r="H25" s="7">
        <f>+'06'!D26</f>
        <v>0</v>
      </c>
      <c r="I25" s="7">
        <f>+'07'!D26</f>
        <v>0</v>
      </c>
      <c r="J25" s="7">
        <f>+'08'!D26</f>
        <v>5847.5</v>
      </c>
      <c r="K25" s="7">
        <f>+'09'!D26</f>
        <v>18964</v>
      </c>
      <c r="L25" s="7">
        <f>+'10'!D26</f>
        <v>6296</v>
      </c>
      <c r="M25" s="7">
        <f>+'11'!D26</f>
        <v>3360</v>
      </c>
      <c r="N25" s="7">
        <f>+'12'!D26</f>
        <v>0</v>
      </c>
      <c r="O25" s="7"/>
      <c r="P25" s="7"/>
      <c r="Q25" s="7"/>
      <c r="R25" s="7"/>
      <c r="S25" s="7"/>
      <c r="T25" s="7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85">
        <f t="shared" si="0"/>
        <v>67745.25</v>
      </c>
      <c r="AJ25" s="164"/>
      <c r="AK25" s="31">
        <f t="shared" si="3"/>
        <v>67745.25</v>
      </c>
    </row>
    <row r="26" spans="1:38">
      <c r="A26" s="10"/>
      <c r="B26" s="12" t="s">
        <v>68</v>
      </c>
      <c r="C26" s="56">
        <f>+'01'!D27</f>
        <v>4980.5</v>
      </c>
      <c r="D26" s="7">
        <f>+'02'!D27</f>
        <v>664</v>
      </c>
      <c r="E26" s="7">
        <f>+'03'!D27</f>
        <v>2192.5</v>
      </c>
      <c r="F26" s="7">
        <f>+'04'!D27</f>
        <v>1899.25</v>
      </c>
      <c r="G26" s="7">
        <f>+'05'!D27</f>
        <v>0</v>
      </c>
      <c r="H26" s="7">
        <f>+'06'!D27</f>
        <v>0</v>
      </c>
      <c r="I26" s="7">
        <f>+'07'!D27</f>
        <v>1726.5</v>
      </c>
      <c r="J26" s="7">
        <f>+'08'!D27</f>
        <v>1560</v>
      </c>
      <c r="K26" s="7">
        <f>+'09'!D27</f>
        <v>706.5</v>
      </c>
      <c r="L26" s="7">
        <f>+'10'!D27</f>
        <v>944.5</v>
      </c>
      <c r="M26" s="7">
        <f>+'11'!D27</f>
        <v>6848.25</v>
      </c>
      <c r="N26" s="7">
        <f>+'12'!D27</f>
        <v>510</v>
      </c>
      <c r="O26" s="7"/>
      <c r="P26" s="7"/>
      <c r="Q26" s="7"/>
      <c r="R26" s="7"/>
      <c r="S26" s="7"/>
      <c r="T26" s="7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85">
        <f t="shared" si="0"/>
        <v>22032</v>
      </c>
      <c r="AJ26" s="164"/>
      <c r="AK26" s="31">
        <f t="shared" si="3"/>
        <v>22032</v>
      </c>
    </row>
    <row r="27" spans="1:38" s="71" customFormat="1">
      <c r="A27" s="27">
        <v>11</v>
      </c>
      <c r="B27" s="70" t="s">
        <v>69</v>
      </c>
      <c r="C27" s="30">
        <f>+'01'!D33</f>
        <v>1222242.4099999999</v>
      </c>
      <c r="D27" s="17">
        <f>+'02'!D33</f>
        <v>1266343.77</v>
      </c>
      <c r="E27" s="17">
        <f>+'03'!D33</f>
        <v>1167566.58</v>
      </c>
      <c r="F27" s="17">
        <f>+'04'!D33</f>
        <v>1112166.07</v>
      </c>
      <c r="G27" s="17">
        <f>+'05'!D33</f>
        <v>244067.75</v>
      </c>
      <c r="H27" s="17">
        <f>+'06'!D33</f>
        <v>124433.5</v>
      </c>
      <c r="I27" s="17">
        <f>+'07'!D33</f>
        <v>1387628.48</v>
      </c>
      <c r="J27" s="17">
        <f>+'08'!D33</f>
        <v>1241451.93</v>
      </c>
      <c r="K27" s="17">
        <f>+'09'!D33</f>
        <v>1462710.2</v>
      </c>
      <c r="L27" s="17">
        <f>+'10'!D33</f>
        <v>1366664.06</v>
      </c>
      <c r="M27" s="17">
        <f>+'11'!D33</f>
        <v>1122964.57</v>
      </c>
      <c r="N27" s="17">
        <f>+'12'!D33</f>
        <v>228290</v>
      </c>
      <c r="O27" s="17"/>
      <c r="P27" s="17"/>
      <c r="Q27" s="17"/>
      <c r="R27" s="17"/>
      <c r="S27" s="17"/>
      <c r="T27" s="17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88">
        <f t="shared" si="0"/>
        <v>11946529.32</v>
      </c>
      <c r="AJ27" s="164"/>
      <c r="AK27" s="31">
        <f>+AH27-AJ27</f>
        <v>11946529.32</v>
      </c>
    </row>
    <row r="28" spans="1:38" s="71" customFormat="1">
      <c r="A28" s="27"/>
      <c r="B28" s="70" t="s">
        <v>70</v>
      </c>
      <c r="C28" s="30">
        <f>+'01'!D34</f>
        <v>370752.2</v>
      </c>
      <c r="D28" s="17">
        <f>+'02'!D34</f>
        <v>615414.86</v>
      </c>
      <c r="E28" s="17">
        <f>+'03'!D34</f>
        <v>674531.67</v>
      </c>
      <c r="F28" s="17">
        <f>+'04'!D34</f>
        <v>529573.55000000005</v>
      </c>
      <c r="G28" s="17">
        <f>+'05'!D34</f>
        <v>61069</v>
      </c>
      <c r="H28" s="17">
        <f>+'06'!D34</f>
        <v>116071.5</v>
      </c>
      <c r="I28" s="17">
        <f>+'07'!D34</f>
        <v>570201.81000000006</v>
      </c>
      <c r="J28" s="17">
        <f>+'08'!D34</f>
        <v>638330.56999999995</v>
      </c>
      <c r="K28" s="17">
        <f>+'09'!D34</f>
        <v>611267.23</v>
      </c>
      <c r="L28" s="17">
        <f>+'10'!D34</f>
        <v>658466.92000000004</v>
      </c>
      <c r="M28" s="17">
        <f>+'11'!D34</f>
        <v>412806.98</v>
      </c>
      <c r="N28" s="17">
        <f>+'12'!D34</f>
        <v>106269.5</v>
      </c>
      <c r="O28" s="17"/>
      <c r="P28" s="17"/>
      <c r="Q28" s="17"/>
      <c r="R28" s="17"/>
      <c r="S28" s="17"/>
      <c r="T28" s="17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88">
        <f t="shared" si="0"/>
        <v>5364755.790000001</v>
      </c>
      <c r="AJ28" s="164"/>
      <c r="AK28" s="31">
        <f t="shared" si="3"/>
        <v>5364755.790000001</v>
      </c>
    </row>
    <row r="29" spans="1:38" s="71" customFormat="1">
      <c r="A29" s="27"/>
      <c r="B29" s="70" t="s">
        <v>71</v>
      </c>
      <c r="C29" s="30">
        <f>+'01'!D35</f>
        <v>22118</v>
      </c>
      <c r="D29" s="17">
        <f>+'02'!D35</f>
        <v>35414</v>
      </c>
      <c r="E29" s="17">
        <f>+'03'!D35</f>
        <v>27541.25</v>
      </c>
      <c r="F29" s="17">
        <f>+'04'!D35</f>
        <v>28076.86</v>
      </c>
      <c r="G29" s="17">
        <f>+'05'!D35</f>
        <v>19832</v>
      </c>
      <c r="H29" s="17">
        <f>+'06'!D35</f>
        <v>1765</v>
      </c>
      <c r="I29" s="17">
        <f>+'07'!D35</f>
        <v>61644.75</v>
      </c>
      <c r="J29" s="17">
        <f>+'08'!D35</f>
        <v>16419.990000000002</v>
      </c>
      <c r="K29" s="17">
        <f>+'09'!D35</f>
        <v>26275.5</v>
      </c>
      <c r="L29" s="17">
        <f>+'10'!D35</f>
        <v>67903</v>
      </c>
      <c r="M29" s="17">
        <f>+'11'!D35</f>
        <v>55226.61</v>
      </c>
      <c r="N29" s="17">
        <f>+'12'!D35</f>
        <v>14794.5</v>
      </c>
      <c r="O29" s="17"/>
      <c r="P29" s="17"/>
      <c r="Q29" s="17"/>
      <c r="R29" s="17"/>
      <c r="S29" s="17"/>
      <c r="T29" s="17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88">
        <f t="shared" si="0"/>
        <v>377011.45999999996</v>
      </c>
      <c r="AJ29" s="164"/>
      <c r="AK29" s="31">
        <f t="shared" si="3"/>
        <v>377011.45999999996</v>
      </c>
    </row>
    <row r="30" spans="1:38" s="71" customFormat="1">
      <c r="A30" s="27"/>
      <c r="B30" s="70" t="s">
        <v>72</v>
      </c>
      <c r="C30" s="30">
        <f>+'01'!D37</f>
        <v>5820</v>
      </c>
      <c r="D30" s="17">
        <f>+'02'!D37</f>
        <v>2685</v>
      </c>
      <c r="E30" s="17">
        <f>+'03'!D37</f>
        <v>1555</v>
      </c>
      <c r="F30" s="17">
        <f>+'04'!D37</f>
        <v>1838</v>
      </c>
      <c r="G30" s="17">
        <f>+'05'!D37</f>
        <v>0</v>
      </c>
      <c r="H30" s="17">
        <f>+'06'!D37</f>
        <v>0</v>
      </c>
      <c r="I30" s="17">
        <f>+'07'!D37</f>
        <v>7272.5</v>
      </c>
      <c r="J30" s="17">
        <f>+'08'!D37</f>
        <v>9643</v>
      </c>
      <c r="K30" s="17">
        <f>+'09'!D37</f>
        <v>585</v>
      </c>
      <c r="L30" s="17">
        <f>+'10'!D37</f>
        <v>2430</v>
      </c>
      <c r="M30" s="17">
        <f>+'11'!D37</f>
        <v>4718</v>
      </c>
      <c r="N30" s="17">
        <f>+'12'!D37</f>
        <v>0</v>
      </c>
      <c r="O30" s="17"/>
      <c r="P30" s="17"/>
      <c r="Q30" s="17"/>
      <c r="R30" s="17"/>
      <c r="S30" s="17"/>
      <c r="T30" s="17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88">
        <f t="shared" si="0"/>
        <v>36546.5</v>
      </c>
      <c r="AJ30" s="164"/>
      <c r="AK30" s="31">
        <f t="shared" si="3"/>
        <v>36546.5</v>
      </c>
    </row>
    <row r="31" spans="1:38" s="71" customFormat="1">
      <c r="A31" s="27"/>
      <c r="B31" s="70" t="s">
        <v>73</v>
      </c>
      <c r="C31" s="30">
        <f>+'01'!D38</f>
        <v>1535726.25</v>
      </c>
      <c r="D31" s="17">
        <f>+'02'!D38</f>
        <v>2169107.6800000002</v>
      </c>
      <c r="E31" s="17">
        <f>+'03'!D38</f>
        <v>816129.47</v>
      </c>
      <c r="F31" s="17">
        <f>+'04'!D38</f>
        <v>1251111.17</v>
      </c>
      <c r="G31" s="17">
        <f>+'05'!D38</f>
        <v>1898325.61</v>
      </c>
      <c r="H31" s="17">
        <f>+'06'!D38</f>
        <v>1106423.51</v>
      </c>
      <c r="I31" s="17">
        <f>+'07'!D38</f>
        <v>1621478.16</v>
      </c>
      <c r="J31" s="17">
        <f>+'08'!D38</f>
        <v>1777126.92</v>
      </c>
      <c r="K31" s="17">
        <f>+'09'!D38</f>
        <v>2927898.45</v>
      </c>
      <c r="L31" s="17">
        <f>+'10'!D38</f>
        <v>1960123.87</v>
      </c>
      <c r="M31" s="17">
        <f>+'11'!D38</f>
        <v>1446952.05</v>
      </c>
      <c r="N31" s="17">
        <f>+'12'!D38</f>
        <v>1711422.97</v>
      </c>
      <c r="O31" s="17"/>
      <c r="P31" s="17"/>
      <c r="Q31" s="17"/>
      <c r="R31" s="17"/>
      <c r="S31" s="17"/>
      <c r="T31" s="17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88">
        <f>+C31+D31+E31+F31+G31+H31+I31+J31+K31+L31+M31+N31+O31+P31+Q31+R31+S31+T31+U31+V31+W31+X31+Y31+Z31+AA31+AB31+AC31+AD31+AE31+AF31+AG31</f>
        <v>20221826.110000003</v>
      </c>
      <c r="AJ31" s="164"/>
      <c r="AK31" s="31">
        <f t="shared" si="3"/>
        <v>20221826.110000003</v>
      </c>
    </row>
    <row r="32" spans="1:38" s="71" customFormat="1">
      <c r="A32" s="27"/>
      <c r="B32" s="70" t="s">
        <v>74</v>
      </c>
      <c r="C32" s="30">
        <f>+'01'!D39</f>
        <v>567205.23</v>
      </c>
      <c r="D32" s="17">
        <f>+'02'!D39</f>
        <v>575516.5</v>
      </c>
      <c r="E32" s="17">
        <f>+'03'!D39</f>
        <v>1243635.74</v>
      </c>
      <c r="F32" s="17">
        <f>+'04'!D39</f>
        <v>1717552.71</v>
      </c>
      <c r="G32" s="17">
        <f>+'05'!D39</f>
        <v>1157793.43</v>
      </c>
      <c r="H32" s="17">
        <f>+'06'!D39</f>
        <v>493655.86</v>
      </c>
      <c r="I32" s="17">
        <f>+'07'!D39</f>
        <v>783751.39</v>
      </c>
      <c r="J32" s="17">
        <f>+'08'!D39</f>
        <v>1147823.49</v>
      </c>
      <c r="K32" s="17">
        <f>+'09'!D39</f>
        <v>966376.92</v>
      </c>
      <c r="L32" s="17">
        <f>+'10'!D39</f>
        <v>1601905.36</v>
      </c>
      <c r="M32" s="17">
        <f>+'11'!D39</f>
        <v>1509485.77</v>
      </c>
      <c r="N32" s="17">
        <f>+'12'!D39</f>
        <v>385144.25</v>
      </c>
      <c r="O32" s="17"/>
      <c r="P32" s="17"/>
      <c r="Q32" s="17"/>
      <c r="R32" s="17"/>
      <c r="S32" s="17"/>
      <c r="T32" s="17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88">
        <f t="shared" si="0"/>
        <v>12149846.649999999</v>
      </c>
      <c r="AJ32" s="164"/>
      <c r="AK32" s="31">
        <f t="shared" si="3"/>
        <v>12149846.649999999</v>
      </c>
    </row>
    <row r="33" spans="1:37" s="71" customFormat="1">
      <c r="A33" s="27"/>
      <c r="B33" s="70" t="s">
        <v>75</v>
      </c>
      <c r="C33" s="30">
        <f>+'01'!D40</f>
        <v>2527</v>
      </c>
      <c r="D33" s="17">
        <f>+'02'!D40</f>
        <v>0</v>
      </c>
      <c r="E33" s="17">
        <f>+'03'!D40</f>
        <v>162342.51</v>
      </c>
      <c r="F33" s="17">
        <f>+'04'!D40</f>
        <v>40984.47</v>
      </c>
      <c r="G33" s="17">
        <f>+'05'!D40</f>
        <v>63156.5</v>
      </c>
      <c r="H33" s="17">
        <f>+'06'!D40</f>
        <v>0</v>
      </c>
      <c r="I33" s="17">
        <f>+'07'!D40</f>
        <v>0</v>
      </c>
      <c r="J33" s="17">
        <f>+'08'!D40</f>
        <v>65669.25</v>
      </c>
      <c r="K33" s="17">
        <f>+'09'!D40</f>
        <v>0</v>
      </c>
      <c r="L33" s="17">
        <f>+'10'!D40</f>
        <v>24780.54</v>
      </c>
      <c r="M33" s="17">
        <f>+'11'!D40</f>
        <v>0</v>
      </c>
      <c r="N33" s="17">
        <f>+'12'!D40</f>
        <v>0</v>
      </c>
      <c r="O33" s="17"/>
      <c r="P33" s="17"/>
      <c r="Q33" s="17"/>
      <c r="R33" s="17"/>
      <c r="S33" s="17"/>
      <c r="T33" s="17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88">
        <f t="shared" si="0"/>
        <v>359460.26999999996</v>
      </c>
      <c r="AJ33" s="164"/>
      <c r="AK33" s="31">
        <f t="shared" si="3"/>
        <v>359460.26999999996</v>
      </c>
    </row>
    <row r="34" spans="1:37" s="71" customFormat="1">
      <c r="A34" s="91"/>
      <c r="B34" s="92" t="s">
        <v>34</v>
      </c>
      <c r="C34" s="93">
        <f>+'01'!D41</f>
        <v>754506.97</v>
      </c>
      <c r="D34" s="94">
        <f>+'02'!D41</f>
        <v>993293.46</v>
      </c>
      <c r="E34" s="94">
        <f>+'03'!D41</f>
        <v>1611545.78</v>
      </c>
      <c r="F34" s="94">
        <f>+'04'!D41</f>
        <v>1219605.82</v>
      </c>
      <c r="G34" s="94">
        <f>+'05'!D41</f>
        <v>1334709.92</v>
      </c>
      <c r="H34" s="94">
        <f>+'06'!D41</f>
        <v>493544.22</v>
      </c>
      <c r="I34" s="94">
        <f>+'07'!D41</f>
        <v>1915723.14</v>
      </c>
      <c r="J34" s="94">
        <f>+'08'!D41</f>
        <v>753466.3</v>
      </c>
      <c r="K34" s="94">
        <f>+'09'!D41</f>
        <v>1372885.92</v>
      </c>
      <c r="L34" s="94">
        <f>+'10'!D41</f>
        <v>1304515.0900000001</v>
      </c>
      <c r="M34" s="94">
        <f>+'11'!D41</f>
        <v>869365.35</v>
      </c>
      <c r="N34" s="94">
        <f>+'12'!D41</f>
        <v>931177.85</v>
      </c>
      <c r="O34" s="94"/>
      <c r="P34" s="94"/>
      <c r="Q34" s="94"/>
      <c r="R34" s="94"/>
      <c r="S34" s="94"/>
      <c r="T34" s="94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>
        <f t="shared" si="0"/>
        <v>13554339.819999998</v>
      </c>
      <c r="AJ34" s="164"/>
      <c r="AK34" s="31">
        <f t="shared" si="3"/>
        <v>13554339.819999998</v>
      </c>
    </row>
    <row r="35" spans="1:37" s="71" customFormat="1">
      <c r="A35" s="91"/>
      <c r="B35" s="92" t="s">
        <v>35</v>
      </c>
      <c r="C35" s="93">
        <f>+'01'!D42</f>
        <v>248522.75</v>
      </c>
      <c r="D35" s="94">
        <f>+'02'!D42</f>
        <v>1083490</v>
      </c>
      <c r="E35" s="94">
        <f>+'03'!D42</f>
        <v>640976.75</v>
      </c>
      <c r="F35" s="94">
        <f>+'04'!D42</f>
        <v>71301.25</v>
      </c>
      <c r="G35" s="94">
        <f>+'05'!D42</f>
        <v>36374.25</v>
      </c>
      <c r="H35" s="94">
        <f>+'06'!D42</f>
        <v>33857</v>
      </c>
      <c r="I35" s="94">
        <f>+'07'!D42</f>
        <v>99323.5</v>
      </c>
      <c r="J35" s="94">
        <f>+'08'!D42</f>
        <v>39470.5</v>
      </c>
      <c r="K35" s="94">
        <f>+'09'!D42</f>
        <v>162319.98000000001</v>
      </c>
      <c r="L35" s="94">
        <f>+'10'!D42</f>
        <v>74526.75</v>
      </c>
      <c r="M35" s="94">
        <f>+'11'!D42</f>
        <v>422138.5</v>
      </c>
      <c r="N35" s="94">
        <f>+'12'!D42</f>
        <v>230003</v>
      </c>
      <c r="O35" s="94"/>
      <c r="P35" s="94"/>
      <c r="Q35" s="94"/>
      <c r="R35" s="94"/>
      <c r="S35" s="94"/>
      <c r="T35" s="94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>
        <f t="shared" si="0"/>
        <v>3142304.23</v>
      </c>
      <c r="AJ35" s="164"/>
      <c r="AK35" s="31">
        <f t="shared" si="3"/>
        <v>3142304.23</v>
      </c>
    </row>
    <row r="36" spans="1:37">
      <c r="A36" s="10">
        <v>12</v>
      </c>
      <c r="B36" s="12" t="s">
        <v>76</v>
      </c>
      <c r="C36" s="56">
        <f>+'01'!D45</f>
        <v>99602.5</v>
      </c>
      <c r="D36" s="7">
        <f>+'02'!D45</f>
        <v>77565</v>
      </c>
      <c r="E36" s="7">
        <f>+'03'!D45</f>
        <v>65053.36</v>
      </c>
      <c r="F36" s="7">
        <f>+'04'!D45</f>
        <v>84567.75</v>
      </c>
      <c r="G36" s="7">
        <f>+'05'!D45</f>
        <v>7652</v>
      </c>
      <c r="H36" s="7">
        <f>+'06'!D45</f>
        <v>11894.5</v>
      </c>
      <c r="I36" s="7">
        <f>+'07'!D45</f>
        <v>71145.87</v>
      </c>
      <c r="J36" s="7">
        <f>+'08'!D45</f>
        <v>93009.87</v>
      </c>
      <c r="K36" s="7">
        <f>+'09'!D45</f>
        <v>81143.86</v>
      </c>
      <c r="L36" s="7">
        <f>+'10'!D45</f>
        <v>90666.33</v>
      </c>
      <c r="M36" s="7">
        <f>+'11'!D45</f>
        <v>92454</v>
      </c>
      <c r="N36" s="7">
        <f>+'12'!D45</f>
        <v>31920.5</v>
      </c>
      <c r="O36" s="7"/>
      <c r="P36" s="7"/>
      <c r="Q36" s="7"/>
      <c r="R36" s="7"/>
      <c r="S36" s="7"/>
      <c r="T36" s="7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85">
        <f t="shared" si="0"/>
        <v>806675.53999999992</v>
      </c>
      <c r="AJ36" s="164"/>
      <c r="AK36" s="31">
        <f t="shared" si="3"/>
        <v>806675.53999999992</v>
      </c>
    </row>
    <row r="37" spans="1:37">
      <c r="A37" s="10"/>
      <c r="B37" s="12" t="s">
        <v>77</v>
      </c>
      <c r="C37" s="56">
        <f>+'01'!D46</f>
        <v>1321</v>
      </c>
      <c r="D37" s="7">
        <f>+'02'!D46</f>
        <v>6417</v>
      </c>
      <c r="E37" s="7">
        <f>+'03'!D46</f>
        <v>2872.5</v>
      </c>
      <c r="F37" s="7">
        <f>+'04'!D46</f>
        <v>410</v>
      </c>
      <c r="G37" s="7">
        <f>+'05'!D46</f>
        <v>0</v>
      </c>
      <c r="H37" s="7">
        <f>+'06'!D46</f>
        <v>0</v>
      </c>
      <c r="I37" s="7">
        <f>+'07'!D46</f>
        <v>16377.49</v>
      </c>
      <c r="J37" s="7">
        <f>+'08'!D46</f>
        <v>7111</v>
      </c>
      <c r="K37" s="7">
        <f>+'09'!D46</f>
        <v>0</v>
      </c>
      <c r="L37" s="7">
        <f>+'10'!D46</f>
        <v>0</v>
      </c>
      <c r="M37" s="7">
        <f>+'11'!D46</f>
        <v>0</v>
      </c>
      <c r="N37" s="7">
        <f>+'12'!D46</f>
        <v>0</v>
      </c>
      <c r="O37" s="7"/>
      <c r="P37" s="7"/>
      <c r="Q37" s="7"/>
      <c r="R37" s="7"/>
      <c r="S37" s="7"/>
      <c r="T37" s="7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85">
        <f t="shared" si="0"/>
        <v>34508.99</v>
      </c>
      <c r="AJ37" s="164"/>
      <c r="AK37" s="31">
        <f t="shared" si="3"/>
        <v>34508.99</v>
      </c>
    </row>
    <row r="38" spans="1:37" s="71" customFormat="1">
      <c r="A38" s="27">
        <v>13</v>
      </c>
      <c r="B38" s="70" t="s">
        <v>78</v>
      </c>
      <c r="C38" s="30">
        <f>+'01'!D50</f>
        <v>6976.5</v>
      </c>
      <c r="D38" s="17">
        <f>+'02'!D50</f>
        <v>5246.5</v>
      </c>
      <c r="E38" s="17">
        <f>+'03'!D50</f>
        <v>1519</v>
      </c>
      <c r="F38" s="17">
        <f>+'04'!D50</f>
        <v>190</v>
      </c>
      <c r="G38" s="17">
        <f>+'05'!D50</f>
        <v>0</v>
      </c>
      <c r="H38" s="17">
        <f>+'06'!D50</f>
        <v>0</v>
      </c>
      <c r="I38" s="17">
        <f>+'07'!D50</f>
        <v>0</v>
      </c>
      <c r="J38" s="17">
        <f>+'08'!D50</f>
        <v>130</v>
      </c>
      <c r="K38" s="17">
        <f>+'09'!D50</f>
        <v>0</v>
      </c>
      <c r="L38" s="17">
        <f>+'10'!D50</f>
        <v>0</v>
      </c>
      <c r="M38" s="17">
        <f>+'11'!D50</f>
        <v>1313.5</v>
      </c>
      <c r="N38" s="17">
        <f>+'12'!D50</f>
        <v>0</v>
      </c>
      <c r="O38" s="17"/>
      <c r="P38" s="17"/>
      <c r="Q38" s="17"/>
      <c r="R38" s="17"/>
      <c r="S38" s="17"/>
      <c r="T38" s="17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88">
        <f t="shared" si="0"/>
        <v>15375.5</v>
      </c>
      <c r="AJ38" s="164"/>
      <c r="AK38" s="31">
        <f t="shared" si="3"/>
        <v>15375.5</v>
      </c>
    </row>
    <row r="39" spans="1:37" s="71" customFormat="1">
      <c r="A39" s="27"/>
      <c r="B39" s="75" t="s">
        <v>79</v>
      </c>
      <c r="C39" s="30">
        <f>+'01'!D51</f>
        <v>0</v>
      </c>
      <c r="D39" s="17">
        <f>+'02'!D51</f>
        <v>333</v>
      </c>
      <c r="E39" s="17">
        <f>+'03'!D51</f>
        <v>0</v>
      </c>
      <c r="F39" s="17">
        <f>+'04'!D51</f>
        <v>0</v>
      </c>
      <c r="G39" s="17">
        <f>+'05'!D51</f>
        <v>0</v>
      </c>
      <c r="H39" s="17">
        <f>+'06'!D51</f>
        <v>0</v>
      </c>
      <c r="I39" s="17">
        <f>+'07'!D51</f>
        <v>0</v>
      </c>
      <c r="J39" s="17">
        <f>+'08'!D51</f>
        <v>0</v>
      </c>
      <c r="K39" s="17">
        <f>+'09'!D51</f>
        <v>0</v>
      </c>
      <c r="L39" s="17">
        <f>+'10'!D51</f>
        <v>0</v>
      </c>
      <c r="M39" s="17">
        <f>+'11'!D51</f>
        <v>0</v>
      </c>
      <c r="N39" s="17">
        <f>+'12'!D51</f>
        <v>0</v>
      </c>
      <c r="O39" s="17"/>
      <c r="P39" s="17"/>
      <c r="Q39" s="17"/>
      <c r="R39" s="17"/>
      <c r="S39" s="17"/>
      <c r="T39" s="17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88">
        <f t="shared" si="0"/>
        <v>333</v>
      </c>
      <c r="AJ39" s="164"/>
      <c r="AK39" s="31">
        <f t="shared" si="3"/>
        <v>333</v>
      </c>
    </row>
    <row r="40" spans="1:37" s="71" customFormat="1" ht="26.25">
      <c r="A40" s="133">
        <v>14</v>
      </c>
      <c r="B40" s="134" t="s">
        <v>99</v>
      </c>
      <c r="C40" s="30">
        <f>+'01'!D52</f>
        <v>0</v>
      </c>
      <c r="D40" s="17">
        <f>+'02'!D52</f>
        <v>0</v>
      </c>
      <c r="E40" s="17">
        <f>+'03'!D52</f>
        <v>0</v>
      </c>
      <c r="F40" s="17">
        <f>+'04'!D52</f>
        <v>0</v>
      </c>
      <c r="G40" s="17">
        <f>+'05'!D52</f>
        <v>0</v>
      </c>
      <c r="H40" s="17">
        <f>+'06'!D52</f>
        <v>0</v>
      </c>
      <c r="I40" s="17">
        <f>+'07'!D52</f>
        <v>246629.84</v>
      </c>
      <c r="J40" s="17">
        <f>+'08'!D52</f>
        <v>0</v>
      </c>
      <c r="K40" s="17">
        <f>+'09'!D52</f>
        <v>0</v>
      </c>
      <c r="L40" s="17">
        <f>+'10'!D52</f>
        <v>0</v>
      </c>
      <c r="M40" s="17">
        <f>+'11'!D52</f>
        <v>0</v>
      </c>
      <c r="N40" s="17">
        <f>+'12'!D52</f>
        <v>0</v>
      </c>
      <c r="O40" s="17"/>
      <c r="P40" s="17"/>
      <c r="Q40" s="17"/>
      <c r="R40" s="17"/>
      <c r="S40" s="17"/>
      <c r="T40" s="17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88">
        <f t="shared" si="0"/>
        <v>246629.84</v>
      </c>
      <c r="AJ40" s="164"/>
      <c r="AK40" s="31">
        <f t="shared" si="3"/>
        <v>246629.84</v>
      </c>
    </row>
    <row r="41" spans="1:37" s="71" customFormat="1" ht="26.25">
      <c r="A41" s="135">
        <v>15</v>
      </c>
      <c r="B41" s="136" t="s">
        <v>100</v>
      </c>
      <c r="C41" s="30" t="e">
        <f>+'01'!#REF!</f>
        <v>#REF!</v>
      </c>
      <c r="D41" s="17" t="e">
        <f>+'02'!#REF!</f>
        <v>#REF!</v>
      </c>
      <c r="E41" s="17" t="e">
        <f>+'03'!#REF!</f>
        <v>#REF!</v>
      </c>
      <c r="F41" s="17" t="e">
        <f>+'04'!#REF!</f>
        <v>#REF!</v>
      </c>
      <c r="G41" s="17" t="e">
        <f>+'05'!#REF!</f>
        <v>#REF!</v>
      </c>
      <c r="H41" s="17" t="e">
        <f>+'06'!#REF!</f>
        <v>#REF!</v>
      </c>
      <c r="I41" s="17" t="e">
        <f>+'07'!#REF!</f>
        <v>#REF!</v>
      </c>
      <c r="J41" s="17" t="e">
        <f>+'08'!#REF!</f>
        <v>#REF!</v>
      </c>
      <c r="K41" s="17" t="e">
        <f>+'09'!#REF!</f>
        <v>#REF!</v>
      </c>
      <c r="L41" s="17" t="e">
        <f>+'10'!#REF!</f>
        <v>#REF!</v>
      </c>
      <c r="M41" s="17" t="e">
        <f>+'11'!#REF!</f>
        <v>#REF!</v>
      </c>
      <c r="N41" s="17" t="e">
        <f>+'12'!#REF!</f>
        <v>#REF!</v>
      </c>
      <c r="O41" s="17"/>
      <c r="P41" s="17"/>
      <c r="Q41" s="17"/>
      <c r="R41" s="17"/>
      <c r="S41" s="17"/>
      <c r="T41" s="17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88" t="e">
        <f t="shared" si="0"/>
        <v>#REF!</v>
      </c>
      <c r="AJ41" s="164"/>
      <c r="AK41" s="31" t="e">
        <f t="shared" si="3"/>
        <v>#REF!</v>
      </c>
    </row>
    <row r="42" spans="1:37" s="71" customFormat="1" ht="26.25">
      <c r="A42" s="137">
        <v>16</v>
      </c>
      <c r="B42" s="138" t="s">
        <v>101</v>
      </c>
      <c r="C42" s="30" t="e">
        <f>+'01'!#REF!</f>
        <v>#REF!</v>
      </c>
      <c r="D42" s="17" t="e">
        <f>+'02'!#REF!</f>
        <v>#REF!</v>
      </c>
      <c r="E42" s="17" t="e">
        <f>+'03'!#REF!</f>
        <v>#REF!</v>
      </c>
      <c r="F42" s="17" t="e">
        <f>+'04'!#REF!</f>
        <v>#REF!</v>
      </c>
      <c r="G42" s="17" t="e">
        <f>+'05'!#REF!</f>
        <v>#REF!</v>
      </c>
      <c r="H42" s="17" t="e">
        <f>+'06'!#REF!</f>
        <v>#REF!</v>
      </c>
      <c r="I42" s="17" t="e">
        <f>+'07'!#REF!</f>
        <v>#REF!</v>
      </c>
      <c r="J42" s="17" t="e">
        <f>+'08'!#REF!</f>
        <v>#REF!</v>
      </c>
      <c r="K42" s="17" t="e">
        <f>+'09'!#REF!</f>
        <v>#REF!</v>
      </c>
      <c r="L42" s="17" t="e">
        <f>+'10'!#REF!</f>
        <v>#REF!</v>
      </c>
      <c r="M42" s="17" t="e">
        <f>+'11'!#REF!</f>
        <v>#REF!</v>
      </c>
      <c r="N42" s="17" t="e">
        <f>+'12'!#REF!</f>
        <v>#REF!</v>
      </c>
      <c r="O42" s="17"/>
      <c r="P42" s="17"/>
      <c r="Q42" s="17"/>
      <c r="R42" s="17"/>
      <c r="S42" s="17"/>
      <c r="T42" s="17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88" t="e">
        <f t="shared" si="0"/>
        <v>#REF!</v>
      </c>
      <c r="AJ42" s="164"/>
      <c r="AK42" s="31" t="e">
        <f t="shared" si="3"/>
        <v>#REF!</v>
      </c>
    </row>
    <row r="43" spans="1:37" s="71" customFormat="1" ht="26.25">
      <c r="A43" s="137"/>
      <c r="B43" s="138" t="s">
        <v>102</v>
      </c>
      <c r="C43" s="30" t="e">
        <f>+'01'!#REF!</f>
        <v>#REF!</v>
      </c>
      <c r="D43" s="17" t="e">
        <f>+'02'!#REF!</f>
        <v>#REF!</v>
      </c>
      <c r="E43" s="17" t="e">
        <f>+'03'!#REF!</f>
        <v>#REF!</v>
      </c>
      <c r="F43" s="17" t="e">
        <f>+'04'!#REF!</f>
        <v>#REF!</v>
      </c>
      <c r="G43" s="17" t="e">
        <f>+'05'!#REF!</f>
        <v>#REF!</v>
      </c>
      <c r="H43" s="17" t="e">
        <f>+'06'!#REF!</f>
        <v>#REF!</v>
      </c>
      <c r="I43" s="17" t="e">
        <f>+'07'!#REF!</f>
        <v>#REF!</v>
      </c>
      <c r="J43" s="17" t="e">
        <f>+'08'!#REF!</f>
        <v>#REF!</v>
      </c>
      <c r="K43" s="17" t="e">
        <f>+'09'!#REF!</f>
        <v>#REF!</v>
      </c>
      <c r="L43" s="17" t="e">
        <f>+'10'!#REF!</f>
        <v>#REF!</v>
      </c>
      <c r="M43" s="17" t="e">
        <f>+'11'!#REF!</f>
        <v>#REF!</v>
      </c>
      <c r="N43" s="17" t="e">
        <f>+'12'!#REF!</f>
        <v>#REF!</v>
      </c>
      <c r="O43" s="17"/>
      <c r="P43" s="17"/>
      <c r="Q43" s="17"/>
      <c r="R43" s="17"/>
      <c r="S43" s="17"/>
      <c r="T43" s="17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88" t="e">
        <f t="shared" si="0"/>
        <v>#REF!</v>
      </c>
      <c r="AJ43" s="164"/>
      <c r="AK43" s="31" t="e">
        <f t="shared" si="3"/>
        <v>#REF!</v>
      </c>
    </row>
    <row r="44" spans="1:37" s="71" customFormat="1" ht="26.25">
      <c r="A44" s="137"/>
      <c r="B44" s="138" t="s">
        <v>103</v>
      </c>
      <c r="C44" s="30" t="e">
        <f>+'01'!#REF!</f>
        <v>#REF!</v>
      </c>
      <c r="D44" s="17" t="e">
        <f>+'02'!#REF!</f>
        <v>#REF!</v>
      </c>
      <c r="E44" s="17" t="e">
        <f>+'03'!#REF!</f>
        <v>#REF!</v>
      </c>
      <c r="F44" s="17" t="e">
        <f>+'04'!#REF!</f>
        <v>#REF!</v>
      </c>
      <c r="G44" s="17" t="e">
        <f>+'05'!#REF!</f>
        <v>#REF!</v>
      </c>
      <c r="H44" s="17" t="e">
        <f>+'06'!#REF!</f>
        <v>#REF!</v>
      </c>
      <c r="I44" s="17" t="e">
        <f>+'07'!#REF!</f>
        <v>#REF!</v>
      </c>
      <c r="J44" s="17" t="e">
        <f>+'08'!#REF!</f>
        <v>#REF!</v>
      </c>
      <c r="K44" s="17" t="e">
        <f>+'09'!#REF!</f>
        <v>#REF!</v>
      </c>
      <c r="L44" s="17" t="e">
        <f>+'10'!#REF!</f>
        <v>#REF!</v>
      </c>
      <c r="M44" s="17" t="e">
        <f>+'11'!#REF!</f>
        <v>#REF!</v>
      </c>
      <c r="N44" s="17" t="e">
        <f>+'12'!#REF!</f>
        <v>#REF!</v>
      </c>
      <c r="O44" s="17"/>
      <c r="P44" s="17"/>
      <c r="Q44" s="17"/>
      <c r="R44" s="17"/>
      <c r="S44" s="17"/>
      <c r="T44" s="17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88" t="e">
        <f t="shared" si="0"/>
        <v>#REF!</v>
      </c>
      <c r="AJ44" s="164"/>
      <c r="AK44" s="31" t="e">
        <f t="shared" si="3"/>
        <v>#REF!</v>
      </c>
    </row>
    <row r="45" spans="1:37" s="71" customFormat="1" ht="26.25">
      <c r="A45" s="137"/>
      <c r="B45" s="138" t="s">
        <v>104</v>
      </c>
      <c r="C45" s="30" t="e">
        <f>+'01'!#REF!</f>
        <v>#REF!</v>
      </c>
      <c r="D45" s="17" t="e">
        <f>+'02'!#REF!</f>
        <v>#REF!</v>
      </c>
      <c r="E45" s="17" t="e">
        <f>+'03'!#REF!</f>
        <v>#REF!</v>
      </c>
      <c r="F45" s="17" t="e">
        <f>+'04'!#REF!</f>
        <v>#REF!</v>
      </c>
      <c r="G45" s="17" t="e">
        <f>+'05'!#REF!</f>
        <v>#REF!</v>
      </c>
      <c r="H45" s="17" t="e">
        <f>+'06'!#REF!</f>
        <v>#REF!</v>
      </c>
      <c r="I45" s="17" t="e">
        <f>+'07'!#REF!</f>
        <v>#REF!</v>
      </c>
      <c r="J45" s="17" t="e">
        <f>+'08'!#REF!</f>
        <v>#REF!</v>
      </c>
      <c r="K45" s="17" t="e">
        <f>+'09'!#REF!</f>
        <v>#REF!</v>
      </c>
      <c r="L45" s="17" t="e">
        <f>+'10'!#REF!</f>
        <v>#REF!</v>
      </c>
      <c r="M45" s="17" t="e">
        <f>+'11'!#REF!</f>
        <v>#REF!</v>
      </c>
      <c r="N45" s="17" t="e">
        <f>+'12'!#REF!</f>
        <v>#REF!</v>
      </c>
      <c r="O45" s="17"/>
      <c r="P45" s="17"/>
      <c r="Q45" s="17"/>
      <c r="R45" s="17"/>
      <c r="S45" s="17"/>
      <c r="T45" s="17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88" t="e">
        <f>+C45+D45+E45+F45+G45+H45+I45+J45+K45+L45+M45+N45+O45+P45+Q45+R45+S45+T45+U45+V45+W45+X45+Y45+Z45+AA45+AB45+AC45+AD45+AE45+AF45+AG45</f>
        <v>#REF!</v>
      </c>
      <c r="AJ45" s="164"/>
      <c r="AK45" s="31" t="e">
        <f t="shared" si="3"/>
        <v>#REF!</v>
      </c>
    </row>
    <row r="46" spans="1:37" s="71" customFormat="1" ht="29.25">
      <c r="A46" s="155">
        <v>17</v>
      </c>
      <c r="B46" s="156" t="s">
        <v>105</v>
      </c>
      <c r="C46" s="30">
        <f>+'01'!D53</f>
        <v>6321</v>
      </c>
      <c r="D46" s="17">
        <f>+'02'!D53</f>
        <v>7288</v>
      </c>
      <c r="E46" s="17">
        <f>+'03'!D53</f>
        <v>6443</v>
      </c>
      <c r="F46" s="17">
        <f>+'04'!D53</f>
        <v>7623</v>
      </c>
      <c r="G46" s="17">
        <f>+'05'!D53</f>
        <v>2048</v>
      </c>
      <c r="H46" s="17">
        <f>+'06'!D53</f>
        <v>0</v>
      </c>
      <c r="I46" s="17">
        <f>+'07'!D53</f>
        <v>3559</v>
      </c>
      <c r="J46" s="17">
        <f>+'08'!D53</f>
        <v>15855</v>
      </c>
      <c r="K46" s="17">
        <f>+'09'!D53</f>
        <v>4028</v>
      </c>
      <c r="L46" s="17">
        <f>+'10'!D53</f>
        <v>13401</v>
      </c>
      <c r="M46" s="17">
        <f>+'11'!D53</f>
        <v>7605</v>
      </c>
      <c r="N46" s="17">
        <f>+'12'!D53</f>
        <v>157</v>
      </c>
      <c r="O46" s="17"/>
      <c r="P46" s="17"/>
      <c r="Q46" s="17"/>
      <c r="R46" s="17"/>
      <c r="S46" s="17"/>
      <c r="T46" s="17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88">
        <f t="shared" ref="AH46:AH53" si="4">+C46+D46+E46+F46+G46+H46+I46+J46+K46+L46+M46+N46+O46+P46+Q46+R46+S46+T46+U46+V46+W46+X46+Y46+Z46+AA46+AB46+AC46+AD46+AE46+AF46+AG46</f>
        <v>74328</v>
      </c>
      <c r="AJ46" s="164"/>
      <c r="AK46" s="31">
        <f t="shared" si="3"/>
        <v>74328</v>
      </c>
    </row>
    <row r="47" spans="1:37" s="71" customFormat="1" ht="29.25">
      <c r="A47" s="157">
        <v>18</v>
      </c>
      <c r="B47" s="138" t="s">
        <v>106</v>
      </c>
      <c r="C47" s="30">
        <f>+'01'!D54</f>
        <v>69618</v>
      </c>
      <c r="D47" s="17">
        <f>+'02'!D54</f>
        <v>55874</v>
      </c>
      <c r="E47" s="17">
        <f>+'03'!D54</f>
        <v>61276</v>
      </c>
      <c r="F47" s="17">
        <f>+'04'!D54</f>
        <v>33636</v>
      </c>
      <c r="G47" s="17">
        <f>+'05'!D54</f>
        <v>3671</v>
      </c>
      <c r="H47" s="17">
        <f>+'06'!D54</f>
        <v>0</v>
      </c>
      <c r="I47" s="17">
        <f>+'07'!D54</f>
        <v>24578</v>
      </c>
      <c r="J47" s="17">
        <f>+'08'!D54</f>
        <v>71956</v>
      </c>
      <c r="K47" s="17">
        <f>+'09'!D54</f>
        <v>30298</v>
      </c>
      <c r="L47" s="17">
        <f>+'10'!D54</f>
        <v>66022</v>
      </c>
      <c r="M47" s="17">
        <f>+'11'!D54</f>
        <v>43950</v>
      </c>
      <c r="N47" s="17">
        <f>+'12'!D54</f>
        <v>3379</v>
      </c>
      <c r="O47" s="17"/>
      <c r="P47" s="17"/>
      <c r="Q47" s="17"/>
      <c r="R47" s="17"/>
      <c r="S47" s="17"/>
      <c r="T47" s="17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88">
        <f t="shared" si="4"/>
        <v>464258</v>
      </c>
      <c r="AJ47" s="164"/>
      <c r="AK47" s="31">
        <f t="shared" si="3"/>
        <v>464258</v>
      </c>
    </row>
    <row r="48" spans="1:37" s="71" customFormat="1" ht="29.25">
      <c r="A48" s="155">
        <v>19</v>
      </c>
      <c r="B48" s="156" t="s">
        <v>107</v>
      </c>
      <c r="C48" s="30">
        <f>+'01'!D55</f>
        <v>26746</v>
      </c>
      <c r="D48" s="17">
        <f>+'02'!D55</f>
        <v>21956</v>
      </c>
      <c r="E48" s="17">
        <f>+'03'!D55</f>
        <v>19221</v>
      </c>
      <c r="F48" s="17">
        <f>+'04'!D55</f>
        <v>25183</v>
      </c>
      <c r="G48" s="17">
        <f>+'05'!D55</f>
        <v>3169</v>
      </c>
      <c r="H48" s="17">
        <f>+'06'!D55</f>
        <v>0</v>
      </c>
      <c r="I48" s="17">
        <f>+'07'!D55</f>
        <v>18985</v>
      </c>
      <c r="J48" s="17">
        <f>+'08'!D55</f>
        <v>18828</v>
      </c>
      <c r="K48" s="17">
        <f>+'09'!D55</f>
        <v>13811</v>
      </c>
      <c r="L48" s="17">
        <f>+'10'!D55</f>
        <v>25841</v>
      </c>
      <c r="M48" s="17">
        <f>+'11'!D55</f>
        <v>20545</v>
      </c>
      <c r="N48" s="17">
        <f>+'12'!D55</f>
        <v>1378</v>
      </c>
      <c r="O48" s="17"/>
      <c r="P48" s="17"/>
      <c r="Q48" s="17"/>
      <c r="R48" s="17"/>
      <c r="S48" s="17"/>
      <c r="T48" s="17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88">
        <f t="shared" si="4"/>
        <v>195663</v>
      </c>
      <c r="AJ48" s="164"/>
      <c r="AK48" s="31">
        <f t="shared" si="3"/>
        <v>195663</v>
      </c>
    </row>
    <row r="49" spans="1:66" s="71" customFormat="1" ht="29.25">
      <c r="A49" s="158">
        <v>20</v>
      </c>
      <c r="B49" s="159" t="s">
        <v>112</v>
      </c>
      <c r="C49" s="30">
        <f>+'01'!D56</f>
        <v>1256</v>
      </c>
      <c r="D49" s="17">
        <f>+'02'!D56</f>
        <v>1546</v>
      </c>
      <c r="E49" s="17">
        <f>+'03'!D56</f>
        <v>1816</v>
      </c>
      <c r="F49" s="17">
        <f>+'04'!D56</f>
        <v>48</v>
      </c>
      <c r="G49" s="17">
        <f>+'05'!D56</f>
        <v>223</v>
      </c>
      <c r="H49" s="17">
        <f>+'06'!D56</f>
        <v>0</v>
      </c>
      <c r="I49" s="17">
        <f>+'07'!D56</f>
        <v>450</v>
      </c>
      <c r="J49" s="17">
        <f>+'08'!D56</f>
        <v>666</v>
      </c>
      <c r="K49" s="17">
        <f>+'09'!D56</f>
        <v>442</v>
      </c>
      <c r="L49" s="17">
        <f>+'10'!D56</f>
        <v>500</v>
      </c>
      <c r="M49" s="17">
        <f>+'11'!D56</f>
        <v>1014</v>
      </c>
      <c r="N49" s="17">
        <f>+'12'!D56</f>
        <v>0</v>
      </c>
      <c r="O49" s="17"/>
      <c r="P49" s="17"/>
      <c r="Q49" s="17"/>
      <c r="R49" s="17"/>
      <c r="S49" s="17"/>
      <c r="T49" s="17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88">
        <f t="shared" si="4"/>
        <v>7961</v>
      </c>
      <c r="AJ49" s="164"/>
      <c r="AK49" s="31">
        <f t="shared" si="3"/>
        <v>7961</v>
      </c>
    </row>
    <row r="50" spans="1:66" s="163" customFormat="1" ht="29.25">
      <c r="A50" s="155">
        <v>21</v>
      </c>
      <c r="B50" s="156" t="s">
        <v>114</v>
      </c>
      <c r="C50" s="30">
        <f>+'01'!D57</f>
        <v>3662</v>
      </c>
      <c r="D50" s="17">
        <f>+'02'!D57</f>
        <v>2657</v>
      </c>
      <c r="E50" s="17">
        <f>+'03'!D57</f>
        <v>1230</v>
      </c>
      <c r="F50" s="17">
        <f>+'04'!D57</f>
        <v>917</v>
      </c>
      <c r="G50" s="17">
        <f>+'05'!D57</f>
        <v>715</v>
      </c>
      <c r="H50" s="17">
        <f>+'06'!D57</f>
        <v>0</v>
      </c>
      <c r="I50" s="17">
        <f>+'07'!D57</f>
        <v>3289</v>
      </c>
      <c r="J50" s="17">
        <f>+'08'!D57</f>
        <v>3142</v>
      </c>
      <c r="K50" s="17">
        <f>+'09'!D57</f>
        <v>742</v>
      </c>
      <c r="L50" s="17">
        <f>+'10'!D57</f>
        <v>434</v>
      </c>
      <c r="M50" s="17">
        <f>+'11'!D57</f>
        <v>834</v>
      </c>
      <c r="N50" s="17">
        <f>+'12'!D57</f>
        <v>388</v>
      </c>
      <c r="O50" s="17"/>
      <c r="P50" s="17"/>
      <c r="Q50" s="17"/>
      <c r="R50" s="17"/>
      <c r="S50" s="17"/>
      <c r="T50" s="17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88">
        <f t="shared" si="4"/>
        <v>18010</v>
      </c>
      <c r="AJ50" s="168"/>
      <c r="AK50" s="22">
        <f t="shared" si="3"/>
        <v>18010</v>
      </c>
    </row>
    <row r="51" spans="1:66" s="163" customFormat="1" ht="26.25">
      <c r="A51" s="135">
        <v>22</v>
      </c>
      <c r="B51" s="263" t="s">
        <v>254</v>
      </c>
      <c r="C51" s="37">
        <f>+'01'!C58</f>
        <v>3</v>
      </c>
      <c r="D51" s="30">
        <f>+'01'!D58</f>
        <v>4659.25</v>
      </c>
      <c r="E51" s="37">
        <f>+'02'!C58</f>
        <v>1</v>
      </c>
      <c r="F51" s="17">
        <f>+'02'!D58</f>
        <v>43565</v>
      </c>
      <c r="G51" s="37">
        <f>+'03'!C58</f>
        <v>1</v>
      </c>
      <c r="H51" s="17">
        <f>+'03'!D58</f>
        <v>910</v>
      </c>
      <c r="I51" s="37">
        <f>+'04'!C58</f>
        <v>0</v>
      </c>
      <c r="J51" s="17">
        <f>+'04'!D58</f>
        <v>0</v>
      </c>
      <c r="K51" s="37">
        <f>+'05'!C58</f>
        <v>0</v>
      </c>
      <c r="L51" s="17">
        <f>+'05'!D58</f>
        <v>0</v>
      </c>
      <c r="M51" s="37">
        <f>+'06'!C58</f>
        <v>0</v>
      </c>
      <c r="N51" s="17">
        <f>+'06'!D58</f>
        <v>0</v>
      </c>
      <c r="O51" s="37">
        <f>+'07'!C58</f>
        <v>2</v>
      </c>
      <c r="P51" s="17">
        <f>+'07'!D58</f>
        <v>12750</v>
      </c>
      <c r="Q51" s="37">
        <f>+'08'!C58</f>
        <v>1</v>
      </c>
      <c r="R51" s="17">
        <f>+'08'!D58</f>
        <v>3337</v>
      </c>
      <c r="S51" s="37">
        <f>+'09'!C58</f>
        <v>1</v>
      </c>
      <c r="T51" s="17">
        <f>+'09'!D58</f>
        <v>50</v>
      </c>
      <c r="U51" s="37">
        <f>+'10'!C58</f>
        <v>0</v>
      </c>
      <c r="V51" s="17">
        <f>+'10'!D58</f>
        <v>0</v>
      </c>
      <c r="W51" s="37">
        <f>+'11'!C58</f>
        <v>1</v>
      </c>
      <c r="X51" s="17">
        <f>+'11'!D58</f>
        <v>913</v>
      </c>
      <c r="Y51" s="37">
        <f>+'12'!C58</f>
        <v>0</v>
      </c>
      <c r="Z51" s="17">
        <f>+'12'!D58</f>
        <v>0</v>
      </c>
      <c r="AA51" s="37">
        <f>+'13'!C58</f>
        <v>0</v>
      </c>
      <c r="AB51" s="17">
        <f>+'13'!D58</f>
        <v>0</v>
      </c>
      <c r="AC51" s="37">
        <f>+'14'!C58</f>
        <v>0</v>
      </c>
      <c r="AD51" s="17">
        <f>+'14'!D58</f>
        <v>0</v>
      </c>
      <c r="AE51" s="37">
        <f>+'15'!C58</f>
        <v>2</v>
      </c>
      <c r="AF51" s="17">
        <f>+'15'!D58</f>
        <v>2408</v>
      </c>
      <c r="AG51" s="37">
        <f>+'16'!C58</f>
        <v>1</v>
      </c>
      <c r="AH51" s="17">
        <f>+'16'!D58</f>
        <v>1575</v>
      </c>
      <c r="AI51" s="37">
        <f>+'17'!C58</f>
        <v>0</v>
      </c>
      <c r="AJ51" s="17">
        <f>+'17'!D58</f>
        <v>0</v>
      </c>
      <c r="AK51" s="37">
        <f>+'18'!C58</f>
        <v>1</v>
      </c>
      <c r="AL51" s="17">
        <f>+'18'!D58</f>
        <v>9810</v>
      </c>
      <c r="AM51" s="37">
        <f>+'19'!C58</f>
        <v>0</v>
      </c>
      <c r="AN51" s="37">
        <f>+'19'!D58</f>
        <v>0</v>
      </c>
      <c r="AO51" s="37">
        <f>+'20'!C58</f>
        <v>2</v>
      </c>
      <c r="AP51" s="37">
        <f>+'20'!D58</f>
        <v>552</v>
      </c>
      <c r="AQ51" s="37">
        <f>+'21'!C58</f>
        <v>0</v>
      </c>
      <c r="AR51" s="37">
        <f>+'21'!D58</f>
        <v>0</v>
      </c>
      <c r="AS51" s="37">
        <f>+'22'!C58</f>
        <v>0</v>
      </c>
      <c r="AT51" s="37">
        <f>+'22'!D58</f>
        <v>0</v>
      </c>
      <c r="AU51" s="37">
        <f>+'23'!C58</f>
        <v>2</v>
      </c>
      <c r="AV51" s="37">
        <f>+'23'!D58</f>
        <v>2062</v>
      </c>
      <c r="AW51" s="37">
        <f>+'24'!C58</f>
        <v>2</v>
      </c>
      <c r="AX51" s="37">
        <f>+'24'!D58</f>
        <v>8662.5</v>
      </c>
      <c r="AY51" s="37">
        <f>+'25'!C58</f>
        <v>1</v>
      </c>
      <c r="AZ51" s="37">
        <f>+'25'!D58</f>
        <v>425</v>
      </c>
      <c r="BA51" s="37">
        <f>+'26'!C58</f>
        <v>1</v>
      </c>
      <c r="BB51" s="37">
        <f>+'26'!D58</f>
        <v>1444</v>
      </c>
      <c r="BC51" s="37">
        <f>+'27'!C58</f>
        <v>0</v>
      </c>
      <c r="BD51" s="37">
        <f>+'27'!D58</f>
        <v>0</v>
      </c>
      <c r="BE51" s="37">
        <f>+'28'!C58</f>
        <v>0</v>
      </c>
      <c r="BF51" s="37">
        <f>+'28'!D58</f>
        <v>0</v>
      </c>
      <c r="BG51" s="37">
        <f>+'29'!C58</f>
        <v>1</v>
      </c>
      <c r="BH51" s="37">
        <f>+'29'!D58</f>
        <v>18290</v>
      </c>
      <c r="BI51" s="37">
        <f>+'30'!C58</f>
        <v>0</v>
      </c>
      <c r="BJ51" s="37">
        <f>+'30'!D58</f>
        <v>0</v>
      </c>
      <c r="BK51" s="37">
        <f>+'31'!C58</f>
        <v>0</v>
      </c>
      <c r="BL51" s="37">
        <f>+'31'!D58</f>
        <v>0</v>
      </c>
      <c r="BM51" s="37">
        <f t="shared" ref="BM51:BM52" si="5">+C51+E51+G51+I51+K51+M51+O51+Q51+S51+U51+W51+Y51+AA51+AC51+AE51+AG51+AI51+AK51+AM51+AO51+AQ51+AS51+AU51+AW51+AY51+BA51+BC51+BE51+BG51+BI51+BK51</f>
        <v>23</v>
      </c>
      <c r="BN51" s="30">
        <f>+D51+F51+H51+J51+L51+N51+P51+R51+T51+V51+X51+Z51+AB51+AD51+AF51+AH51+AJ51+AL51+AN51+AP51+AR51+AT51+AV51+AX51+AZ51+BB51+BD51+BF51+BH51+BJ51+BL51</f>
        <v>111412.75</v>
      </c>
    </row>
    <row r="52" spans="1:66" s="163" customFormat="1" ht="26.25">
      <c r="A52" s="135"/>
      <c r="B52" s="263" t="s">
        <v>255</v>
      </c>
      <c r="C52" s="37">
        <f>+'01'!C59</f>
        <v>0</v>
      </c>
      <c r="D52" s="30">
        <f>+'01'!D59</f>
        <v>0</v>
      </c>
      <c r="E52" s="37">
        <f>+'02'!C59</f>
        <v>0</v>
      </c>
      <c r="F52" s="17">
        <f>+'02'!D59</f>
        <v>0</v>
      </c>
      <c r="G52" s="37">
        <f>+'03'!C59</f>
        <v>1</v>
      </c>
      <c r="H52" s="17">
        <f>+'03'!D59</f>
        <v>41971.75</v>
      </c>
      <c r="I52" s="37">
        <f>+'04'!C59</f>
        <v>0</v>
      </c>
      <c r="J52" s="17">
        <f>+'04'!D59</f>
        <v>0</v>
      </c>
      <c r="K52" s="37">
        <f>+'05'!C59</f>
        <v>0</v>
      </c>
      <c r="L52" s="17">
        <f>+'05'!D59</f>
        <v>0</v>
      </c>
      <c r="M52" s="37">
        <f>+'06'!C59</f>
        <v>0</v>
      </c>
      <c r="N52" s="17">
        <f>+'06'!D59</f>
        <v>0</v>
      </c>
      <c r="O52" s="37">
        <f>+'07'!C59</f>
        <v>0</v>
      </c>
      <c r="P52" s="17">
        <f>+'07'!D59</f>
        <v>0</v>
      </c>
      <c r="Q52" s="37">
        <f>+'08'!C59</f>
        <v>0</v>
      </c>
      <c r="R52" s="17">
        <f>+'08'!D59</f>
        <v>0</v>
      </c>
      <c r="S52" s="37">
        <f>+'09'!C59</f>
        <v>0</v>
      </c>
      <c r="T52" s="17">
        <f>+'09'!D59</f>
        <v>0</v>
      </c>
      <c r="U52" s="37">
        <f>+'10'!C59</f>
        <v>0</v>
      </c>
      <c r="V52" s="17">
        <f>+'10'!D59</f>
        <v>0</v>
      </c>
      <c r="W52" s="37">
        <f>+'11'!C59</f>
        <v>0</v>
      </c>
      <c r="X52" s="17">
        <f>+'11'!D59</f>
        <v>0</v>
      </c>
      <c r="Y52" s="37">
        <f>+'12'!C59</f>
        <v>0</v>
      </c>
      <c r="Z52" s="17">
        <f>+'12'!D59</f>
        <v>0</v>
      </c>
      <c r="AA52" s="37">
        <f>+'13'!C59</f>
        <v>0</v>
      </c>
      <c r="AB52" s="17">
        <f>+'13'!D59</f>
        <v>0</v>
      </c>
      <c r="AC52" s="37">
        <f>+'14'!C59</f>
        <v>0</v>
      </c>
      <c r="AD52" s="17">
        <f>+'14'!D59</f>
        <v>0</v>
      </c>
      <c r="AE52" s="37">
        <f>+'15'!C59</f>
        <v>0</v>
      </c>
      <c r="AF52" s="17">
        <f>+'15'!D59</f>
        <v>0</v>
      </c>
      <c r="AG52" s="37">
        <f>+'16'!C59</f>
        <v>0</v>
      </c>
      <c r="AH52" s="17">
        <f>+'16'!D59</f>
        <v>0</v>
      </c>
      <c r="AI52" s="37">
        <f>+'17'!C59</f>
        <v>0</v>
      </c>
      <c r="AJ52" s="17">
        <f>+'17'!D59</f>
        <v>0</v>
      </c>
      <c r="AK52" s="37">
        <f>+'18'!C59</f>
        <v>0</v>
      </c>
      <c r="AL52" s="17">
        <f>+'18'!D59</f>
        <v>0</v>
      </c>
      <c r="AM52" s="37">
        <f>+'19'!C59</f>
        <v>0</v>
      </c>
      <c r="AN52" s="37">
        <f>+'19'!D59</f>
        <v>0</v>
      </c>
      <c r="AO52" s="37">
        <f>+'20'!C59</f>
        <v>0</v>
      </c>
      <c r="AP52" s="37">
        <f>+'20'!D59</f>
        <v>0</v>
      </c>
      <c r="AQ52" s="37">
        <f>+'21'!C59</f>
        <v>0</v>
      </c>
      <c r="AR52" s="37">
        <f>+'21'!D59</f>
        <v>0</v>
      </c>
      <c r="AS52" s="37">
        <f>+'22'!C59</f>
        <v>0</v>
      </c>
      <c r="AT52" s="37">
        <f>+'22'!D59</f>
        <v>0</v>
      </c>
      <c r="AU52" s="37">
        <f>+'23'!C59</f>
        <v>0</v>
      </c>
      <c r="AV52" s="37">
        <f>+'23'!D59</f>
        <v>0</v>
      </c>
      <c r="AW52" s="37">
        <f>+'24'!C59</f>
        <v>0</v>
      </c>
      <c r="AX52" s="37">
        <f>+'24'!D59</f>
        <v>0</v>
      </c>
      <c r="AY52" s="37">
        <f>+'25'!C59</f>
        <v>0</v>
      </c>
      <c r="AZ52" s="37">
        <f>+'25'!D59</f>
        <v>0</v>
      </c>
      <c r="BA52" s="37">
        <f>+'26'!C59</f>
        <v>0</v>
      </c>
      <c r="BB52" s="37">
        <f>+'26'!D59</f>
        <v>0</v>
      </c>
      <c r="BC52" s="37">
        <f>+'27'!C59</f>
        <v>0</v>
      </c>
      <c r="BD52" s="37">
        <f>+'27'!D59</f>
        <v>0</v>
      </c>
      <c r="BE52" s="37">
        <f>+'28'!C59</f>
        <v>0</v>
      </c>
      <c r="BF52" s="37">
        <f>+'28'!D59</f>
        <v>0</v>
      </c>
      <c r="BG52" s="37">
        <f>+'29'!C59</f>
        <v>0</v>
      </c>
      <c r="BH52" s="37">
        <f>+'29'!D59</f>
        <v>0</v>
      </c>
      <c r="BI52" s="37">
        <f>+'30'!C59</f>
        <v>0</v>
      </c>
      <c r="BJ52" s="37">
        <f>+'30'!D59</f>
        <v>0</v>
      </c>
      <c r="BK52" s="37">
        <f>+'31'!C59</f>
        <v>0</v>
      </c>
      <c r="BL52" s="37">
        <f>+'31'!D59</f>
        <v>0</v>
      </c>
      <c r="BM52" s="37">
        <f t="shared" si="5"/>
        <v>1</v>
      </c>
      <c r="BN52" s="30">
        <f>+D52+F52+H52+J52+L52+N52+P52+R52+T52+V52+X52+Z52+AB52+AD52+AF52+AH52+AJ52+AL52+AN52+AP52+AR52+AT52+AV52+AX52+AZ52+BB52+BD52+BF52+BH52+BJ52+BL52</f>
        <v>41971.75</v>
      </c>
    </row>
    <row r="53" spans="1:66" ht="27">
      <c r="A53" s="139"/>
      <c r="B53" s="140"/>
      <c r="C53" s="56">
        <f>+'01'!D60</f>
        <v>0</v>
      </c>
      <c r="D53" s="7">
        <f>+'02'!D60</f>
        <v>0</v>
      </c>
      <c r="E53" s="7">
        <f>+'03'!D60</f>
        <v>0</v>
      </c>
      <c r="F53" s="7">
        <f>+'04'!D60</f>
        <v>0</v>
      </c>
      <c r="G53" s="7">
        <f>+'05'!D60</f>
        <v>0</v>
      </c>
      <c r="H53" s="7">
        <f>+'06'!D60</f>
        <v>0</v>
      </c>
      <c r="I53" s="7">
        <f>+'07'!D60</f>
        <v>0</v>
      </c>
      <c r="J53" s="7">
        <f>+'08'!D60</f>
        <v>0</v>
      </c>
      <c r="K53" s="7">
        <f>+'09'!D60</f>
        <v>0</v>
      </c>
      <c r="L53" s="7">
        <f>+'10'!D60</f>
        <v>0</v>
      </c>
      <c r="M53" s="7">
        <f>+'11'!D60</f>
        <v>0</v>
      </c>
      <c r="N53" s="7">
        <f>+'12'!D60</f>
        <v>0</v>
      </c>
      <c r="O53" s="7"/>
      <c r="P53" s="7"/>
      <c r="Q53" s="7"/>
      <c r="R53" s="7"/>
      <c r="S53" s="7"/>
      <c r="T53" s="7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88">
        <f t="shared" si="4"/>
        <v>0</v>
      </c>
      <c r="AK53" s="31"/>
    </row>
    <row r="54" spans="1:66" s="31" customFormat="1" ht="26.25" thickBot="1">
      <c r="A54" s="88"/>
      <c r="B54" s="90" t="s">
        <v>38</v>
      </c>
      <c r="C54" s="89" t="e">
        <f t="shared" ref="C54:AG54" si="6">SUM(C5:C53)</f>
        <v>#REF!</v>
      </c>
      <c r="D54" s="89" t="e">
        <f t="shared" si="6"/>
        <v>#REF!</v>
      </c>
      <c r="E54" s="89" t="e">
        <f t="shared" si="6"/>
        <v>#REF!</v>
      </c>
      <c r="F54" s="89" t="e">
        <f t="shared" si="6"/>
        <v>#REF!</v>
      </c>
      <c r="G54" s="89" t="e">
        <f t="shared" si="6"/>
        <v>#REF!</v>
      </c>
      <c r="H54" s="89" t="e">
        <f t="shared" si="6"/>
        <v>#REF!</v>
      </c>
      <c r="I54" s="89" t="e">
        <f t="shared" si="6"/>
        <v>#REF!</v>
      </c>
      <c r="J54" s="89" t="e">
        <f t="shared" si="6"/>
        <v>#REF!</v>
      </c>
      <c r="K54" s="89" t="e">
        <f t="shared" si="6"/>
        <v>#REF!</v>
      </c>
      <c r="L54" s="89" t="e">
        <f t="shared" si="6"/>
        <v>#REF!</v>
      </c>
      <c r="M54" s="89" t="e">
        <f t="shared" si="6"/>
        <v>#REF!</v>
      </c>
      <c r="N54" s="89" t="e">
        <f t="shared" si="6"/>
        <v>#REF!</v>
      </c>
      <c r="O54" s="89">
        <f t="shared" si="6"/>
        <v>2</v>
      </c>
      <c r="P54" s="89">
        <f t="shared" si="6"/>
        <v>12750</v>
      </c>
      <c r="Q54" s="89">
        <f t="shared" si="6"/>
        <v>1</v>
      </c>
      <c r="R54" s="89">
        <f t="shared" si="6"/>
        <v>3337</v>
      </c>
      <c r="S54" s="89">
        <f t="shared" si="6"/>
        <v>1</v>
      </c>
      <c r="T54" s="89">
        <f t="shared" si="6"/>
        <v>50</v>
      </c>
      <c r="U54" s="89">
        <f t="shared" si="6"/>
        <v>0</v>
      </c>
      <c r="V54" s="89">
        <f t="shared" si="6"/>
        <v>0</v>
      </c>
      <c r="W54" s="89">
        <f t="shared" si="6"/>
        <v>1</v>
      </c>
      <c r="X54" s="89">
        <f t="shared" si="6"/>
        <v>913</v>
      </c>
      <c r="Y54" s="89">
        <f t="shared" si="6"/>
        <v>0</v>
      </c>
      <c r="Z54" s="89">
        <f t="shared" si="6"/>
        <v>0</v>
      </c>
      <c r="AA54" s="89">
        <f t="shared" si="6"/>
        <v>0</v>
      </c>
      <c r="AB54" s="89">
        <f t="shared" si="6"/>
        <v>0</v>
      </c>
      <c r="AC54" s="89">
        <f t="shared" si="6"/>
        <v>0</v>
      </c>
      <c r="AD54" s="89">
        <f t="shared" si="6"/>
        <v>0</v>
      </c>
      <c r="AE54" s="89">
        <f t="shared" si="6"/>
        <v>2</v>
      </c>
      <c r="AF54" s="89">
        <f t="shared" si="6"/>
        <v>2408</v>
      </c>
      <c r="AG54" s="89">
        <f t="shared" si="6"/>
        <v>1</v>
      </c>
      <c r="AH54" s="89" t="e">
        <f>SUM(AH5:AH53)</f>
        <v>#REF!</v>
      </c>
      <c r="AJ54" s="164"/>
    </row>
    <row r="55" spans="1:66" ht="27" thickTop="1">
      <c r="M55"/>
      <c r="N55" s="77" t="s">
        <v>80</v>
      </c>
      <c r="AF55" s="77" t="s">
        <v>80</v>
      </c>
      <c r="AH55" s="78">
        <f>+AH5+AH6+AH22+AH24+AH34+AH35</f>
        <v>16881284.249999996</v>
      </c>
    </row>
    <row r="56" spans="1:66" ht="27" thickBot="1">
      <c r="M56"/>
      <c r="N56" s="22"/>
      <c r="AG56" s="79"/>
      <c r="AH56" s="80" t="e">
        <f>+AH54-AH55</f>
        <v>#REF!</v>
      </c>
    </row>
    <row r="57" spans="1:66" ht="27" thickTop="1">
      <c r="M57" s="76" t="s">
        <v>81</v>
      </c>
      <c r="N57" s="82" t="s">
        <v>82</v>
      </c>
      <c r="AE57" s="76" t="s">
        <v>81</v>
      </c>
      <c r="AF57" s="82" t="s">
        <v>82</v>
      </c>
      <c r="AH57" s="81"/>
    </row>
    <row r="58" spans="1:66" ht="26.25">
      <c r="M58" s="22"/>
      <c r="N58" s="82" t="s">
        <v>83</v>
      </c>
      <c r="AE58" s="22"/>
      <c r="AF58" s="82" t="s">
        <v>83</v>
      </c>
      <c r="AH58" s="101"/>
    </row>
    <row r="59" spans="1:66" ht="26.25">
      <c r="M59" s="22"/>
      <c r="N59" s="82" t="s">
        <v>84</v>
      </c>
      <c r="AE59" s="22"/>
      <c r="AF59" s="82" t="s">
        <v>84</v>
      </c>
      <c r="AH59" s="101"/>
    </row>
    <row r="60" spans="1:66" ht="26.25">
      <c r="M60" s="22"/>
      <c r="N60" s="82" t="s">
        <v>85</v>
      </c>
      <c r="AE60" s="22"/>
      <c r="AF60" s="82" t="s">
        <v>85</v>
      </c>
      <c r="AH60" s="101"/>
    </row>
    <row r="61" spans="1:66" ht="26.25">
      <c r="M61" s="22"/>
      <c r="N61" s="82" t="s">
        <v>86</v>
      </c>
      <c r="AE61" s="22"/>
      <c r="AF61" s="82" t="s">
        <v>86</v>
      </c>
      <c r="AH61" s="101"/>
    </row>
    <row r="62" spans="1:66" ht="27" thickBot="1">
      <c r="M62" s="22"/>
      <c r="N62" s="103" t="s">
        <v>91</v>
      </c>
      <c r="AE62" s="22"/>
      <c r="AF62" s="103" t="s">
        <v>91</v>
      </c>
      <c r="AH62" s="102" t="e">
        <f>+AH56+AH57+AH58+AH59+AH60+AH61</f>
        <v>#REF!</v>
      </c>
    </row>
    <row r="63" spans="1:66" ht="27" thickTop="1">
      <c r="AG63" s="82"/>
      <c r="AH63" s="82"/>
    </row>
    <row r="64" spans="1:66" ht="26.25">
      <c r="AG64" s="82"/>
      <c r="AH64" s="82"/>
    </row>
  </sheetData>
  <mergeCells count="3">
    <mergeCell ref="A1:B1"/>
    <mergeCell ref="A2:B2"/>
    <mergeCell ref="A3:B3"/>
  </mergeCells>
  <pageMargins left="0.11811023622047245" right="0" top="0.37" bottom="0.28999999999999998" header="0.31496062992125984" footer="0.17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66FF"/>
  </sheetPr>
  <dimension ref="A1:AL105"/>
  <sheetViews>
    <sheetView tabSelected="1" zoomScale="66" zoomScaleNormal="66" workbookViewId="0">
      <pane xSplit="2" ySplit="4" topLeftCell="AH5" activePane="bottomRight" state="frozen"/>
      <selection activeCell="L12" sqref="L12"/>
      <selection pane="topRight" activeCell="L12" sqref="L12"/>
      <selection pane="bottomLeft" activeCell="L12" sqref="L12"/>
      <selection pane="bottomRight" activeCell="AJ17" sqref="AJ17"/>
    </sheetView>
  </sheetViews>
  <sheetFormatPr defaultColWidth="9" defaultRowHeight="31.5"/>
  <cols>
    <col min="1" max="1" width="5.7265625" style="186" bestFit="1" customWidth="1"/>
    <col min="2" max="2" width="65" style="187" customWidth="1"/>
    <col min="3" max="3" width="12.90625" style="188" hidden="1" customWidth="1"/>
    <col min="4" max="6" width="12.90625" style="178" hidden="1" customWidth="1"/>
    <col min="7" max="7" width="13.6328125" style="178" hidden="1" customWidth="1"/>
    <col min="8" max="9" width="12.90625" style="178" hidden="1" customWidth="1"/>
    <col min="10" max="10" width="13.6328125" style="178" hidden="1" customWidth="1"/>
    <col min="11" max="12" width="12.90625" style="178" hidden="1" customWidth="1"/>
    <col min="13" max="14" width="13.6328125" style="178" hidden="1" customWidth="1"/>
    <col min="15" max="15" width="12.90625" style="179" hidden="1" customWidth="1"/>
    <col min="16" max="16" width="13.6328125" style="179" hidden="1" customWidth="1"/>
    <col min="17" max="17" width="12.90625" style="180" hidden="1" customWidth="1"/>
    <col min="18" max="18" width="12.90625" style="188" hidden="1" customWidth="1"/>
    <col min="19" max="20" width="12.90625" style="179" hidden="1" customWidth="1"/>
    <col min="21" max="21" width="13.6328125" style="179" hidden="1" customWidth="1"/>
    <col min="22" max="22" width="12.90625" style="179" hidden="1" customWidth="1"/>
    <col min="23" max="23" width="12.90625" style="178" hidden="1" customWidth="1"/>
    <col min="24" max="25" width="12.90625" style="179" hidden="1" customWidth="1"/>
    <col min="26" max="26" width="13.453125" style="179" hidden="1" customWidth="1"/>
    <col min="27" max="29" width="12.90625" style="179" hidden="1" customWidth="1"/>
    <col min="30" max="30" width="13.6328125" style="179" hidden="1" customWidth="1"/>
    <col min="31" max="31" width="12.90625" style="179" hidden="1" customWidth="1"/>
    <col min="32" max="33" width="12.90625" style="180" hidden="1" customWidth="1"/>
    <col min="34" max="34" width="17.90625" style="180" customWidth="1"/>
    <col min="35" max="35" width="9" style="179"/>
    <col min="36" max="36" width="18.7265625" style="244" bestFit="1" customWidth="1"/>
    <col min="37" max="37" width="19.453125" style="191" customWidth="1"/>
    <col min="38" max="38" width="15.36328125" style="250" bestFit="1" customWidth="1"/>
    <col min="39" max="39" width="12.81640625" style="179" customWidth="1"/>
    <col min="40" max="16384" width="9" style="179"/>
  </cols>
  <sheetData>
    <row r="1" spans="1:38">
      <c r="A1" s="293" t="s">
        <v>0</v>
      </c>
      <c r="B1" s="294"/>
      <c r="C1" s="189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1"/>
      <c r="P1" s="191"/>
      <c r="Q1" s="192"/>
      <c r="R1" s="193"/>
      <c r="S1" s="191"/>
      <c r="T1" s="191"/>
      <c r="U1" s="191"/>
      <c r="V1" s="191"/>
      <c r="W1" s="190"/>
      <c r="X1" s="191"/>
      <c r="Y1" s="191"/>
      <c r="Z1" s="191"/>
      <c r="AA1" s="191"/>
      <c r="AB1" s="191"/>
      <c r="AC1" s="191"/>
      <c r="AD1" s="191"/>
      <c r="AE1" s="191"/>
      <c r="AF1" s="192"/>
      <c r="AG1" s="192"/>
      <c r="AH1" s="192"/>
      <c r="AI1" s="191"/>
    </row>
    <row r="2" spans="1:38">
      <c r="A2" s="295" t="s">
        <v>277</v>
      </c>
      <c r="B2" s="296"/>
      <c r="C2" s="194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1"/>
      <c r="P2" s="191"/>
      <c r="Q2" s="192"/>
      <c r="R2" s="195"/>
      <c r="S2" s="191"/>
      <c r="T2" s="191"/>
      <c r="U2" s="191"/>
      <c r="V2" s="191"/>
      <c r="W2" s="190"/>
      <c r="X2" s="191"/>
      <c r="Y2" s="191"/>
      <c r="Z2" s="191"/>
      <c r="AA2" s="191"/>
      <c r="AB2" s="191"/>
      <c r="AC2" s="191"/>
      <c r="AD2" s="191"/>
      <c r="AE2" s="191"/>
      <c r="AF2" s="192"/>
      <c r="AG2" s="192"/>
      <c r="AH2" s="192"/>
      <c r="AI2" s="191"/>
    </row>
    <row r="3" spans="1:38" s="181" customFormat="1">
      <c r="A3" s="297" t="s">
        <v>39</v>
      </c>
      <c r="B3" s="298"/>
      <c r="C3" s="196" t="s">
        <v>213</v>
      </c>
      <c r="D3" s="196" t="s">
        <v>214</v>
      </c>
      <c r="E3" s="196" t="s">
        <v>215</v>
      </c>
      <c r="F3" s="196" t="s">
        <v>216</v>
      </c>
      <c r="G3" s="196" t="s">
        <v>217</v>
      </c>
      <c r="H3" s="196" t="s">
        <v>218</v>
      </c>
      <c r="I3" s="196" t="s">
        <v>219</v>
      </c>
      <c r="J3" s="196" t="s">
        <v>220</v>
      </c>
      <c r="K3" s="196" t="s">
        <v>221</v>
      </c>
      <c r="L3" s="196" t="s">
        <v>222</v>
      </c>
      <c r="M3" s="196" t="s">
        <v>223</v>
      </c>
      <c r="N3" s="196" t="s">
        <v>224</v>
      </c>
      <c r="O3" s="196" t="s">
        <v>225</v>
      </c>
      <c r="P3" s="196" t="s">
        <v>226</v>
      </c>
      <c r="Q3" s="196" t="s">
        <v>227</v>
      </c>
      <c r="R3" s="197" t="s">
        <v>228</v>
      </c>
      <c r="S3" s="197" t="s">
        <v>229</v>
      </c>
      <c r="T3" s="197" t="s">
        <v>230</v>
      </c>
      <c r="U3" s="197" t="s">
        <v>231</v>
      </c>
      <c r="V3" s="197" t="s">
        <v>232</v>
      </c>
      <c r="W3" s="198" t="s">
        <v>233</v>
      </c>
      <c r="X3" s="197" t="s">
        <v>234</v>
      </c>
      <c r="Y3" s="197" t="s">
        <v>235</v>
      </c>
      <c r="Z3" s="197" t="s">
        <v>236</v>
      </c>
      <c r="AA3" s="197" t="s">
        <v>237</v>
      </c>
      <c r="AB3" s="197" t="s">
        <v>238</v>
      </c>
      <c r="AC3" s="197" t="s">
        <v>239</v>
      </c>
      <c r="AD3" s="197" t="s">
        <v>240</v>
      </c>
      <c r="AE3" s="197" t="s">
        <v>241</v>
      </c>
      <c r="AF3" s="197" t="s">
        <v>242</v>
      </c>
      <c r="AG3" s="197" t="s">
        <v>243</v>
      </c>
      <c r="AH3" s="199" t="s">
        <v>48</v>
      </c>
      <c r="AI3" s="200"/>
      <c r="AJ3" s="245"/>
      <c r="AK3" s="200"/>
      <c r="AL3" s="251"/>
    </row>
    <row r="4" spans="1:38">
      <c r="A4" s="201" t="s">
        <v>1</v>
      </c>
      <c r="B4" s="201" t="s">
        <v>2</v>
      </c>
      <c r="C4" s="202" t="s">
        <v>4</v>
      </c>
      <c r="D4" s="202" t="s">
        <v>4</v>
      </c>
      <c r="E4" s="202" t="s">
        <v>4</v>
      </c>
      <c r="F4" s="202" t="s">
        <v>4</v>
      </c>
      <c r="G4" s="202" t="s">
        <v>4</v>
      </c>
      <c r="H4" s="202" t="s">
        <v>4</v>
      </c>
      <c r="I4" s="202" t="s">
        <v>4</v>
      </c>
      <c r="J4" s="202" t="s">
        <v>4</v>
      </c>
      <c r="K4" s="202" t="s">
        <v>4</v>
      </c>
      <c r="L4" s="202" t="s">
        <v>4</v>
      </c>
      <c r="M4" s="202" t="s">
        <v>4</v>
      </c>
      <c r="N4" s="202" t="s">
        <v>4</v>
      </c>
      <c r="O4" s="202" t="s">
        <v>4</v>
      </c>
      <c r="P4" s="202" t="s">
        <v>4</v>
      </c>
      <c r="Q4" s="203" t="s">
        <v>4</v>
      </c>
      <c r="R4" s="202" t="s">
        <v>4</v>
      </c>
      <c r="S4" s="202" t="s">
        <v>4</v>
      </c>
      <c r="T4" s="202" t="s">
        <v>4</v>
      </c>
      <c r="U4" s="202" t="s">
        <v>4</v>
      </c>
      <c r="V4" s="202" t="s">
        <v>4</v>
      </c>
      <c r="W4" s="202" t="s">
        <v>4</v>
      </c>
      <c r="X4" s="202" t="s">
        <v>4</v>
      </c>
      <c r="Y4" s="202" t="s">
        <v>4</v>
      </c>
      <c r="Z4" s="202" t="s">
        <v>4</v>
      </c>
      <c r="AA4" s="202" t="s">
        <v>4</v>
      </c>
      <c r="AB4" s="202" t="s">
        <v>4</v>
      </c>
      <c r="AC4" s="202" t="s">
        <v>4</v>
      </c>
      <c r="AD4" s="202" t="s">
        <v>4</v>
      </c>
      <c r="AE4" s="202" t="s">
        <v>4</v>
      </c>
      <c r="AF4" s="203" t="s">
        <v>4</v>
      </c>
      <c r="AG4" s="203" t="s">
        <v>4</v>
      </c>
      <c r="AH4" s="204" t="s">
        <v>4</v>
      </c>
      <c r="AI4" s="191"/>
    </row>
    <row r="5" spans="1:38">
      <c r="A5" s="205">
        <v>1</v>
      </c>
      <c r="B5" s="206" t="s">
        <v>49</v>
      </c>
      <c r="C5" s="207">
        <f>+'01'!D4</f>
        <v>0</v>
      </c>
      <c r="D5" s="207">
        <f>+'02'!D4</f>
        <v>0</v>
      </c>
      <c r="E5" s="207">
        <f>+'03'!D4</f>
        <v>0</v>
      </c>
      <c r="F5" s="207">
        <f>+'04'!D4</f>
        <v>0</v>
      </c>
      <c r="G5" s="207">
        <f>+'05'!D4</f>
        <v>0</v>
      </c>
      <c r="H5" s="207">
        <f>+'06'!D4</f>
        <v>0</v>
      </c>
      <c r="I5" s="207">
        <f>+'06'!D4</f>
        <v>0</v>
      </c>
      <c r="J5" s="207">
        <f>+'08'!D4</f>
        <v>0</v>
      </c>
      <c r="K5" s="207">
        <f>+'09'!D4</f>
        <v>0</v>
      </c>
      <c r="L5" s="207">
        <f>+'10'!D4</f>
        <v>0</v>
      </c>
      <c r="M5" s="207">
        <f>+'11'!D4</f>
        <v>0</v>
      </c>
      <c r="N5" s="207">
        <f>+'12'!D4</f>
        <v>0</v>
      </c>
      <c r="O5" s="207">
        <f>+'13'!D4</f>
        <v>0</v>
      </c>
      <c r="P5" s="207">
        <f>+'14'!D4</f>
        <v>0</v>
      </c>
      <c r="Q5" s="207">
        <f>+'15'!D4</f>
        <v>0</v>
      </c>
      <c r="R5" s="207">
        <f>+'16'!D4</f>
        <v>0</v>
      </c>
      <c r="S5" s="207">
        <f>+'17'!D4</f>
        <v>0</v>
      </c>
      <c r="T5" s="207">
        <f>+'18'!D4</f>
        <v>0</v>
      </c>
      <c r="U5" s="208">
        <f>+'19'!D4</f>
        <v>0</v>
      </c>
      <c r="V5" s="208">
        <f>+'20'!D4</f>
        <v>0</v>
      </c>
      <c r="W5" s="208">
        <f>+'21'!D4</f>
        <v>0</v>
      </c>
      <c r="X5" s="208">
        <f>+'22'!D4</f>
        <v>0</v>
      </c>
      <c r="Y5" s="208">
        <f>+'23'!D4</f>
        <v>0</v>
      </c>
      <c r="Z5" s="208">
        <f>+'24'!D4</f>
        <v>0</v>
      </c>
      <c r="AA5" s="208">
        <f>+'25'!D4</f>
        <v>0</v>
      </c>
      <c r="AB5" s="208">
        <f>+'26'!D4</f>
        <v>0</v>
      </c>
      <c r="AC5" s="208">
        <f>+'27'!D4</f>
        <v>0</v>
      </c>
      <c r="AD5" s="208">
        <f>+'28'!D4</f>
        <v>0</v>
      </c>
      <c r="AE5" s="208">
        <f>+'29'!D4</f>
        <v>0</v>
      </c>
      <c r="AF5" s="208">
        <f>+'30'!D4</f>
        <v>0</v>
      </c>
      <c r="AG5" s="208">
        <f>+'31'!D4</f>
        <v>0</v>
      </c>
      <c r="AH5" s="208">
        <f>+C5+D5+E5+F5+G5+H5+I5+J5+K5+L5+M5+N5+O5+P5+Q5+R5+S5+T5+U5+V5+W5+X5+Y5+Z5+AA5+AB5+AC5+AD5+AE5+AF5+AG5</f>
        <v>0</v>
      </c>
      <c r="AI5" s="191"/>
    </row>
    <row r="6" spans="1:38">
      <c r="A6" s="205">
        <v>2</v>
      </c>
      <c r="B6" s="206" t="s">
        <v>50</v>
      </c>
      <c r="C6" s="208">
        <f>+'01'!D5</f>
        <v>0</v>
      </c>
      <c r="D6" s="207">
        <f>+'02'!D5</f>
        <v>0</v>
      </c>
      <c r="E6" s="207">
        <f>+'03'!D5</f>
        <v>0</v>
      </c>
      <c r="F6" s="207">
        <f>+'04'!D5</f>
        <v>0</v>
      </c>
      <c r="G6" s="207">
        <f>+'05'!D5</f>
        <v>0</v>
      </c>
      <c r="H6" s="207">
        <f>+'06'!D5</f>
        <v>0</v>
      </c>
      <c r="I6" s="207">
        <f>+'06'!D5</f>
        <v>0</v>
      </c>
      <c r="J6" s="207">
        <f>+'08'!D5</f>
        <v>0</v>
      </c>
      <c r="K6" s="207">
        <f>+'09'!D5</f>
        <v>0</v>
      </c>
      <c r="L6" s="207">
        <f>+'10'!D5</f>
        <v>0</v>
      </c>
      <c r="M6" s="207">
        <f>+'11'!D5</f>
        <v>0</v>
      </c>
      <c r="N6" s="207">
        <f>+'12'!D5</f>
        <v>0</v>
      </c>
      <c r="O6" s="207">
        <f>+'13'!D5</f>
        <v>0</v>
      </c>
      <c r="P6" s="207">
        <f>+'14'!D5</f>
        <v>0</v>
      </c>
      <c r="Q6" s="207">
        <f>+'15'!D5</f>
        <v>0</v>
      </c>
      <c r="R6" s="207">
        <f>+'16'!D5</f>
        <v>0</v>
      </c>
      <c r="S6" s="207">
        <f>+'17'!D5</f>
        <v>0</v>
      </c>
      <c r="T6" s="207">
        <f>+'18'!D5</f>
        <v>0</v>
      </c>
      <c r="U6" s="208">
        <f>+'19'!D5</f>
        <v>0</v>
      </c>
      <c r="V6" s="208">
        <f>+'20'!D5</f>
        <v>0</v>
      </c>
      <c r="W6" s="208">
        <f>+'21'!D5</f>
        <v>0</v>
      </c>
      <c r="X6" s="208">
        <f>+'22'!D5</f>
        <v>0</v>
      </c>
      <c r="Y6" s="208">
        <f>+'23'!D5</f>
        <v>0</v>
      </c>
      <c r="Z6" s="208">
        <f>+'24'!D5</f>
        <v>0</v>
      </c>
      <c r="AA6" s="208">
        <f>+'25'!D5</f>
        <v>0</v>
      </c>
      <c r="AB6" s="208">
        <f>+'26'!D5</f>
        <v>0</v>
      </c>
      <c r="AC6" s="208">
        <f>+'27'!D5</f>
        <v>0</v>
      </c>
      <c r="AD6" s="208">
        <f>+'28'!D5</f>
        <v>0</v>
      </c>
      <c r="AE6" s="208">
        <f>+'29'!D5</f>
        <v>0</v>
      </c>
      <c r="AF6" s="208">
        <f>+'30'!D5</f>
        <v>0</v>
      </c>
      <c r="AG6" s="208">
        <f>+'31'!D5</f>
        <v>0</v>
      </c>
      <c r="AH6" s="208">
        <f t="shared" ref="AH6:AH51" si="0">+C6+D6+E6+F6+G6+H6+I6+J6+K6+L6+M6+N6+O6+P6+Q6+R6+S6+T6+U6+V6+W6+X6+Y6+Z6+AA6+AB6+AC6+AD6+AE6+AF6+AG6</f>
        <v>0</v>
      </c>
      <c r="AI6" s="191"/>
      <c r="AJ6" s="246"/>
      <c r="AK6" s="190"/>
    </row>
    <row r="7" spans="1:38" s="182" customFormat="1" ht="29.25">
      <c r="A7" s="209">
        <v>3</v>
      </c>
      <c r="B7" s="210" t="s">
        <v>248</v>
      </c>
      <c r="C7" s="211">
        <f>+'01'!D6</f>
        <v>1196065.3500000001</v>
      </c>
      <c r="D7" s="212">
        <f>+'02'!D6</f>
        <v>991915.36</v>
      </c>
      <c r="E7" s="212">
        <f>+'03'!D6</f>
        <v>1013029.39</v>
      </c>
      <c r="F7" s="212">
        <f>+'04'!D6</f>
        <v>1091659.6100000001</v>
      </c>
      <c r="G7" s="212">
        <f>+'05'!D6</f>
        <v>201880</v>
      </c>
      <c r="H7" s="212">
        <f>+'06'!D6</f>
        <v>258386.09</v>
      </c>
      <c r="I7" s="212">
        <f>+'07'!D6</f>
        <v>1297943.49</v>
      </c>
      <c r="J7" s="212">
        <f>+'08'!D6</f>
        <v>996194.45</v>
      </c>
      <c r="K7" s="212">
        <f>+'09'!D6</f>
        <v>1017542.35</v>
      </c>
      <c r="L7" s="212">
        <f>+'10'!D6</f>
        <v>1108876.3500000001</v>
      </c>
      <c r="M7" s="212">
        <f>+'11'!D6</f>
        <v>986978.24</v>
      </c>
      <c r="N7" s="212">
        <f>+'12'!D6</f>
        <v>110870.75</v>
      </c>
      <c r="O7" s="212">
        <f>+'13'!D6</f>
        <v>170846.61</v>
      </c>
      <c r="P7" s="212">
        <f>+'14'!D6</f>
        <v>1018355.86</v>
      </c>
      <c r="Q7" s="212">
        <f>+'15'!D6</f>
        <v>1274832.07</v>
      </c>
      <c r="R7" s="212">
        <f>+'16'!D6</f>
        <v>1008976.24</v>
      </c>
      <c r="S7" s="212">
        <f>+'17'!D6</f>
        <v>839863.98</v>
      </c>
      <c r="T7" s="212">
        <f>+'18'!D6</f>
        <v>1122239.24</v>
      </c>
      <c r="U7" s="211">
        <f>+'19'!D6</f>
        <v>193825.25</v>
      </c>
      <c r="V7" s="211">
        <f>+'20'!D6</f>
        <v>329834.84999999998</v>
      </c>
      <c r="W7" s="211">
        <f>+'21'!D6</f>
        <v>913597.87</v>
      </c>
      <c r="X7" s="211">
        <f>+'22'!D6</f>
        <v>1218743.8400000001</v>
      </c>
      <c r="Y7" s="211">
        <f>+'23'!D6</f>
        <v>913086.85</v>
      </c>
      <c r="Z7" s="211">
        <f>+'24'!D6</f>
        <v>859308.97</v>
      </c>
      <c r="AA7" s="211">
        <f>+'25'!D6</f>
        <v>1081041.8500000001</v>
      </c>
      <c r="AB7" s="211">
        <f>+'26'!D6</f>
        <v>355204.73</v>
      </c>
      <c r="AC7" s="211">
        <f>+'27'!D6</f>
        <v>137010.5</v>
      </c>
      <c r="AD7" s="211">
        <f>+'28'!D6</f>
        <v>1149593</v>
      </c>
      <c r="AE7" s="211">
        <f>+'29'!D6</f>
        <v>1021933.09</v>
      </c>
      <c r="AF7" s="211">
        <f>+'30'!D6</f>
        <v>1282664</v>
      </c>
      <c r="AG7" s="211">
        <f>+'31'!D6</f>
        <v>0</v>
      </c>
      <c r="AH7" s="213">
        <f t="shared" si="0"/>
        <v>25162300.23</v>
      </c>
      <c r="AI7" s="191"/>
      <c r="AJ7" s="246">
        <f>12735375.97+12426924.26</f>
        <v>25162300.23</v>
      </c>
      <c r="AK7" s="190">
        <f>+AH7-AJ7</f>
        <v>0</v>
      </c>
      <c r="AL7" s="252"/>
    </row>
    <row r="8" spans="1:38" s="182" customFormat="1" ht="29.25">
      <c r="A8" s="209"/>
      <c r="B8" s="210" t="s">
        <v>247</v>
      </c>
      <c r="C8" s="211">
        <f>+'01'!D7</f>
        <v>0</v>
      </c>
      <c r="D8" s="212">
        <f>+'02'!D7</f>
        <v>0</v>
      </c>
      <c r="E8" s="212">
        <f>+'03'!D7</f>
        <v>0</v>
      </c>
      <c r="F8" s="212">
        <f>+'04'!D7</f>
        <v>0</v>
      </c>
      <c r="G8" s="212">
        <f>+'05'!D7</f>
        <v>0</v>
      </c>
      <c r="H8" s="212">
        <f>+'06'!D7</f>
        <v>0</v>
      </c>
      <c r="I8" s="212">
        <f>+'07'!D7</f>
        <v>0</v>
      </c>
      <c r="J8" s="212">
        <f>+'08'!D7</f>
        <v>0</v>
      </c>
      <c r="K8" s="212">
        <f>+'09'!D7</f>
        <v>0</v>
      </c>
      <c r="L8" s="212">
        <f>+'10'!D7</f>
        <v>0</v>
      </c>
      <c r="M8" s="212">
        <f>+'11'!D7</f>
        <v>0</v>
      </c>
      <c r="N8" s="212">
        <f>+'12'!D7</f>
        <v>0</v>
      </c>
      <c r="O8" s="212">
        <f>+'13'!D7</f>
        <v>0</v>
      </c>
      <c r="P8" s="212">
        <f>+'14'!D7</f>
        <v>0</v>
      </c>
      <c r="Q8" s="212">
        <f>+'15'!D7</f>
        <v>0</v>
      </c>
      <c r="R8" s="212">
        <f>+'16'!D7</f>
        <v>0</v>
      </c>
      <c r="S8" s="212">
        <f>+'17'!D7</f>
        <v>0</v>
      </c>
      <c r="T8" s="212">
        <f>+'18'!D7</f>
        <v>0</v>
      </c>
      <c r="U8" s="211">
        <f>+'19'!D7</f>
        <v>0</v>
      </c>
      <c r="V8" s="211">
        <f>+'20'!D7</f>
        <v>0</v>
      </c>
      <c r="W8" s="211">
        <f>+'21'!D7</f>
        <v>0</v>
      </c>
      <c r="X8" s="211">
        <f>+'22'!D7</f>
        <v>0</v>
      </c>
      <c r="Y8" s="211">
        <f>+'23'!D7</f>
        <v>0</v>
      </c>
      <c r="Z8" s="211">
        <f>+'24'!D7</f>
        <v>0</v>
      </c>
      <c r="AA8" s="211">
        <f>+'25'!D7</f>
        <v>0</v>
      </c>
      <c r="AB8" s="211">
        <f>+'26'!D7</f>
        <v>0</v>
      </c>
      <c r="AC8" s="211">
        <f>+'27'!D7</f>
        <v>0</v>
      </c>
      <c r="AD8" s="211">
        <f>+'28'!D7</f>
        <v>0</v>
      </c>
      <c r="AE8" s="211">
        <f>+'29'!D7</f>
        <v>0</v>
      </c>
      <c r="AF8" s="211">
        <f>+'30'!D7</f>
        <v>0</v>
      </c>
      <c r="AG8" s="211">
        <f>+'31'!D7</f>
        <v>0</v>
      </c>
      <c r="AH8" s="213">
        <f>+C8+D8+E8+F8+G8+H8+I8+J8+K8+L8+M8+N8+O8+P8+Q8+R8+S8+T8+U8+V8+W8+X8+Y8+Z8+AA8+AB8+AC8+AD8+AE8+AF8+AG8</f>
        <v>0</v>
      </c>
      <c r="AI8" s="191"/>
      <c r="AJ8" s="246"/>
      <c r="AK8" s="190">
        <f t="shared" ref="AK8" si="1">+AH8-AJ8</f>
        <v>0</v>
      </c>
      <c r="AL8" s="252"/>
    </row>
    <row r="9" spans="1:38" s="182" customFormat="1" ht="29.25">
      <c r="A9" s="209"/>
      <c r="B9" s="210" t="s">
        <v>54</v>
      </c>
      <c r="C9" s="211">
        <f>+'01'!D8</f>
        <v>0</v>
      </c>
      <c r="D9" s="212">
        <f>+'02'!D8</f>
        <v>0</v>
      </c>
      <c r="E9" s="212">
        <f>+'03'!D8</f>
        <v>0</v>
      </c>
      <c r="F9" s="212">
        <f>+'04'!D8</f>
        <v>0</v>
      </c>
      <c r="G9" s="212">
        <f>+'05'!D8</f>
        <v>0</v>
      </c>
      <c r="H9" s="212">
        <f>+'06'!D8</f>
        <v>0</v>
      </c>
      <c r="I9" s="212">
        <f>+'07'!D8</f>
        <v>0</v>
      </c>
      <c r="J9" s="212">
        <f>+'08'!D8</f>
        <v>0</v>
      </c>
      <c r="K9" s="212">
        <f>+'09'!D8</f>
        <v>0</v>
      </c>
      <c r="L9" s="212">
        <f>+'10'!D8</f>
        <v>0</v>
      </c>
      <c r="M9" s="212">
        <f>+'11'!D8</f>
        <v>0</v>
      </c>
      <c r="N9" s="212">
        <f>+'12'!D8</f>
        <v>0</v>
      </c>
      <c r="O9" s="212">
        <f>+'13'!D8</f>
        <v>0</v>
      </c>
      <c r="P9" s="212">
        <f>+'14'!D8</f>
        <v>0</v>
      </c>
      <c r="Q9" s="212">
        <f>+'15'!D8</f>
        <v>0</v>
      </c>
      <c r="R9" s="212">
        <f>+'16'!D8</f>
        <v>0</v>
      </c>
      <c r="S9" s="212">
        <f>+'17'!D8</f>
        <v>0</v>
      </c>
      <c r="T9" s="212">
        <f>+'18'!D8</f>
        <v>0</v>
      </c>
      <c r="U9" s="211">
        <f>+'19'!D8</f>
        <v>0</v>
      </c>
      <c r="V9" s="211">
        <f>+'20'!D8</f>
        <v>0</v>
      </c>
      <c r="W9" s="211">
        <f>+'21'!D8</f>
        <v>0</v>
      </c>
      <c r="X9" s="211">
        <f>+'22'!D8</f>
        <v>0</v>
      </c>
      <c r="Y9" s="211">
        <f>+'23'!D8</f>
        <v>0</v>
      </c>
      <c r="Z9" s="211">
        <f>+'24'!D8</f>
        <v>0</v>
      </c>
      <c r="AA9" s="211">
        <f>+'25'!D8</f>
        <v>0</v>
      </c>
      <c r="AB9" s="211">
        <f>+'26'!D8</f>
        <v>0</v>
      </c>
      <c r="AC9" s="211">
        <f>+'27'!D8</f>
        <v>0</v>
      </c>
      <c r="AD9" s="211">
        <f>+'28'!D8</f>
        <v>0</v>
      </c>
      <c r="AE9" s="211">
        <f>+'29'!D8</f>
        <v>0</v>
      </c>
      <c r="AF9" s="211">
        <f>+'30'!D8</f>
        <v>0</v>
      </c>
      <c r="AG9" s="211">
        <f>+'31'!D8</f>
        <v>0</v>
      </c>
      <c r="AH9" s="213">
        <f t="shared" si="0"/>
        <v>0</v>
      </c>
      <c r="AI9" s="191"/>
      <c r="AJ9" s="246"/>
      <c r="AK9" s="190">
        <f t="shared" ref="AK9:AK12" si="2">+AH9-AJ9</f>
        <v>0</v>
      </c>
      <c r="AL9" s="252"/>
    </row>
    <row r="10" spans="1:38" s="182" customFormat="1" ht="29.25">
      <c r="A10" s="209">
        <v>4</v>
      </c>
      <c r="B10" s="210" t="s">
        <v>55</v>
      </c>
      <c r="C10" s="211">
        <f>+'01'!D9</f>
        <v>14625.57</v>
      </c>
      <c r="D10" s="212">
        <f>+'02'!D9</f>
        <v>10241.75</v>
      </c>
      <c r="E10" s="212">
        <f>+'03'!D9</f>
        <v>1002440.27</v>
      </c>
      <c r="F10" s="212">
        <f>+'04'!D9</f>
        <v>301960.53999999998</v>
      </c>
      <c r="G10" s="212">
        <f>+'05'!D9</f>
        <v>2011182.78</v>
      </c>
      <c r="H10" s="212">
        <f>+'06'!D9</f>
        <v>119707.28</v>
      </c>
      <c r="I10" s="212">
        <f>+'07'!D9</f>
        <v>395076.87</v>
      </c>
      <c r="J10" s="212">
        <f>+'08'!D9</f>
        <v>39275.5</v>
      </c>
      <c r="K10" s="212">
        <f>+'09'!D9</f>
        <v>606366.98</v>
      </c>
      <c r="L10" s="212">
        <f>+'10'!D9</f>
        <v>520167.66</v>
      </c>
      <c r="M10" s="212">
        <f>+'11'!D9</f>
        <v>511836.05</v>
      </c>
      <c r="N10" s="212">
        <f>+'12'!D9</f>
        <v>97675.5</v>
      </c>
      <c r="O10" s="212">
        <f>+'13'!D9</f>
        <v>355525.54</v>
      </c>
      <c r="P10" s="212">
        <f>+'14'!D9</f>
        <v>601392.47</v>
      </c>
      <c r="Q10" s="212">
        <f>+'15'!D9</f>
        <v>274115</v>
      </c>
      <c r="R10" s="212">
        <f>+'16'!D9</f>
        <v>679335.82</v>
      </c>
      <c r="S10" s="212">
        <f>+'17'!D9</f>
        <v>745840.03</v>
      </c>
      <c r="T10" s="212">
        <f>+'18'!D9</f>
        <v>624372.93999999994</v>
      </c>
      <c r="U10" s="211">
        <f>+'19'!D9</f>
        <v>318129</v>
      </c>
      <c r="V10" s="211">
        <f>+'20'!D9</f>
        <v>241412.25</v>
      </c>
      <c r="W10" s="211">
        <f>+'21'!D9</f>
        <v>227948.23</v>
      </c>
      <c r="X10" s="211">
        <f>+'22'!D9</f>
        <v>506953.09</v>
      </c>
      <c r="Y10" s="211">
        <f>+'23'!D9</f>
        <v>263419.78999999998</v>
      </c>
      <c r="Z10" s="211">
        <f>+'24'!D9</f>
        <v>1076649.96</v>
      </c>
      <c r="AA10" s="211">
        <f>+'25'!D9</f>
        <v>378301.64</v>
      </c>
      <c r="AB10" s="211">
        <f>+'26'!D9</f>
        <v>652944.31000000006</v>
      </c>
      <c r="AC10" s="211">
        <f>+'27'!D9</f>
        <v>242887.03</v>
      </c>
      <c r="AD10" s="211">
        <f>+'28'!D9</f>
        <v>403418.64</v>
      </c>
      <c r="AE10" s="211">
        <f>+'29'!D9</f>
        <v>198262.26</v>
      </c>
      <c r="AF10" s="211">
        <f>+'30'!D9</f>
        <v>314636.63</v>
      </c>
      <c r="AG10" s="211">
        <f>+'31'!D9</f>
        <v>0</v>
      </c>
      <c r="AH10" s="213">
        <f t="shared" si="0"/>
        <v>13736101.380000003</v>
      </c>
      <c r="AI10" s="191"/>
      <c r="AJ10" s="247">
        <f>6861589.76+6874511.62</f>
        <v>13736101.379999999</v>
      </c>
      <c r="AK10" s="190">
        <f t="shared" si="2"/>
        <v>0</v>
      </c>
      <c r="AL10" s="252"/>
    </row>
    <row r="11" spans="1:38" s="182" customFormat="1" ht="29.25">
      <c r="A11" s="209"/>
      <c r="B11" s="210" t="s">
        <v>249</v>
      </c>
      <c r="C11" s="211">
        <f>+'01'!D10</f>
        <v>0</v>
      </c>
      <c r="D11" s="212">
        <f>+'02'!D10</f>
        <v>0</v>
      </c>
      <c r="E11" s="212">
        <f>+'03'!D10</f>
        <v>0</v>
      </c>
      <c r="F11" s="212">
        <f>+'04'!D10</f>
        <v>0</v>
      </c>
      <c r="G11" s="212">
        <f>+'05'!D10</f>
        <v>0</v>
      </c>
      <c r="H11" s="212">
        <f>+'06'!D10</f>
        <v>0</v>
      </c>
      <c r="I11" s="212">
        <f>+'07'!D10</f>
        <v>0</v>
      </c>
      <c r="J11" s="212">
        <f>+'08'!D10</f>
        <v>0</v>
      </c>
      <c r="K11" s="212">
        <f>+'09'!D10</f>
        <v>0</v>
      </c>
      <c r="L11" s="212">
        <f>+'10'!D10</f>
        <v>0</v>
      </c>
      <c r="M11" s="212">
        <f>+'11'!D10</f>
        <v>0</v>
      </c>
      <c r="N11" s="212">
        <f>+'12'!D10</f>
        <v>0</v>
      </c>
      <c r="O11" s="212">
        <f>+'13'!D10</f>
        <v>0</v>
      </c>
      <c r="P11" s="212">
        <f>+'14'!D10</f>
        <v>0</v>
      </c>
      <c r="Q11" s="212">
        <f>+'15'!D10</f>
        <v>0</v>
      </c>
      <c r="R11" s="212">
        <f>+'16'!D10</f>
        <v>0</v>
      </c>
      <c r="S11" s="212">
        <f>+'17'!D10</f>
        <v>0</v>
      </c>
      <c r="T11" s="212">
        <f>+'18'!D10</f>
        <v>0</v>
      </c>
      <c r="U11" s="211">
        <f>+'19'!D10</f>
        <v>0</v>
      </c>
      <c r="V11" s="211">
        <f>+'20'!D10</f>
        <v>0</v>
      </c>
      <c r="W11" s="211">
        <f>+'21'!D10</f>
        <v>0</v>
      </c>
      <c r="X11" s="211">
        <f>+'22'!D10</f>
        <v>0</v>
      </c>
      <c r="Y11" s="211">
        <f>+'23'!D10</f>
        <v>0</v>
      </c>
      <c r="Z11" s="211">
        <f>+'24'!D10</f>
        <v>0</v>
      </c>
      <c r="AA11" s="211">
        <f>+'25'!D10</f>
        <v>0</v>
      </c>
      <c r="AB11" s="211">
        <f>+'26'!D10</f>
        <v>0</v>
      </c>
      <c r="AC11" s="211">
        <f>+'27'!D10</f>
        <v>0</v>
      </c>
      <c r="AD11" s="211">
        <f>+'28'!D10</f>
        <v>0</v>
      </c>
      <c r="AE11" s="211">
        <f>+'29'!D10</f>
        <v>0</v>
      </c>
      <c r="AF11" s="211">
        <f>+'30'!D10</f>
        <v>0</v>
      </c>
      <c r="AG11" s="211">
        <f>+'31'!D10</f>
        <v>0</v>
      </c>
      <c r="AH11" s="213">
        <f t="shared" ref="AH11" si="3">+C11+D11+E11+F11+G11+H11+I11+J11+K11+L11+M11+N11+O11+P11+Q11+R11+S11+T11+U11+V11+W11+X11+Y11+Z11+AA11+AB11+AC11+AD11+AE11+AF11+AG11</f>
        <v>0</v>
      </c>
      <c r="AI11" s="191"/>
      <c r="AJ11" s="246"/>
      <c r="AK11" s="190">
        <f t="shared" si="2"/>
        <v>0</v>
      </c>
      <c r="AL11" s="253"/>
    </row>
    <row r="12" spans="1:38" s="182" customFormat="1" ht="29.25">
      <c r="A12" s="209"/>
      <c r="B12" s="210" t="s">
        <v>56</v>
      </c>
      <c r="C12" s="211">
        <f>+'01'!D11</f>
        <v>0</v>
      </c>
      <c r="D12" s="212">
        <f>+'02'!D11</f>
        <v>0</v>
      </c>
      <c r="E12" s="212">
        <f>+'03'!D11</f>
        <v>0</v>
      </c>
      <c r="F12" s="212">
        <f>+'04'!D11</f>
        <v>0</v>
      </c>
      <c r="G12" s="212">
        <f>+'05'!D11</f>
        <v>0</v>
      </c>
      <c r="H12" s="212">
        <f>+'06'!D11</f>
        <v>0</v>
      </c>
      <c r="I12" s="212">
        <f>+'07'!D11</f>
        <v>0</v>
      </c>
      <c r="J12" s="212">
        <f>+'08'!D11</f>
        <v>0</v>
      </c>
      <c r="K12" s="212">
        <f>+'09'!D11</f>
        <v>0</v>
      </c>
      <c r="L12" s="212">
        <f>+'10'!D11</f>
        <v>0</v>
      </c>
      <c r="M12" s="212">
        <f>+'11'!D11</f>
        <v>0</v>
      </c>
      <c r="N12" s="212">
        <f>+'12'!D11</f>
        <v>0</v>
      </c>
      <c r="O12" s="212">
        <f>+'13'!D11</f>
        <v>0</v>
      </c>
      <c r="P12" s="212">
        <f>+'14'!D11</f>
        <v>0</v>
      </c>
      <c r="Q12" s="212">
        <f>+'15'!D11</f>
        <v>0</v>
      </c>
      <c r="R12" s="212">
        <f>+'16'!D11</f>
        <v>0</v>
      </c>
      <c r="S12" s="212">
        <f>+'17'!D11</f>
        <v>0</v>
      </c>
      <c r="T12" s="212">
        <f>+'18'!D11</f>
        <v>0</v>
      </c>
      <c r="U12" s="211">
        <f>+'19'!D11</f>
        <v>24110</v>
      </c>
      <c r="V12" s="211">
        <f>+'20'!D11</f>
        <v>0</v>
      </c>
      <c r="W12" s="211">
        <f>+'21'!D11</f>
        <v>0</v>
      </c>
      <c r="X12" s="211">
        <f>+'22'!D11</f>
        <v>0</v>
      </c>
      <c r="Y12" s="211">
        <f>+'23'!D11</f>
        <v>0</v>
      </c>
      <c r="Z12" s="211">
        <f>+'24'!D11</f>
        <v>33072</v>
      </c>
      <c r="AA12" s="211">
        <f>+'25'!D11</f>
        <v>8392</v>
      </c>
      <c r="AB12" s="211">
        <f>+'26'!D11</f>
        <v>0</v>
      </c>
      <c r="AC12" s="211">
        <f>+'27'!D11</f>
        <v>18548</v>
      </c>
      <c r="AD12" s="211">
        <f>+'28'!D11</f>
        <v>0</v>
      </c>
      <c r="AE12" s="211">
        <f>+'29'!D11</f>
        <v>0</v>
      </c>
      <c r="AF12" s="211">
        <f>+'30'!D11</f>
        <v>0</v>
      </c>
      <c r="AG12" s="211">
        <f>+'31'!D11</f>
        <v>0</v>
      </c>
      <c r="AH12" s="213">
        <f>+C12+D12+E12+F12+G12+H12+I12+J12+K12+L12+M12+N12+O12+P12+Q12+R12+S12+T12+U12+V12+W12+X12+Y12+Z12+AA12+AB12+AC12+AD12+AE12+AF12+AG12</f>
        <v>84122</v>
      </c>
      <c r="AI12" s="191"/>
      <c r="AJ12" s="247">
        <v>84122</v>
      </c>
      <c r="AK12" s="190">
        <f t="shared" si="2"/>
        <v>0</v>
      </c>
      <c r="AL12" s="252"/>
    </row>
    <row r="13" spans="1:38" s="182" customFormat="1" ht="29.25">
      <c r="A13" s="209">
        <v>5</v>
      </c>
      <c r="B13" s="210" t="s">
        <v>57</v>
      </c>
      <c r="C13" s="211">
        <f>+'01'!D12</f>
        <v>250757</v>
      </c>
      <c r="D13" s="212">
        <f>+'02'!D12</f>
        <v>204218.5</v>
      </c>
      <c r="E13" s="212">
        <f>+'03'!D12</f>
        <v>99684.5</v>
      </c>
      <c r="F13" s="212">
        <f>+'04'!D12</f>
        <v>173171.75</v>
      </c>
      <c r="G13" s="212">
        <f>+'05'!D12</f>
        <v>8111.5</v>
      </c>
      <c r="H13" s="212">
        <f>+'06'!D12</f>
        <v>2595</v>
      </c>
      <c r="I13" s="212">
        <f>+'07'!D12</f>
        <v>194220.5</v>
      </c>
      <c r="J13" s="212">
        <f>+'08'!D12</f>
        <v>148808.5</v>
      </c>
      <c r="K13" s="212">
        <f>+'09'!D12</f>
        <v>221222.5</v>
      </c>
      <c r="L13" s="212">
        <f>+'10'!D12</f>
        <v>98994.25</v>
      </c>
      <c r="M13" s="212">
        <f>+'11'!D12</f>
        <v>101994.75</v>
      </c>
      <c r="N13" s="212">
        <f>+'12'!D12</f>
        <v>11465.25</v>
      </c>
      <c r="O13" s="212">
        <f>+'13'!D12</f>
        <v>1080</v>
      </c>
      <c r="P13" s="212">
        <f>+'14'!D12</f>
        <v>99846.75</v>
      </c>
      <c r="Q13" s="212">
        <f>+'15'!D12</f>
        <v>152161</v>
      </c>
      <c r="R13" s="212">
        <f>+'16'!D12</f>
        <v>206032</v>
      </c>
      <c r="S13" s="212">
        <f>+'17'!D12</f>
        <v>116098.5</v>
      </c>
      <c r="T13" s="212">
        <f>+'18'!D12</f>
        <v>152679.75</v>
      </c>
      <c r="U13" s="211">
        <f>+'19'!D12</f>
        <v>31056</v>
      </c>
      <c r="V13" s="211">
        <f>+'20'!D12</f>
        <v>1965</v>
      </c>
      <c r="W13" s="211">
        <f>+'21'!D12</f>
        <v>135374.75</v>
      </c>
      <c r="X13" s="211">
        <f>+'22'!D12</f>
        <v>189018</v>
      </c>
      <c r="Y13" s="211">
        <f>+'23'!D12</f>
        <v>114224.25</v>
      </c>
      <c r="Z13" s="211">
        <f>+'24'!D12</f>
        <v>84758.25</v>
      </c>
      <c r="AA13" s="211">
        <f>+'25'!D12</f>
        <v>98683.24</v>
      </c>
      <c r="AB13" s="211">
        <f>+'26'!D12</f>
        <v>31477.75</v>
      </c>
      <c r="AC13" s="211">
        <f>+'27'!D12</f>
        <v>990</v>
      </c>
      <c r="AD13" s="211">
        <f>+'28'!D12</f>
        <v>184521</v>
      </c>
      <c r="AE13" s="211">
        <f>+'29'!D12</f>
        <v>160522.5</v>
      </c>
      <c r="AF13" s="211">
        <f>+'30'!D12</f>
        <v>235698.87</v>
      </c>
      <c r="AG13" s="211">
        <f>+'31'!D12</f>
        <v>0</v>
      </c>
      <c r="AH13" s="213">
        <f t="shared" si="0"/>
        <v>3511431.6100000003</v>
      </c>
      <c r="AI13" s="191"/>
      <c r="AJ13" s="246">
        <f>1768331.75+1743099.86</f>
        <v>3511431.6100000003</v>
      </c>
      <c r="AK13" s="190">
        <f>+AH13-AJ13</f>
        <v>0</v>
      </c>
      <c r="AL13" s="252"/>
    </row>
    <row r="14" spans="1:38" s="182" customFormat="1" ht="29.25">
      <c r="A14" s="209"/>
      <c r="B14" s="210" t="s">
        <v>58</v>
      </c>
      <c r="C14" s="211">
        <f>+'01'!D13</f>
        <v>0</v>
      </c>
      <c r="D14" s="212">
        <f>+'02'!D13</f>
        <v>0</v>
      </c>
      <c r="E14" s="212">
        <f>+'03'!D13</f>
        <v>0</v>
      </c>
      <c r="F14" s="212">
        <f>+'04'!D13</f>
        <v>0</v>
      </c>
      <c r="G14" s="212">
        <f>+'05'!D13</f>
        <v>0</v>
      </c>
      <c r="H14" s="212">
        <f>+'06'!D13</f>
        <v>0</v>
      </c>
      <c r="I14" s="212">
        <f>+'07'!D13</f>
        <v>0</v>
      </c>
      <c r="J14" s="212">
        <f>+'08'!D13</f>
        <v>0</v>
      </c>
      <c r="K14" s="212">
        <f>+'09'!D13</f>
        <v>0</v>
      </c>
      <c r="L14" s="212">
        <f>+'10'!D13</f>
        <v>0</v>
      </c>
      <c r="M14" s="212">
        <f>+'11'!D13</f>
        <v>0</v>
      </c>
      <c r="N14" s="212">
        <f>+'12'!D13</f>
        <v>0</v>
      </c>
      <c r="O14" s="212">
        <f>+'13'!D13</f>
        <v>0</v>
      </c>
      <c r="P14" s="212">
        <f>+'14'!D13</f>
        <v>0</v>
      </c>
      <c r="Q14" s="212">
        <f>+'15'!D13</f>
        <v>0</v>
      </c>
      <c r="R14" s="212">
        <f>+'16'!D13</f>
        <v>0</v>
      </c>
      <c r="S14" s="212">
        <f>+'17'!D13</f>
        <v>0</v>
      </c>
      <c r="T14" s="212">
        <f>+'18'!D13</f>
        <v>0</v>
      </c>
      <c r="U14" s="211">
        <f>+'19'!D13</f>
        <v>0</v>
      </c>
      <c r="V14" s="211">
        <f>+'20'!D13</f>
        <v>0</v>
      </c>
      <c r="W14" s="211">
        <f>+'21'!D13</f>
        <v>0</v>
      </c>
      <c r="X14" s="211">
        <f>+'22'!D13</f>
        <v>0</v>
      </c>
      <c r="Y14" s="211">
        <f>+'23'!D13</f>
        <v>0</v>
      </c>
      <c r="Z14" s="211">
        <f>+'24'!D13</f>
        <v>0</v>
      </c>
      <c r="AA14" s="211">
        <f>+'25'!D13</f>
        <v>0</v>
      </c>
      <c r="AB14" s="211">
        <f>+'26'!D13</f>
        <v>0</v>
      </c>
      <c r="AC14" s="211">
        <f>+'27'!D13</f>
        <v>0</v>
      </c>
      <c r="AD14" s="211">
        <f>+'28'!D13</f>
        <v>0</v>
      </c>
      <c r="AE14" s="211">
        <f>+'29'!D13</f>
        <v>0</v>
      </c>
      <c r="AF14" s="211">
        <f>+'30'!D13</f>
        <v>0</v>
      </c>
      <c r="AG14" s="211">
        <f>+'31'!D13</f>
        <v>0</v>
      </c>
      <c r="AH14" s="213">
        <f t="shared" si="0"/>
        <v>0</v>
      </c>
      <c r="AI14" s="191"/>
      <c r="AJ14" s="246"/>
      <c r="AK14" s="190">
        <f t="shared" ref="AK14:AK22" si="4">+AH14-AJ14</f>
        <v>0</v>
      </c>
      <c r="AL14" s="252"/>
    </row>
    <row r="15" spans="1:38" s="182" customFormat="1" ht="29.25">
      <c r="A15" s="209">
        <v>6</v>
      </c>
      <c r="B15" s="210" t="s">
        <v>59</v>
      </c>
      <c r="C15" s="211">
        <f>+'01'!D14</f>
        <v>0</v>
      </c>
      <c r="D15" s="212">
        <f>+'02'!D14</f>
        <v>0</v>
      </c>
      <c r="E15" s="212">
        <f>+'03'!D14</f>
        <v>251744.69</v>
      </c>
      <c r="F15" s="212">
        <f>+'04'!D14</f>
        <v>28292.75</v>
      </c>
      <c r="G15" s="212">
        <f>+'05'!D14</f>
        <v>97963</v>
      </c>
      <c r="H15" s="212">
        <f>+'06'!D14</f>
        <v>18868.54</v>
      </c>
      <c r="I15" s="212">
        <f>+'07'!D14</f>
        <v>19090</v>
      </c>
      <c r="J15" s="212">
        <f>+'08'!D14</f>
        <v>0</v>
      </c>
      <c r="K15" s="212">
        <f>+'09'!D14</f>
        <v>29935.54</v>
      </c>
      <c r="L15" s="212">
        <f>+'10'!D14</f>
        <v>27436.75</v>
      </c>
      <c r="M15" s="212">
        <f>+'11'!D14</f>
        <v>27597.75</v>
      </c>
      <c r="N15" s="212">
        <f>+'12'!D14</f>
        <v>18074.75</v>
      </c>
      <c r="O15" s="212">
        <f>+'13'!D14</f>
        <v>211667.87</v>
      </c>
      <c r="P15" s="212">
        <f>+'14'!D14</f>
        <v>13183.5</v>
      </c>
      <c r="Q15" s="212">
        <f>+'15'!D14</f>
        <v>710974</v>
      </c>
      <c r="R15" s="212">
        <f>+'16'!D14</f>
        <v>0</v>
      </c>
      <c r="S15" s="212">
        <f>+'17'!D14</f>
        <v>47681.81</v>
      </c>
      <c r="T15" s="212">
        <f>+'18'!D14</f>
        <v>0</v>
      </c>
      <c r="U15" s="211">
        <f>+'19'!D14</f>
        <v>0</v>
      </c>
      <c r="V15" s="211">
        <f>+'20'!D14</f>
        <v>5160.25</v>
      </c>
      <c r="W15" s="211">
        <f>+'21'!D14</f>
        <v>62977.3</v>
      </c>
      <c r="X15" s="211">
        <f>+'22'!D14</f>
        <v>74546.17</v>
      </c>
      <c r="Y15" s="211">
        <f>+'23'!D14</f>
        <v>0</v>
      </c>
      <c r="Z15" s="211">
        <f>+'24'!D14</f>
        <v>17331</v>
      </c>
      <c r="AA15" s="211">
        <f>+'25'!D14</f>
        <v>114142</v>
      </c>
      <c r="AB15" s="211">
        <f>+'26'!D14</f>
        <v>76135.259999999995</v>
      </c>
      <c r="AC15" s="211">
        <f>+'27'!D14</f>
        <v>0</v>
      </c>
      <c r="AD15" s="211">
        <f>+'28'!D14</f>
        <v>0</v>
      </c>
      <c r="AE15" s="211">
        <f>+'29'!D14</f>
        <v>105573.14</v>
      </c>
      <c r="AF15" s="211">
        <f>+'30'!D14</f>
        <v>422763.02</v>
      </c>
      <c r="AG15" s="211">
        <f>+'31'!D14</f>
        <v>0</v>
      </c>
      <c r="AH15" s="213">
        <f>+C15+D15+E15+F15+G15+H15+I15+J15+K15+L15+M15+N15+O15+P15+Q15+R15+S15+T15+U15+V15+W15+X15+Y15+Z15+AA15+AB15+AC15+AD15+AE15+AF15+AG15</f>
        <v>2381139.09</v>
      </c>
      <c r="AI15" s="191"/>
      <c r="AJ15" s="246">
        <f>1454829.14+926309.95</f>
        <v>2381139.09</v>
      </c>
      <c r="AK15" s="190">
        <f t="shared" si="4"/>
        <v>0</v>
      </c>
      <c r="AL15" s="252"/>
    </row>
    <row r="16" spans="1:38" s="182" customFormat="1" ht="29.25">
      <c r="A16" s="209"/>
      <c r="B16" s="210" t="s">
        <v>60</v>
      </c>
      <c r="C16" s="211">
        <f>+'01'!D15</f>
        <v>0</v>
      </c>
      <c r="D16" s="212">
        <f>+'02'!D15</f>
        <v>0</v>
      </c>
      <c r="E16" s="212">
        <f>+'03'!D15</f>
        <v>0</v>
      </c>
      <c r="F16" s="212">
        <f>+'04'!D15</f>
        <v>0</v>
      </c>
      <c r="G16" s="212">
        <f>+'05'!D15</f>
        <v>0</v>
      </c>
      <c r="H16" s="212">
        <f>+'06'!D15</f>
        <v>0</v>
      </c>
      <c r="I16" s="212">
        <f>+'07'!D15</f>
        <v>0</v>
      </c>
      <c r="J16" s="212">
        <f>+'08'!D15</f>
        <v>0</v>
      </c>
      <c r="K16" s="212">
        <f>+'09'!D15</f>
        <v>0</v>
      </c>
      <c r="L16" s="212">
        <f>+'10'!D15</f>
        <v>12192</v>
      </c>
      <c r="M16" s="212">
        <f>+'11'!D15</f>
        <v>0</v>
      </c>
      <c r="N16" s="212">
        <f>+'12'!D15</f>
        <v>0</v>
      </c>
      <c r="O16" s="212">
        <f>+'13'!D15</f>
        <v>0</v>
      </c>
      <c r="P16" s="212">
        <f>+'14'!D15</f>
        <v>0</v>
      </c>
      <c r="Q16" s="212">
        <f>+'15'!D15</f>
        <v>0</v>
      </c>
      <c r="R16" s="212">
        <f>+'16'!D15</f>
        <v>0</v>
      </c>
      <c r="S16" s="212">
        <f>+'17'!D15</f>
        <v>0</v>
      </c>
      <c r="T16" s="212">
        <f>+'18'!D15</f>
        <v>0</v>
      </c>
      <c r="U16" s="211">
        <f>+'19'!D15</f>
        <v>0</v>
      </c>
      <c r="V16" s="211">
        <f>+'20'!D15</f>
        <v>0</v>
      </c>
      <c r="W16" s="211">
        <f>+'21'!D15</f>
        <v>8624</v>
      </c>
      <c r="X16" s="211">
        <f>+'22'!D15</f>
        <v>0</v>
      </c>
      <c r="Y16" s="211">
        <f>+'23'!D15</f>
        <v>0</v>
      </c>
      <c r="Z16" s="211">
        <f>+'24'!D15</f>
        <v>0</v>
      </c>
      <c r="AA16" s="211">
        <f>+'25'!D15</f>
        <v>0</v>
      </c>
      <c r="AB16" s="211">
        <f>+'26'!D15</f>
        <v>0</v>
      </c>
      <c r="AC16" s="211">
        <f>+'27'!D15</f>
        <v>0</v>
      </c>
      <c r="AD16" s="211">
        <f>+'28'!D15</f>
        <v>0</v>
      </c>
      <c r="AE16" s="211">
        <f>+'29'!D15</f>
        <v>0</v>
      </c>
      <c r="AF16" s="211">
        <f>+'30'!D15</f>
        <v>0</v>
      </c>
      <c r="AG16" s="211">
        <f>+'31'!D15</f>
        <v>0</v>
      </c>
      <c r="AH16" s="213">
        <f t="shared" si="0"/>
        <v>20816</v>
      </c>
      <c r="AI16" s="191"/>
      <c r="AJ16" s="246">
        <v>20816</v>
      </c>
      <c r="AK16" s="190">
        <f t="shared" si="4"/>
        <v>0</v>
      </c>
      <c r="AL16" s="253"/>
    </row>
    <row r="17" spans="1:38" s="182" customFormat="1" ht="29.25">
      <c r="A17" s="209">
        <v>7</v>
      </c>
      <c r="B17" s="210" t="s">
        <v>61</v>
      </c>
      <c r="C17" s="211">
        <f>+'01'!D16</f>
        <v>7239</v>
      </c>
      <c r="D17" s="212">
        <f>+'02'!D16</f>
        <v>30121</v>
      </c>
      <c r="E17" s="212">
        <f>+'03'!D16</f>
        <v>58020</v>
      </c>
      <c r="F17" s="212">
        <f>+'04'!D16</f>
        <v>19277.5</v>
      </c>
      <c r="G17" s="212">
        <f>+'05'!D16</f>
        <v>23759.75</v>
      </c>
      <c r="H17" s="212">
        <f>+'06'!D16</f>
        <v>10755</v>
      </c>
      <c r="I17" s="212">
        <f>+'07'!D16</f>
        <v>20087</v>
      </c>
      <c r="J17" s="212">
        <f>+'08'!D16</f>
        <v>24517.75</v>
      </c>
      <c r="K17" s="212">
        <f>+'09'!D16</f>
        <v>24679.25</v>
      </c>
      <c r="L17" s="212">
        <f>+'10'!D16</f>
        <v>12590.25</v>
      </c>
      <c r="M17" s="212">
        <f>+'11'!D16</f>
        <v>31367.5</v>
      </c>
      <c r="N17" s="212">
        <f>+'12'!D16</f>
        <v>33764.199999999997</v>
      </c>
      <c r="O17" s="212">
        <f>+'13'!D16</f>
        <v>10921.75</v>
      </c>
      <c r="P17" s="212">
        <f>+'14'!D16</f>
        <v>28001.25</v>
      </c>
      <c r="Q17" s="212">
        <f>+'15'!D16</f>
        <v>25006.5</v>
      </c>
      <c r="R17" s="212">
        <f>+'16'!D16</f>
        <v>21258.75</v>
      </c>
      <c r="S17" s="212">
        <f>+'17'!D16</f>
        <v>38196.5</v>
      </c>
      <c r="T17" s="212">
        <f>+'18'!D16</f>
        <v>6652.5</v>
      </c>
      <c r="U17" s="211">
        <f>+'19'!D16</f>
        <v>18016.46</v>
      </c>
      <c r="V17" s="211">
        <f>+'20'!D16</f>
        <v>6330.5</v>
      </c>
      <c r="W17" s="211">
        <f>+'21'!D16</f>
        <v>5960</v>
      </c>
      <c r="X17" s="211">
        <f>+'22'!D16</f>
        <v>8498</v>
      </c>
      <c r="Y17" s="211">
        <f>+'23'!D16</f>
        <v>24203.46</v>
      </c>
      <c r="Z17" s="211">
        <f>+'24'!D16</f>
        <v>7886.75</v>
      </c>
      <c r="AA17" s="211">
        <f>+'25'!D16</f>
        <v>7619</v>
      </c>
      <c r="AB17" s="211">
        <f>+'26'!D16</f>
        <v>21004.5</v>
      </c>
      <c r="AC17" s="211">
        <f>+'27'!D16</f>
        <v>14450</v>
      </c>
      <c r="AD17" s="211">
        <f>+'28'!D16</f>
        <v>36037</v>
      </c>
      <c r="AE17" s="211">
        <f>+'29'!D16</f>
        <v>16403.25</v>
      </c>
      <c r="AF17" s="211">
        <f>+'30'!D16</f>
        <v>26170.25</v>
      </c>
      <c r="AG17" s="211">
        <f>+'31'!D16</f>
        <v>0</v>
      </c>
      <c r="AH17" s="213">
        <f t="shared" si="0"/>
        <v>618794.62000000011</v>
      </c>
      <c r="AI17" s="191"/>
      <c r="AJ17" s="246">
        <f>193777+187589.45+158817.67+78610.5</f>
        <v>618794.62</v>
      </c>
      <c r="AK17" s="190">
        <f t="shared" si="4"/>
        <v>0</v>
      </c>
      <c r="AL17" s="253"/>
    </row>
    <row r="18" spans="1:38" s="182" customFormat="1" ht="29.25">
      <c r="A18" s="209"/>
      <c r="B18" s="210" t="s">
        <v>62</v>
      </c>
      <c r="C18" s="211">
        <f>+'01'!D17</f>
        <v>127214</v>
      </c>
      <c r="D18" s="212">
        <f>+'02'!D17</f>
        <v>11539</v>
      </c>
      <c r="E18" s="212">
        <f>+'03'!D17</f>
        <v>154651.5</v>
      </c>
      <c r="F18" s="212">
        <f>+'04'!D17</f>
        <v>205807.5</v>
      </c>
      <c r="G18" s="212">
        <f>+'05'!D17</f>
        <v>50020.05</v>
      </c>
      <c r="H18" s="212">
        <f>+'06'!D17</f>
        <v>61025.29</v>
      </c>
      <c r="I18" s="212">
        <f>+'07'!D17</f>
        <v>36617.5</v>
      </c>
      <c r="J18" s="212">
        <f>+'08'!D17</f>
        <v>110000</v>
      </c>
      <c r="K18" s="212">
        <f>+'09'!D17</f>
        <v>118398.25</v>
      </c>
      <c r="L18" s="212">
        <f>+'10'!D17</f>
        <v>68207</v>
      </c>
      <c r="M18" s="212">
        <f>+'11'!D17</f>
        <v>52150</v>
      </c>
      <c r="N18" s="212">
        <f>+'12'!D17</f>
        <v>18635</v>
      </c>
      <c r="O18" s="212">
        <f>+'13'!D17</f>
        <v>36471.75</v>
      </c>
      <c r="P18" s="212">
        <f>+'14'!D17</f>
        <v>151340</v>
      </c>
      <c r="Q18" s="212">
        <f>+'15'!D17</f>
        <v>60000</v>
      </c>
      <c r="R18" s="212">
        <f>+'16'!D17</f>
        <v>173062.25</v>
      </c>
      <c r="S18" s="212">
        <f>+'17'!D17</f>
        <v>109589</v>
      </c>
      <c r="T18" s="212">
        <f>+'18'!D17</f>
        <v>93704.5</v>
      </c>
      <c r="U18" s="211">
        <f>+'19'!D17</f>
        <v>121843.55</v>
      </c>
      <c r="V18" s="211">
        <f>+'20'!D17</f>
        <v>0</v>
      </c>
      <c r="W18" s="211">
        <f>+'21'!D17</f>
        <v>112645</v>
      </c>
      <c r="X18" s="211">
        <f>+'22'!D17</f>
        <v>0</v>
      </c>
      <c r="Y18" s="211">
        <f>+'23'!D17</f>
        <v>51607.25</v>
      </c>
      <c r="Z18" s="211">
        <f>+'24'!D17</f>
        <v>63715</v>
      </c>
      <c r="AA18" s="211">
        <f>+'25'!D17</f>
        <v>30000</v>
      </c>
      <c r="AB18" s="211">
        <f>+'26'!D17</f>
        <v>30000</v>
      </c>
      <c r="AC18" s="211">
        <f>+'27'!D17</f>
        <v>0</v>
      </c>
      <c r="AD18" s="211">
        <f>+'28'!D17</f>
        <v>79461.75</v>
      </c>
      <c r="AE18" s="211">
        <f>+'29'!D17</f>
        <v>131655.75</v>
      </c>
      <c r="AF18" s="211">
        <f>+'30'!D17</f>
        <v>0</v>
      </c>
      <c r="AG18" s="211">
        <f>+'31'!D17</f>
        <v>0</v>
      </c>
      <c r="AH18" s="213">
        <f>+C18+D18+E18+F18+G18+H18+I18+J18+K18+L18+M18+N18+O18+P18+Q18+R18+S18+T18+U18+V18+W18+X18+Y18+Z18+AA18+AB18+AC18+AD18+AE18+AF18+AG18</f>
        <v>2259360.89</v>
      </c>
      <c r="AI18" s="191"/>
      <c r="AJ18" s="246">
        <f>756874.84+678264.25+613104.3+211117.5</f>
        <v>2259360.8899999997</v>
      </c>
      <c r="AK18" s="190">
        <f t="shared" si="4"/>
        <v>0</v>
      </c>
      <c r="AL18" s="253"/>
    </row>
    <row r="19" spans="1:38" s="183" customFormat="1" ht="29.25">
      <c r="A19" s="214">
        <v>8</v>
      </c>
      <c r="B19" s="215" t="s">
        <v>51</v>
      </c>
      <c r="C19" s="216">
        <f>+'01'!D18</f>
        <v>25213.75</v>
      </c>
      <c r="D19" s="217">
        <f>+'02'!D18</f>
        <v>27194.5</v>
      </c>
      <c r="E19" s="217">
        <f>+'03'!D18</f>
        <v>14609.61</v>
      </c>
      <c r="F19" s="217">
        <f>+'04'!D18</f>
        <v>5605.25</v>
      </c>
      <c r="G19" s="217">
        <f>+'05'!D18</f>
        <v>236441.60000000001</v>
      </c>
      <c r="H19" s="217">
        <f>+'06'!D18</f>
        <v>99126.25</v>
      </c>
      <c r="I19" s="217">
        <f>+'07'!D18</f>
        <v>0</v>
      </c>
      <c r="J19" s="217">
        <f>+'08'!D18</f>
        <v>115636.25</v>
      </c>
      <c r="K19" s="217">
        <f>+'09'!D18</f>
        <v>1111</v>
      </c>
      <c r="L19" s="217">
        <f>+'10'!D18</f>
        <v>2200</v>
      </c>
      <c r="M19" s="217">
        <f>+'11'!D18</f>
        <v>15872.46</v>
      </c>
      <c r="N19" s="217">
        <f>+'12'!D18</f>
        <v>6342</v>
      </c>
      <c r="O19" s="217">
        <f>+'13'!D18</f>
        <v>1250</v>
      </c>
      <c r="P19" s="217">
        <f>+'14'!D18</f>
        <v>4080.5</v>
      </c>
      <c r="Q19" s="217">
        <f>+'15'!D18</f>
        <v>6302</v>
      </c>
      <c r="R19" s="217">
        <f>+'16'!D18</f>
        <v>22713.5</v>
      </c>
      <c r="S19" s="217">
        <f>+'17'!D18</f>
        <v>1603</v>
      </c>
      <c r="T19" s="217">
        <f>+'18'!D18</f>
        <v>5692</v>
      </c>
      <c r="U19" s="216">
        <f>+'19'!D18</f>
        <v>17971</v>
      </c>
      <c r="V19" s="216">
        <f>+'20'!D18</f>
        <v>0</v>
      </c>
      <c r="W19" s="216">
        <f>+'21'!D18</f>
        <v>18079</v>
      </c>
      <c r="X19" s="216">
        <f>+'22'!D18</f>
        <v>114178.86</v>
      </c>
      <c r="Y19" s="216">
        <f>+'23'!D18</f>
        <v>80981.960000000006</v>
      </c>
      <c r="Z19" s="216">
        <f>+'24'!D18</f>
        <v>9672</v>
      </c>
      <c r="AA19" s="216">
        <f>+'25'!D18</f>
        <v>1959</v>
      </c>
      <c r="AB19" s="216">
        <f>+'26'!D18</f>
        <v>32171</v>
      </c>
      <c r="AC19" s="216">
        <f>+'27'!D18</f>
        <v>6170.2</v>
      </c>
      <c r="AD19" s="216">
        <f>+'28'!D18</f>
        <v>3852</v>
      </c>
      <c r="AE19" s="216">
        <f>+'29'!D18</f>
        <v>78532.52</v>
      </c>
      <c r="AF19" s="216">
        <f>+'30'!D18</f>
        <v>0</v>
      </c>
      <c r="AG19" s="216">
        <f>+'31'!D18</f>
        <v>0</v>
      </c>
      <c r="AH19" s="218">
        <f>+C19+D19+E19+F19+G19+H19+I19+J19+K19+L19+M19+N19+O19+P19+Q19+R19+S19+T19+U19+V19+W19+X19+Y19+Z19+AA19+AB19+AC19+AD19+AE19+AF19+AG19</f>
        <v>954561.20999999985</v>
      </c>
      <c r="AI19" s="219"/>
      <c r="AJ19" s="248">
        <v>954561.21</v>
      </c>
      <c r="AK19" s="190">
        <f t="shared" si="4"/>
        <v>0</v>
      </c>
      <c r="AL19" s="254"/>
    </row>
    <row r="20" spans="1:38" s="183" customFormat="1" ht="29.25">
      <c r="A20" s="214"/>
      <c r="B20" s="215" t="s">
        <v>52</v>
      </c>
      <c r="C20" s="216">
        <f>+'01'!D19</f>
        <v>125498.75</v>
      </c>
      <c r="D20" s="217">
        <f>+'02'!D19</f>
        <v>132334.75</v>
      </c>
      <c r="E20" s="217">
        <f>+'03'!D19</f>
        <v>192659.1</v>
      </c>
      <c r="F20" s="217">
        <f>+'04'!D19</f>
        <v>194130.65</v>
      </c>
      <c r="G20" s="217">
        <f>+'05'!D19</f>
        <v>89096</v>
      </c>
      <c r="H20" s="217">
        <f>+'06'!D19</f>
        <v>0</v>
      </c>
      <c r="I20" s="217">
        <f>+'07'!D19</f>
        <v>3809.75</v>
      </c>
      <c r="J20" s="217">
        <f>+'08'!D19</f>
        <v>1427767.17</v>
      </c>
      <c r="K20" s="217">
        <f>+'09'!D19</f>
        <v>128417.54</v>
      </c>
      <c r="L20" s="217">
        <f>+'10'!D19</f>
        <v>35649.25</v>
      </c>
      <c r="M20" s="217">
        <f>+'11'!D19</f>
        <v>263533.25</v>
      </c>
      <c r="N20" s="217">
        <f>+'12'!D19</f>
        <v>58909.97</v>
      </c>
      <c r="O20" s="217">
        <f>+'13'!D19</f>
        <v>42362.75</v>
      </c>
      <c r="P20" s="217">
        <f>+'14'!D19</f>
        <v>0</v>
      </c>
      <c r="Q20" s="217">
        <f>+'15'!D19</f>
        <v>132534.75</v>
      </c>
      <c r="R20" s="217">
        <f>+'16'!D19</f>
        <v>130690</v>
      </c>
      <c r="S20" s="217">
        <f>+'17'!D19</f>
        <v>245048</v>
      </c>
      <c r="T20" s="217">
        <f>+'18'!D19</f>
        <v>689861.06</v>
      </c>
      <c r="U20" s="216">
        <f>+'19'!D19</f>
        <v>57138.25</v>
      </c>
      <c r="V20" s="216">
        <f>+'20'!D19</f>
        <v>264527.03999999998</v>
      </c>
      <c r="W20" s="216">
        <f>+'21'!D19</f>
        <v>317808.75</v>
      </c>
      <c r="X20" s="216">
        <f>+'22'!D19</f>
        <v>167039.26</v>
      </c>
      <c r="Y20" s="216">
        <f>+'23'!D19</f>
        <v>139151.28</v>
      </c>
      <c r="Z20" s="216">
        <f>+'24'!D19</f>
        <v>6263415.3200000003</v>
      </c>
      <c r="AA20" s="216">
        <f>+'25'!D19</f>
        <v>532900.28</v>
      </c>
      <c r="AB20" s="216">
        <f>+'26'!D19</f>
        <v>6800</v>
      </c>
      <c r="AC20" s="216">
        <f>+'27'!D19</f>
        <v>0</v>
      </c>
      <c r="AD20" s="216">
        <f>+'28'!D19</f>
        <v>157130.75</v>
      </c>
      <c r="AE20" s="216">
        <f>+'29'!D19</f>
        <v>5320</v>
      </c>
      <c r="AF20" s="216">
        <f>+'30'!D19</f>
        <v>0</v>
      </c>
      <c r="AG20" s="216">
        <f>+'31'!D19</f>
        <v>0</v>
      </c>
      <c r="AH20" s="218">
        <f>+C20+D20+E20+F20+G20+H20+I20+J20+K20+L20+M20+N20+O20+P20+Q20+R20+S20+T20+U20+V20+W20+X20+Y20+Z20+AA20+AB20+AC20+AD20+AE20+AF20+AG20</f>
        <v>11803533.67</v>
      </c>
      <c r="AI20" s="219"/>
      <c r="AJ20" s="248">
        <v>11803533.67</v>
      </c>
      <c r="AK20" s="190">
        <f t="shared" si="4"/>
        <v>0</v>
      </c>
      <c r="AL20" s="254"/>
    </row>
    <row r="21" spans="1:38">
      <c r="A21" s="209">
        <v>9</v>
      </c>
      <c r="B21" s="210" t="s">
        <v>63</v>
      </c>
      <c r="C21" s="211">
        <f>+'01'!D20</f>
        <v>0</v>
      </c>
      <c r="D21" s="212">
        <f>+'02'!D20</f>
        <v>0</v>
      </c>
      <c r="E21" s="212">
        <f>+'03'!D20</f>
        <v>0</v>
      </c>
      <c r="F21" s="212">
        <f>+'04'!D20</f>
        <v>0</v>
      </c>
      <c r="G21" s="212">
        <f>+'05'!D20</f>
        <v>0</v>
      </c>
      <c r="H21" s="212">
        <f>+'06'!D20</f>
        <v>0</v>
      </c>
      <c r="I21" s="212">
        <f>+'07'!D20</f>
        <v>180409.49</v>
      </c>
      <c r="J21" s="212">
        <f>+'08'!D20</f>
        <v>168326.84</v>
      </c>
      <c r="K21" s="212">
        <f>+'09'!D20</f>
        <v>41760</v>
      </c>
      <c r="L21" s="212">
        <f>+'10'!D20</f>
        <v>0</v>
      </c>
      <c r="M21" s="212">
        <f>+'11'!D20</f>
        <v>0</v>
      </c>
      <c r="N21" s="212">
        <f>+'12'!D20</f>
        <v>0</v>
      </c>
      <c r="O21" s="212">
        <f>+'13'!D20</f>
        <v>0</v>
      </c>
      <c r="P21" s="212">
        <f>+'14'!D20</f>
        <v>44650</v>
      </c>
      <c r="Q21" s="212">
        <f>+'15'!D20</f>
        <v>619616.61</v>
      </c>
      <c r="R21" s="212">
        <f>+'16'!D20</f>
        <v>0</v>
      </c>
      <c r="S21" s="212">
        <f>+'17'!D20</f>
        <v>268694.23</v>
      </c>
      <c r="T21" s="212">
        <f>+'18'!D20</f>
        <v>915081.36</v>
      </c>
      <c r="U21" s="211">
        <f>+'19'!D20</f>
        <v>0</v>
      </c>
      <c r="V21" s="211">
        <f>+'20'!D20</f>
        <v>0</v>
      </c>
      <c r="W21" s="211">
        <f>+'21'!D20</f>
        <v>20210.61</v>
      </c>
      <c r="X21" s="211">
        <f>+'22'!D20</f>
        <v>51508.61</v>
      </c>
      <c r="Y21" s="211">
        <f>+'23'!D20</f>
        <v>0</v>
      </c>
      <c r="Z21" s="211">
        <f>+'24'!D20</f>
        <v>0</v>
      </c>
      <c r="AA21" s="211">
        <f>+'25'!D20</f>
        <v>0</v>
      </c>
      <c r="AB21" s="211">
        <f>+'26'!D20</f>
        <v>0</v>
      </c>
      <c r="AC21" s="211">
        <f>+'27'!D20</f>
        <v>0</v>
      </c>
      <c r="AD21" s="211">
        <f>+'28'!D20</f>
        <v>704822.46</v>
      </c>
      <c r="AE21" s="211">
        <f>+'29'!D20</f>
        <v>417100.36</v>
      </c>
      <c r="AF21" s="211">
        <f>+'30'!D20</f>
        <v>178015.82</v>
      </c>
      <c r="AG21" s="211">
        <f>+'31'!D20</f>
        <v>0</v>
      </c>
      <c r="AH21" s="213">
        <f t="shared" si="0"/>
        <v>3610196.3899999992</v>
      </c>
      <c r="AI21" s="191"/>
      <c r="AJ21" s="246">
        <f>1054762.94+2555433.45</f>
        <v>3610196.39</v>
      </c>
      <c r="AK21" s="190">
        <f t="shared" si="4"/>
        <v>0</v>
      </c>
    </row>
    <row r="22" spans="1:38">
      <c r="A22" s="209"/>
      <c r="B22" s="210" t="s">
        <v>64</v>
      </c>
      <c r="C22" s="211">
        <f>+'01'!D21</f>
        <v>0</v>
      </c>
      <c r="D22" s="212">
        <f>+'02'!D21</f>
        <v>0</v>
      </c>
      <c r="E22" s="212">
        <f>+'03'!D21</f>
        <v>0</v>
      </c>
      <c r="F22" s="212">
        <f>+'04'!D21</f>
        <v>0</v>
      </c>
      <c r="G22" s="212">
        <f>+'05'!D21</f>
        <v>0</v>
      </c>
      <c r="H22" s="212">
        <f>+'06'!D21</f>
        <v>0</v>
      </c>
      <c r="I22" s="212">
        <f>+'07'!D21</f>
        <v>0</v>
      </c>
      <c r="J22" s="212">
        <f>+'08'!D21</f>
        <v>366945.81</v>
      </c>
      <c r="K22" s="212">
        <f>+'09'!D21</f>
        <v>0</v>
      </c>
      <c r="L22" s="212">
        <f>+'10'!D21</f>
        <v>0</v>
      </c>
      <c r="M22" s="212">
        <f>+'11'!D21</f>
        <v>0</v>
      </c>
      <c r="N22" s="212">
        <f>+'12'!D21</f>
        <v>0</v>
      </c>
      <c r="O22" s="212">
        <f>+'13'!D21</f>
        <v>0</v>
      </c>
      <c r="P22" s="212">
        <f>+'14'!D21</f>
        <v>0</v>
      </c>
      <c r="Q22" s="212">
        <f>+'15'!D21</f>
        <v>0</v>
      </c>
      <c r="R22" s="212">
        <f>+'16'!D21</f>
        <v>0</v>
      </c>
      <c r="S22" s="212">
        <f>+'17'!D21</f>
        <v>812100.79</v>
      </c>
      <c r="T22" s="212">
        <f>+'18'!D21</f>
        <v>0</v>
      </c>
      <c r="U22" s="211">
        <f>+'19'!D21</f>
        <v>0</v>
      </c>
      <c r="V22" s="211">
        <f>+'20'!D21</f>
        <v>0</v>
      </c>
      <c r="W22" s="211">
        <f>+'21'!D21</f>
        <v>0</v>
      </c>
      <c r="X22" s="211">
        <f>+'22'!D21</f>
        <v>2737615.56</v>
      </c>
      <c r="Y22" s="211">
        <f>+'23'!D21</f>
        <v>0</v>
      </c>
      <c r="Z22" s="211">
        <f>+'24'!D21</f>
        <v>0</v>
      </c>
      <c r="AA22" s="211">
        <f>+'25'!D21</f>
        <v>0</v>
      </c>
      <c r="AB22" s="211">
        <f>+'26'!D21</f>
        <v>0</v>
      </c>
      <c r="AC22" s="211">
        <f>+'27'!D21</f>
        <v>0</v>
      </c>
      <c r="AD22" s="211">
        <f>+'28'!D21</f>
        <v>1608995.74</v>
      </c>
      <c r="AE22" s="211">
        <f>+'29'!D21</f>
        <v>0</v>
      </c>
      <c r="AF22" s="211">
        <f>+'30'!D21</f>
        <v>0</v>
      </c>
      <c r="AG22" s="211">
        <f>+'31'!D21</f>
        <v>0</v>
      </c>
      <c r="AH22" s="213">
        <f t="shared" si="0"/>
        <v>5525657.9000000004</v>
      </c>
      <c r="AI22" s="191"/>
      <c r="AJ22" s="246">
        <f>366945.81+5158712.09</f>
        <v>5525657.8999999994</v>
      </c>
      <c r="AK22" s="190">
        <f t="shared" si="4"/>
        <v>0</v>
      </c>
    </row>
    <row r="23" spans="1:38" s="184" customFormat="1">
      <c r="A23" s="220">
        <v>10</v>
      </c>
      <c r="B23" s="221" t="s">
        <v>65</v>
      </c>
      <c r="C23" s="222">
        <f>+'01'!D22</f>
        <v>1660407.46</v>
      </c>
      <c r="D23" s="223">
        <f>+'02'!D22</f>
        <v>938187.56</v>
      </c>
      <c r="E23" s="223">
        <f>+'03'!D22</f>
        <v>865509.33</v>
      </c>
      <c r="F23" s="223">
        <f>+'04'!D22</f>
        <v>774877.8</v>
      </c>
      <c r="G23" s="223">
        <f>+'05'!D22</f>
        <v>226607</v>
      </c>
      <c r="H23" s="223">
        <f>+'06'!D22</f>
        <v>133636.25</v>
      </c>
      <c r="I23" s="223">
        <f>+'07'!D22</f>
        <v>978100.91</v>
      </c>
      <c r="J23" s="223">
        <f>+'08'!D22</f>
        <v>838568.94</v>
      </c>
      <c r="K23" s="223">
        <f>+'09'!D22</f>
        <v>983400.33</v>
      </c>
      <c r="L23" s="223">
        <f>+'10'!D22</f>
        <v>936833.08</v>
      </c>
      <c r="M23" s="223">
        <f>+'11'!D22</f>
        <v>730131.14</v>
      </c>
      <c r="N23" s="223">
        <f>+'12'!D22</f>
        <v>80634.75</v>
      </c>
      <c r="O23" s="223">
        <f>+'13'!D22</f>
        <v>110851.5</v>
      </c>
      <c r="P23" s="223">
        <f>+'14'!D22</f>
        <v>821070.08</v>
      </c>
      <c r="Q23" s="223">
        <f>+'15'!D22</f>
        <v>919973.33</v>
      </c>
      <c r="R23" s="223">
        <f>+'16'!D22</f>
        <v>1041912.54</v>
      </c>
      <c r="S23" s="223">
        <f>+'17'!D22</f>
        <v>1010093.96</v>
      </c>
      <c r="T23" s="223">
        <f>+'18'!D22</f>
        <v>774252.67</v>
      </c>
      <c r="U23" s="222">
        <f>+'19'!D22</f>
        <v>116848.25</v>
      </c>
      <c r="V23" s="222">
        <f>+'20'!D22</f>
        <v>155818</v>
      </c>
      <c r="W23" s="222">
        <f>+'21'!D22</f>
        <v>844824.19</v>
      </c>
      <c r="X23" s="222">
        <f>+'22'!D22</f>
        <v>866438.97</v>
      </c>
      <c r="Y23" s="222">
        <f>+'23'!D22</f>
        <v>794683.45</v>
      </c>
      <c r="Z23" s="222">
        <f>+'24'!D22</f>
        <v>864949.58</v>
      </c>
      <c r="AA23" s="222">
        <f>+'25'!D22</f>
        <v>778999.94</v>
      </c>
      <c r="AB23" s="222">
        <f>+'26'!D22</f>
        <v>161525.5</v>
      </c>
      <c r="AC23" s="222">
        <f>+'27'!D22</f>
        <v>134518.25</v>
      </c>
      <c r="AD23" s="222">
        <f>+'28'!D22</f>
        <v>833059.93</v>
      </c>
      <c r="AE23" s="222">
        <f>+'29'!D22</f>
        <v>856072.97</v>
      </c>
      <c r="AF23" s="222">
        <f>+'30'!D22</f>
        <v>896187.06</v>
      </c>
      <c r="AG23" s="222">
        <f>+'31'!D22</f>
        <v>0</v>
      </c>
      <c r="AH23" s="224">
        <f t="shared" si="0"/>
        <v>21128974.719999999</v>
      </c>
      <c r="AI23" s="225"/>
      <c r="AJ23" s="247">
        <v>21128974.719999999</v>
      </c>
      <c r="AK23" s="190">
        <f>+AH23-AJ23</f>
        <v>0</v>
      </c>
      <c r="AL23" s="255"/>
    </row>
    <row r="24" spans="1:38">
      <c r="A24" s="264"/>
      <c r="B24" s="273" t="s">
        <v>22</v>
      </c>
      <c r="C24" s="274">
        <f>+'01'!D23</f>
        <v>6699.49</v>
      </c>
      <c r="D24" s="275">
        <f>+'02'!D23</f>
        <v>10215.86</v>
      </c>
      <c r="E24" s="275">
        <f>+'03'!D23</f>
        <v>12373.25</v>
      </c>
      <c r="F24" s="275">
        <f>+'04'!D23</f>
        <v>17662.25</v>
      </c>
      <c r="G24" s="275">
        <f>+'05'!D23</f>
        <v>0</v>
      </c>
      <c r="H24" s="275">
        <f>+'06'!D23</f>
        <v>0</v>
      </c>
      <c r="I24" s="275">
        <f>+'07'!D23</f>
        <v>13612.5</v>
      </c>
      <c r="J24" s="275">
        <f>+'08'!D23</f>
        <v>61550.25</v>
      </c>
      <c r="K24" s="275">
        <f>+'09'!D23</f>
        <v>31911.1</v>
      </c>
      <c r="L24" s="275">
        <f>+'10'!D23</f>
        <v>6565</v>
      </c>
      <c r="M24" s="275">
        <f>+'11'!D23</f>
        <v>15900.5</v>
      </c>
      <c r="N24" s="275">
        <f>+'12'!D23</f>
        <v>8150</v>
      </c>
      <c r="O24" s="275">
        <f>+'13'!D23</f>
        <v>0</v>
      </c>
      <c r="P24" s="275">
        <f>+'14'!D23</f>
        <v>43878.25</v>
      </c>
      <c r="Q24" s="275">
        <f>+'15'!D23</f>
        <v>42419.86</v>
      </c>
      <c r="R24" s="275">
        <f>+'16'!D23</f>
        <v>30094.49</v>
      </c>
      <c r="S24" s="275">
        <f>+'17'!D23</f>
        <v>31606.5</v>
      </c>
      <c r="T24" s="275">
        <f>+'18'!D23</f>
        <v>16069.5</v>
      </c>
      <c r="U24" s="274">
        <f>+'19'!D23</f>
        <v>7070</v>
      </c>
      <c r="V24" s="274">
        <f>+'20'!D23</f>
        <v>0</v>
      </c>
      <c r="W24" s="274">
        <f>+'21'!D23</f>
        <v>47849.25</v>
      </c>
      <c r="X24" s="274">
        <f>+'22'!D23</f>
        <v>67892.240000000005</v>
      </c>
      <c r="Y24" s="274">
        <f>+'23'!D23</f>
        <v>35073.75</v>
      </c>
      <c r="Z24" s="274">
        <f>+'24'!D23</f>
        <v>39028.25</v>
      </c>
      <c r="AA24" s="274">
        <f>+'25'!D23</f>
        <v>28681.5</v>
      </c>
      <c r="AB24" s="274">
        <f>+'26'!D23</f>
        <v>0</v>
      </c>
      <c r="AC24" s="274">
        <f>+'27'!D23</f>
        <v>0</v>
      </c>
      <c r="AD24" s="274">
        <f>+'28'!D23</f>
        <v>9322.25</v>
      </c>
      <c r="AE24" s="274">
        <f>+'29'!D23</f>
        <v>14436.86</v>
      </c>
      <c r="AF24" s="274">
        <f>+'30'!D23</f>
        <v>33006.97</v>
      </c>
      <c r="AG24" s="274">
        <f>+'31'!D23</f>
        <v>0</v>
      </c>
      <c r="AH24" s="224">
        <f t="shared" si="0"/>
        <v>631069.87</v>
      </c>
      <c r="AI24" s="191"/>
      <c r="AJ24" s="246">
        <v>631069.87</v>
      </c>
      <c r="AK24" s="190">
        <f t="shared" ref="AK24:AK57" si="5">+AH24-AJ24</f>
        <v>0</v>
      </c>
    </row>
    <row r="25" spans="1:38">
      <c r="A25" s="209"/>
      <c r="B25" s="221" t="s">
        <v>66</v>
      </c>
      <c r="C25" s="222">
        <f>+'01'!D24</f>
        <v>0</v>
      </c>
      <c r="D25" s="223">
        <f>+'02'!D24</f>
        <v>0</v>
      </c>
      <c r="E25" s="223">
        <f>+'03'!D24</f>
        <v>0</v>
      </c>
      <c r="F25" s="223">
        <f>+'04'!D24</f>
        <v>0</v>
      </c>
      <c r="G25" s="223">
        <f>+'05'!D24</f>
        <v>0</v>
      </c>
      <c r="H25" s="223">
        <f>+'06'!D24</f>
        <v>0</v>
      </c>
      <c r="I25" s="223">
        <f>+'07'!D24</f>
        <v>0</v>
      </c>
      <c r="J25" s="223">
        <f>+'08'!D24</f>
        <v>0</v>
      </c>
      <c r="K25" s="223">
        <f>+'09'!D24</f>
        <v>0</v>
      </c>
      <c r="L25" s="223">
        <f>+'10'!D24</f>
        <v>0</v>
      </c>
      <c r="M25" s="223">
        <f>+'11'!D24</f>
        <v>0</v>
      </c>
      <c r="N25" s="223">
        <f>+'12'!D24</f>
        <v>0</v>
      </c>
      <c r="O25" s="223">
        <f>+'13'!D24</f>
        <v>0</v>
      </c>
      <c r="P25" s="223">
        <f>+'14'!D24</f>
        <v>0</v>
      </c>
      <c r="Q25" s="223">
        <f>+'15'!D24</f>
        <v>0</v>
      </c>
      <c r="R25" s="223">
        <f>+'16'!D24</f>
        <v>0</v>
      </c>
      <c r="S25" s="223">
        <f>+'17'!D24</f>
        <v>0</v>
      </c>
      <c r="T25" s="223">
        <f>+'18'!D24</f>
        <v>0</v>
      </c>
      <c r="U25" s="222">
        <f>+'19'!D24</f>
        <v>0</v>
      </c>
      <c r="V25" s="222">
        <f>+'20'!D24</f>
        <v>0</v>
      </c>
      <c r="W25" s="222">
        <f>+'21'!D24</f>
        <v>0</v>
      </c>
      <c r="X25" s="222">
        <f>+'22'!D24</f>
        <v>0</v>
      </c>
      <c r="Y25" s="222">
        <f>+'23'!D24</f>
        <v>0</v>
      </c>
      <c r="Z25" s="222">
        <f>+'24'!D24</f>
        <v>0</v>
      </c>
      <c r="AA25" s="222">
        <f>+'25'!D24</f>
        <v>0</v>
      </c>
      <c r="AB25" s="222">
        <f>+'26'!D24</f>
        <v>0</v>
      </c>
      <c r="AC25" s="222">
        <f>+'27'!D24</f>
        <v>0</v>
      </c>
      <c r="AD25" s="222">
        <f>+'28'!D24</f>
        <v>0</v>
      </c>
      <c r="AE25" s="222">
        <f>+'29'!D24</f>
        <v>0</v>
      </c>
      <c r="AF25" s="222">
        <f>+'30'!D24</f>
        <v>0</v>
      </c>
      <c r="AG25" s="222">
        <f>+'31'!D24</f>
        <v>0</v>
      </c>
      <c r="AH25" s="224">
        <f t="shared" si="0"/>
        <v>0</v>
      </c>
      <c r="AI25" s="191"/>
      <c r="AJ25" s="246"/>
      <c r="AK25" s="190">
        <f t="shared" si="5"/>
        <v>0</v>
      </c>
    </row>
    <row r="26" spans="1:38">
      <c r="A26" s="264"/>
      <c r="B26" s="277" t="s">
        <v>24</v>
      </c>
      <c r="C26" s="278">
        <f>+'01'!D25</f>
        <v>0</v>
      </c>
      <c r="D26" s="279">
        <f>+'02'!D25</f>
        <v>0</v>
      </c>
      <c r="E26" s="279">
        <f>+'03'!D25</f>
        <v>0</v>
      </c>
      <c r="F26" s="279">
        <f>+'04'!D25</f>
        <v>0</v>
      </c>
      <c r="G26" s="279">
        <f>+'05'!D25</f>
        <v>0</v>
      </c>
      <c r="H26" s="279">
        <f>+'06'!D25</f>
        <v>0</v>
      </c>
      <c r="I26" s="279">
        <f>+'07'!D25</f>
        <v>0</v>
      </c>
      <c r="J26" s="279">
        <f>+'08'!D25</f>
        <v>0</v>
      </c>
      <c r="K26" s="279">
        <f>+'09'!D25</f>
        <v>0</v>
      </c>
      <c r="L26" s="279">
        <f>+'10'!D25</f>
        <v>0</v>
      </c>
      <c r="M26" s="279">
        <f>+'11'!D25</f>
        <v>0</v>
      </c>
      <c r="N26" s="279">
        <f>+'12'!D25</f>
        <v>0</v>
      </c>
      <c r="O26" s="279">
        <f>+'13'!D25</f>
        <v>0</v>
      </c>
      <c r="P26" s="279">
        <f>+'14'!D25</f>
        <v>0</v>
      </c>
      <c r="Q26" s="279">
        <f>+'15'!D25</f>
        <v>0</v>
      </c>
      <c r="R26" s="279">
        <f>+'16'!D25</f>
        <v>0</v>
      </c>
      <c r="S26" s="279">
        <f>+'17'!D25</f>
        <v>0</v>
      </c>
      <c r="T26" s="279">
        <f>+'18'!D25</f>
        <v>0</v>
      </c>
      <c r="U26" s="278">
        <f>+'19'!D25</f>
        <v>0</v>
      </c>
      <c r="V26" s="278">
        <f>+'20'!D25</f>
        <v>0</v>
      </c>
      <c r="W26" s="278">
        <f>+'21'!D25</f>
        <v>0</v>
      </c>
      <c r="X26" s="278">
        <f>+'22'!D25</f>
        <v>0</v>
      </c>
      <c r="Y26" s="278">
        <f>+'23'!D25</f>
        <v>0</v>
      </c>
      <c r="Z26" s="278">
        <f>+'24'!D25</f>
        <v>0</v>
      </c>
      <c r="AA26" s="278">
        <f>+'25'!D25</f>
        <v>0</v>
      </c>
      <c r="AB26" s="278">
        <f>+'26'!D25</f>
        <v>0</v>
      </c>
      <c r="AC26" s="278">
        <f>+'27'!D25</f>
        <v>0</v>
      </c>
      <c r="AD26" s="278">
        <f>+'28'!D25</f>
        <v>0</v>
      </c>
      <c r="AE26" s="278">
        <f>+'29'!D25</f>
        <v>0</v>
      </c>
      <c r="AF26" s="278">
        <f>+'30'!D25</f>
        <v>0</v>
      </c>
      <c r="AG26" s="278">
        <f>+'31'!D25</f>
        <v>0</v>
      </c>
      <c r="AH26" s="278">
        <f>+C26+D26+E26+F26+G26+H26+I26+J26+K26+L26+M26+N26+O26+P26+Q26+R26+S26+T26+U26+V26+W26+X26+Y26+Z26+AA26+AB26+AC26+AD26+AE26+AF26+AG26</f>
        <v>0</v>
      </c>
      <c r="AI26" s="191"/>
      <c r="AJ26" s="246"/>
      <c r="AK26" s="190">
        <f t="shared" si="5"/>
        <v>0</v>
      </c>
    </row>
    <row r="27" spans="1:38">
      <c r="A27" s="209"/>
      <c r="B27" s="221" t="s">
        <v>67</v>
      </c>
      <c r="C27" s="222">
        <f>+'01'!D26</f>
        <v>9047.5</v>
      </c>
      <c r="D27" s="223">
        <f>+'02'!D26</f>
        <v>7115.5</v>
      </c>
      <c r="E27" s="223">
        <f>+'03'!D26</f>
        <v>2410</v>
      </c>
      <c r="F27" s="223">
        <f>+'04'!D26</f>
        <v>14704.75</v>
      </c>
      <c r="G27" s="223">
        <f>+'05'!D26</f>
        <v>0</v>
      </c>
      <c r="H27" s="223">
        <f>+'06'!D26</f>
        <v>0</v>
      </c>
      <c r="I27" s="223">
        <f>+'07'!D26</f>
        <v>0</v>
      </c>
      <c r="J27" s="223">
        <f>+'08'!D26</f>
        <v>5847.5</v>
      </c>
      <c r="K27" s="223">
        <f>+'09'!D26</f>
        <v>18964</v>
      </c>
      <c r="L27" s="223">
        <f>+'10'!D26</f>
        <v>6296</v>
      </c>
      <c r="M27" s="223">
        <f>+'11'!D26</f>
        <v>3360</v>
      </c>
      <c r="N27" s="223">
        <f>+'12'!D26</f>
        <v>0</v>
      </c>
      <c r="O27" s="223">
        <f>+'13'!D26</f>
        <v>0</v>
      </c>
      <c r="P27" s="223">
        <f>+'14'!D26</f>
        <v>50550</v>
      </c>
      <c r="Q27" s="223">
        <f>+'15'!D26</f>
        <v>27495.5</v>
      </c>
      <c r="R27" s="223">
        <f>+'16'!D26</f>
        <v>25233</v>
      </c>
      <c r="S27" s="223">
        <f>+'17'!D26</f>
        <v>24783.5</v>
      </c>
      <c r="T27" s="223">
        <f>+'18'!D26</f>
        <v>23152</v>
      </c>
      <c r="U27" s="222">
        <f>+'19'!D26</f>
        <v>0</v>
      </c>
      <c r="V27" s="222">
        <f>+'20'!D26</f>
        <v>0</v>
      </c>
      <c r="W27" s="222">
        <f>+'21'!D26</f>
        <v>23897</v>
      </c>
      <c r="X27" s="222">
        <f>+'22'!D26</f>
        <v>55685</v>
      </c>
      <c r="Y27" s="222">
        <f>+'23'!D26</f>
        <v>10895.25</v>
      </c>
      <c r="Z27" s="222">
        <f>+'24'!D26</f>
        <v>3900</v>
      </c>
      <c r="AA27" s="222">
        <f>+'25'!D26</f>
        <v>3542</v>
      </c>
      <c r="AB27" s="222">
        <f>+'26'!D26</f>
        <v>0</v>
      </c>
      <c r="AC27" s="222">
        <f>+'27'!D26</f>
        <v>0</v>
      </c>
      <c r="AD27" s="222">
        <f>+'28'!D26</f>
        <v>4110</v>
      </c>
      <c r="AE27" s="222">
        <f>+'29'!D26</f>
        <v>9267.5</v>
      </c>
      <c r="AF27" s="222">
        <f>+'30'!D26</f>
        <v>32216</v>
      </c>
      <c r="AG27" s="222">
        <f>+'31'!D26</f>
        <v>0</v>
      </c>
      <c r="AH27" s="224">
        <f t="shared" si="0"/>
        <v>362472</v>
      </c>
      <c r="AI27" s="191"/>
      <c r="AJ27" s="246">
        <v>362472</v>
      </c>
      <c r="AK27" s="190">
        <f t="shared" si="5"/>
        <v>0</v>
      </c>
    </row>
    <row r="28" spans="1:38">
      <c r="A28" s="209"/>
      <c r="B28" s="221" t="s">
        <v>68</v>
      </c>
      <c r="C28" s="222">
        <f>+'01'!D27</f>
        <v>4980.5</v>
      </c>
      <c r="D28" s="223">
        <f>+'02'!D27</f>
        <v>664</v>
      </c>
      <c r="E28" s="223">
        <f>+'03'!D27</f>
        <v>2192.5</v>
      </c>
      <c r="F28" s="223">
        <f>+'04'!D27</f>
        <v>1899.25</v>
      </c>
      <c r="G28" s="223">
        <f>+'05'!D27</f>
        <v>0</v>
      </c>
      <c r="H28" s="223">
        <f>+'06'!D27</f>
        <v>0</v>
      </c>
      <c r="I28" s="223">
        <f>+'07'!D27</f>
        <v>1726.5</v>
      </c>
      <c r="J28" s="223">
        <f>+'08'!D27</f>
        <v>1560</v>
      </c>
      <c r="K28" s="223">
        <f>+'09'!D27</f>
        <v>706.5</v>
      </c>
      <c r="L28" s="223">
        <f>+'10'!D27</f>
        <v>944.5</v>
      </c>
      <c r="M28" s="223">
        <f>+'11'!D27</f>
        <v>6848.25</v>
      </c>
      <c r="N28" s="223">
        <f>+'12'!D27</f>
        <v>510</v>
      </c>
      <c r="O28" s="223">
        <f>+'13'!D27</f>
        <v>0</v>
      </c>
      <c r="P28" s="223">
        <f>+'14'!D27</f>
        <v>930</v>
      </c>
      <c r="Q28" s="223">
        <f>+'15'!D27</f>
        <v>201</v>
      </c>
      <c r="R28" s="223">
        <f>+'16'!D27</f>
        <v>217</v>
      </c>
      <c r="S28" s="223">
        <f>+'17'!D27</f>
        <v>1021</v>
      </c>
      <c r="T28" s="223">
        <f>+'18'!D27</f>
        <v>991</v>
      </c>
      <c r="U28" s="222">
        <f>+'19'!D27</f>
        <v>1064</v>
      </c>
      <c r="V28" s="222">
        <f>+'20'!D27</f>
        <v>0</v>
      </c>
      <c r="W28" s="222">
        <f>+'21'!D27</f>
        <v>3625.25</v>
      </c>
      <c r="X28" s="222">
        <f>+'22'!D27</f>
        <v>1483</v>
      </c>
      <c r="Y28" s="222">
        <f>+'23'!D27</f>
        <v>351</v>
      </c>
      <c r="Z28" s="222">
        <f>+'24'!D27</f>
        <v>0</v>
      </c>
      <c r="AA28" s="222">
        <f>+'25'!D27</f>
        <v>1377</v>
      </c>
      <c r="AB28" s="222">
        <f>+'26'!D27</f>
        <v>1574.5</v>
      </c>
      <c r="AC28" s="222">
        <f>+'27'!D27</f>
        <v>150</v>
      </c>
      <c r="AD28" s="222">
        <f>+'28'!D27</f>
        <v>0</v>
      </c>
      <c r="AE28" s="222">
        <f>+'29'!D27</f>
        <v>1013.75</v>
      </c>
      <c r="AF28" s="222">
        <f>+'30'!D27</f>
        <v>369</v>
      </c>
      <c r="AG28" s="222">
        <f>+'31'!D27</f>
        <v>0</v>
      </c>
      <c r="AH28" s="224">
        <f t="shared" si="0"/>
        <v>36399.5</v>
      </c>
      <c r="AI28" s="191"/>
      <c r="AJ28" s="246">
        <v>36399.5</v>
      </c>
      <c r="AK28" s="190">
        <f t="shared" si="5"/>
        <v>0</v>
      </c>
    </row>
    <row r="29" spans="1:38">
      <c r="A29" s="209">
        <v>11</v>
      </c>
      <c r="B29" s="232" t="s">
        <v>269</v>
      </c>
      <c r="C29" s="222">
        <f>+'01'!D28</f>
        <v>1098330.8899999999</v>
      </c>
      <c r="D29" s="223">
        <f>+'02'!D28</f>
        <v>430639.9</v>
      </c>
      <c r="E29" s="223">
        <f>+'03'!D28</f>
        <v>1498993.19</v>
      </c>
      <c r="F29" s="223">
        <f>+'04'!D28</f>
        <v>862996.33</v>
      </c>
      <c r="G29" s="223">
        <f>+'05'!D28</f>
        <v>1344580.41</v>
      </c>
      <c r="H29" s="223">
        <f>+'06'!D28</f>
        <v>1667736.13</v>
      </c>
      <c r="I29" s="223">
        <f>+'07'!D28</f>
        <v>771498.1</v>
      </c>
      <c r="J29" s="223">
        <f>+'08'!D28</f>
        <v>852919.58</v>
      </c>
      <c r="K29" s="223">
        <f>+'09'!D28</f>
        <v>698918.18</v>
      </c>
      <c r="L29" s="223">
        <f>+'10'!D28</f>
        <v>642768.02</v>
      </c>
      <c r="M29" s="223">
        <f>+'11'!D28</f>
        <v>718547.52</v>
      </c>
      <c r="N29" s="223">
        <f>+'12'!D28</f>
        <v>1426684.08</v>
      </c>
      <c r="O29" s="223">
        <f>+'13'!D28</f>
        <v>632274.63</v>
      </c>
      <c r="P29" s="223">
        <f>+'14'!D28</f>
        <v>494504.48</v>
      </c>
      <c r="Q29" s="223">
        <f>+'15'!D28</f>
        <v>958032.57</v>
      </c>
      <c r="R29" s="223">
        <f>+'16'!D28</f>
        <v>834777.44</v>
      </c>
      <c r="S29" s="223">
        <f>+'17'!D28</f>
        <v>1136339.18</v>
      </c>
      <c r="T29" s="223">
        <f>+'18'!D28</f>
        <v>697927.35</v>
      </c>
      <c r="U29" s="222">
        <f>+'19'!D28</f>
        <v>733162.47</v>
      </c>
      <c r="V29" s="222">
        <f>+'20'!D28</f>
        <v>456264.88</v>
      </c>
      <c r="W29" s="222">
        <f>+'21'!D28</f>
        <v>668477.11</v>
      </c>
      <c r="X29" s="222">
        <f>+'22'!D28</f>
        <v>290191.33</v>
      </c>
      <c r="Y29" s="222">
        <f>+'23'!D28</f>
        <v>1031922.99</v>
      </c>
      <c r="Z29" s="222">
        <f>+'24'!D28</f>
        <v>758848.19</v>
      </c>
      <c r="AA29" s="222">
        <f>+'25'!D28</f>
        <v>552103.74</v>
      </c>
      <c r="AB29" s="222">
        <f>+'26'!D28</f>
        <v>743753.97</v>
      </c>
      <c r="AC29" s="222">
        <f>+'27'!D28</f>
        <v>731220.36</v>
      </c>
      <c r="AD29" s="222">
        <f>+'28'!D28</f>
        <v>525262.48</v>
      </c>
      <c r="AE29" s="222">
        <f>+'29'!D28</f>
        <v>508752.27</v>
      </c>
      <c r="AF29" s="222">
        <f>+'30'!D28</f>
        <v>903954.85</v>
      </c>
      <c r="AG29" s="222">
        <f>+'31'!D28</f>
        <v>0</v>
      </c>
      <c r="AH29" s="224">
        <f t="shared" si="0"/>
        <v>24672382.619999994</v>
      </c>
      <c r="AI29" s="191"/>
      <c r="AJ29" s="246">
        <v>24672382.620000001</v>
      </c>
      <c r="AK29" s="190">
        <f t="shared" si="5"/>
        <v>0</v>
      </c>
    </row>
    <row r="30" spans="1:38">
      <c r="A30" s="209"/>
      <c r="B30" s="270" t="s">
        <v>267</v>
      </c>
      <c r="C30" s="222">
        <f>+'01'!D29</f>
        <v>282249.59999999998</v>
      </c>
      <c r="D30" s="223">
        <f>+'02'!D29</f>
        <v>104949</v>
      </c>
      <c r="E30" s="223">
        <f>+'03'!D29</f>
        <v>48009.5</v>
      </c>
      <c r="F30" s="223">
        <f>+'04'!D29</f>
        <v>725753.17</v>
      </c>
      <c r="G30" s="223">
        <f>+'05'!D29</f>
        <v>73593.25</v>
      </c>
      <c r="H30" s="223">
        <f>+'06'!D29</f>
        <v>106301.5</v>
      </c>
      <c r="I30" s="223">
        <f>+'07'!D29</f>
        <v>32986.25</v>
      </c>
      <c r="J30" s="223">
        <f>+'08'!D29</f>
        <v>127695.47</v>
      </c>
      <c r="K30" s="223">
        <f>+'09'!D29</f>
        <v>23367.5</v>
      </c>
      <c r="L30" s="223">
        <f>+'10'!D29</f>
        <v>81201.25</v>
      </c>
      <c r="M30" s="223">
        <f>+'11'!D29</f>
        <v>86994</v>
      </c>
      <c r="N30" s="223">
        <f>+'12'!D29</f>
        <v>49087.25</v>
      </c>
      <c r="O30" s="223">
        <f>+'13'!D29</f>
        <v>69711.289999999994</v>
      </c>
      <c r="P30" s="223">
        <f>+'14'!D29</f>
        <v>0</v>
      </c>
      <c r="Q30" s="223">
        <f>+'15'!D29</f>
        <v>14976.25</v>
      </c>
      <c r="R30" s="223">
        <f>+'16'!D29</f>
        <v>64348.32</v>
      </c>
      <c r="S30" s="223">
        <f>+'17'!D29</f>
        <v>91333.47</v>
      </c>
      <c r="T30" s="223">
        <f>+'18'!D29</f>
        <v>97138.5</v>
      </c>
      <c r="U30" s="222">
        <f>+'19'!D29</f>
        <v>1830697.76</v>
      </c>
      <c r="V30" s="222">
        <f>+'20'!D29</f>
        <v>0</v>
      </c>
      <c r="W30" s="222">
        <f>+'21'!D29</f>
        <v>199881.13</v>
      </c>
      <c r="X30" s="222">
        <f>+'22'!D29</f>
        <v>59129.25</v>
      </c>
      <c r="Y30" s="222">
        <f>+'23'!D29</f>
        <v>58291.78</v>
      </c>
      <c r="Z30" s="222">
        <f>+'24'!D29</f>
        <v>0</v>
      </c>
      <c r="AA30" s="222">
        <f>+'25'!D29</f>
        <v>341954.12</v>
      </c>
      <c r="AB30" s="222">
        <f>+'26'!D29</f>
        <v>131622.25</v>
      </c>
      <c r="AC30" s="222">
        <f>+'27'!D29</f>
        <v>58233</v>
      </c>
      <c r="AD30" s="222">
        <f>+'28'!D29</f>
        <v>0</v>
      </c>
      <c r="AE30" s="222">
        <f>+'29'!D29</f>
        <v>0</v>
      </c>
      <c r="AF30" s="222">
        <f>+'30'!D29</f>
        <v>0</v>
      </c>
      <c r="AG30" s="222">
        <f>+'31'!D29</f>
        <v>0</v>
      </c>
      <c r="AH30" s="224">
        <f t="shared" si="0"/>
        <v>4759504.8600000003</v>
      </c>
      <c r="AI30" s="191"/>
      <c r="AJ30" s="246">
        <v>4759504.8600000003</v>
      </c>
      <c r="AK30" s="190">
        <f t="shared" si="5"/>
        <v>0</v>
      </c>
    </row>
    <row r="31" spans="1:38">
      <c r="A31" s="209"/>
      <c r="B31" s="232" t="s">
        <v>66</v>
      </c>
      <c r="C31" s="222">
        <f>+'01'!D30</f>
        <v>0</v>
      </c>
      <c r="D31" s="223">
        <f>+'02'!D30</f>
        <v>0</v>
      </c>
      <c r="E31" s="223">
        <f>+'03'!D30</f>
        <v>0</v>
      </c>
      <c r="F31" s="223">
        <f>+'04'!D30</f>
        <v>35573</v>
      </c>
      <c r="G31" s="223">
        <f>+'05'!D30</f>
        <v>11461</v>
      </c>
      <c r="H31" s="223">
        <f>+'06'!D30</f>
        <v>0</v>
      </c>
      <c r="I31" s="223">
        <f>+'07'!D30</f>
        <v>20123</v>
      </c>
      <c r="J31" s="223">
        <f>+'08'!D30</f>
        <v>30908.47</v>
      </c>
      <c r="K31" s="223">
        <f>+'09'!D30</f>
        <v>0</v>
      </c>
      <c r="L31" s="223">
        <f>+'10'!D30</f>
        <v>0</v>
      </c>
      <c r="M31" s="223">
        <f>+'11'!D30</f>
        <v>0</v>
      </c>
      <c r="N31" s="223">
        <f>+'12'!D30</f>
        <v>0</v>
      </c>
      <c r="O31" s="223">
        <f>+'13'!D30</f>
        <v>0</v>
      </c>
      <c r="P31" s="223">
        <f>+'14'!D30</f>
        <v>0</v>
      </c>
      <c r="Q31" s="223">
        <f>+'15'!D30</f>
        <v>0</v>
      </c>
      <c r="R31" s="223">
        <f>+'16'!D30</f>
        <v>32079.75</v>
      </c>
      <c r="S31" s="223">
        <f>+'17'!D30</f>
        <v>0</v>
      </c>
      <c r="T31" s="223">
        <f>+'18'!D30</f>
        <v>0</v>
      </c>
      <c r="U31" s="222">
        <f>+'19'!D30</f>
        <v>104586.97</v>
      </c>
      <c r="V31" s="222">
        <f>+'20'!D30</f>
        <v>0</v>
      </c>
      <c r="W31" s="222">
        <f>+'21'!D30</f>
        <v>26825.5</v>
      </c>
      <c r="X31" s="222">
        <f>+'22'!D30</f>
        <v>43613.91</v>
      </c>
      <c r="Y31" s="222">
        <f>+'23'!D30</f>
        <v>23917.75</v>
      </c>
      <c r="Z31" s="222">
        <f>+'24'!D30</f>
        <v>0</v>
      </c>
      <c r="AA31" s="222">
        <f>+'25'!D30</f>
        <v>36809.5</v>
      </c>
      <c r="AB31" s="222">
        <f>+'26'!D30</f>
        <v>0</v>
      </c>
      <c r="AC31" s="222">
        <f>+'27'!D30</f>
        <v>124932</v>
      </c>
      <c r="AD31" s="222">
        <f>+'28'!D30</f>
        <v>39725.25</v>
      </c>
      <c r="AE31" s="222">
        <f>+'29'!D30</f>
        <v>196051.1</v>
      </c>
      <c r="AF31" s="222">
        <f>+'30'!D30</f>
        <v>0</v>
      </c>
      <c r="AG31" s="222">
        <f>+'31'!D30</f>
        <v>0</v>
      </c>
      <c r="AH31" s="224">
        <f>+C31+D31+E31+F31+G31+H31+I31+J31+K31+L31+M31+N31+O31+P31+Q31+R31+S31+T31+U31+V31+W31+X31+Y31+Z31+AA31+AB31+AC31+AD31+AE31+AF31+AG31</f>
        <v>726607.2</v>
      </c>
      <c r="AI31" s="191"/>
      <c r="AJ31" s="246">
        <v>726607.2</v>
      </c>
      <c r="AK31" s="190">
        <f t="shared" si="5"/>
        <v>0</v>
      </c>
    </row>
    <row r="32" spans="1:38">
      <c r="A32" s="209"/>
      <c r="B32" s="232" t="s">
        <v>268</v>
      </c>
      <c r="C32" s="222">
        <f>+'01'!D31</f>
        <v>0</v>
      </c>
      <c r="D32" s="223">
        <f>+'02'!D31</f>
        <v>11313.75</v>
      </c>
      <c r="E32" s="223">
        <f>+'03'!D31</f>
        <v>0</v>
      </c>
      <c r="F32" s="223">
        <f>+'04'!D31</f>
        <v>0</v>
      </c>
      <c r="G32" s="223">
        <f>+'05'!D31</f>
        <v>0</v>
      </c>
      <c r="H32" s="223">
        <f>+'06'!D31</f>
        <v>0</v>
      </c>
      <c r="I32" s="223">
        <f>+'07'!D31</f>
        <v>0</v>
      </c>
      <c r="J32" s="223">
        <f>+'08'!D31</f>
        <v>0</v>
      </c>
      <c r="K32" s="223">
        <f>+'09'!D31</f>
        <v>0</v>
      </c>
      <c r="L32" s="223">
        <f>+'10'!D31</f>
        <v>0</v>
      </c>
      <c r="M32" s="223">
        <f>+'11'!D31</f>
        <v>0</v>
      </c>
      <c r="N32" s="223">
        <f>+'12'!D31</f>
        <v>0</v>
      </c>
      <c r="O32" s="223">
        <f>+'13'!D31</f>
        <v>0</v>
      </c>
      <c r="P32" s="223">
        <f>+'14'!D31</f>
        <v>0</v>
      </c>
      <c r="Q32" s="223">
        <f>+'15'!D31</f>
        <v>0</v>
      </c>
      <c r="R32" s="223">
        <f>+'16'!D31</f>
        <v>0</v>
      </c>
      <c r="S32" s="223">
        <f>+'17'!D31</f>
        <v>0</v>
      </c>
      <c r="T32" s="223">
        <f>+'18'!D31</f>
        <v>44064.25</v>
      </c>
      <c r="U32" s="222">
        <f>+'19'!D31</f>
        <v>0</v>
      </c>
      <c r="V32" s="222">
        <f>+'20'!D31</f>
        <v>0</v>
      </c>
      <c r="W32" s="222">
        <f>+'21'!D31</f>
        <v>0</v>
      </c>
      <c r="X32" s="222">
        <f>+'22'!D31</f>
        <v>0</v>
      </c>
      <c r="Y32" s="222">
        <f>+'23'!D31</f>
        <v>21918.5</v>
      </c>
      <c r="Z32" s="222">
        <f>+'24'!D31</f>
        <v>0</v>
      </c>
      <c r="AA32" s="222">
        <f>+'25'!D31</f>
        <v>0</v>
      </c>
      <c r="AB32" s="222">
        <f>+'26'!D31</f>
        <v>0</v>
      </c>
      <c r="AC32" s="222">
        <f>+'27'!D31</f>
        <v>0</v>
      </c>
      <c r="AD32" s="222">
        <f>+'28'!D31</f>
        <v>0</v>
      </c>
      <c r="AE32" s="222">
        <f>+'29'!D31</f>
        <v>0</v>
      </c>
      <c r="AF32" s="222">
        <f>+'30'!D31</f>
        <v>0</v>
      </c>
      <c r="AG32" s="222">
        <f>+'31'!D31</f>
        <v>0</v>
      </c>
      <c r="AH32" s="224">
        <f t="shared" si="0"/>
        <v>77296.5</v>
      </c>
      <c r="AI32" s="191"/>
      <c r="AJ32" s="246">
        <v>77296.5</v>
      </c>
      <c r="AK32" s="190">
        <f t="shared" si="5"/>
        <v>0</v>
      </c>
    </row>
    <row r="33" spans="1:37">
      <c r="A33" s="209"/>
      <c r="B33" s="232" t="s">
        <v>68</v>
      </c>
      <c r="C33" s="222">
        <f>+'01'!D32</f>
        <v>0</v>
      </c>
      <c r="D33" s="223">
        <f>+'02'!D32</f>
        <v>78269.75</v>
      </c>
      <c r="E33" s="223">
        <f>+'03'!D32</f>
        <v>0</v>
      </c>
      <c r="F33" s="223">
        <f>+'04'!D32</f>
        <v>25216.54</v>
      </c>
      <c r="G33" s="223">
        <f>+'05'!D32</f>
        <v>0</v>
      </c>
      <c r="H33" s="223">
        <f>+'06'!D32</f>
        <v>0</v>
      </c>
      <c r="I33" s="223">
        <f>+'07'!D32</f>
        <v>0</v>
      </c>
      <c r="J33" s="223">
        <f>+'08'!D32</f>
        <v>0</v>
      </c>
      <c r="K33" s="223">
        <f>+'09'!D32</f>
        <v>0</v>
      </c>
      <c r="L33" s="223">
        <f>+'10'!D32</f>
        <v>0</v>
      </c>
      <c r="M33" s="223">
        <f>+'11'!D32</f>
        <v>0</v>
      </c>
      <c r="N33" s="223">
        <f>+'12'!D32</f>
        <v>0</v>
      </c>
      <c r="O33" s="223">
        <f>+'13'!D32</f>
        <v>0</v>
      </c>
      <c r="P33" s="223">
        <f>+'14'!D32</f>
        <v>0</v>
      </c>
      <c r="Q33" s="223">
        <f>+'15'!D32</f>
        <v>0</v>
      </c>
      <c r="R33" s="223">
        <f>+'16'!D32</f>
        <v>0</v>
      </c>
      <c r="S33" s="223">
        <f>+'17'!D32</f>
        <v>0</v>
      </c>
      <c r="T33" s="223">
        <f>+'18'!D32</f>
        <v>0</v>
      </c>
      <c r="U33" s="222">
        <f>+'19'!D32</f>
        <v>0</v>
      </c>
      <c r="V33" s="222">
        <f>+'20'!D32</f>
        <v>0</v>
      </c>
      <c r="W33" s="222">
        <f>+'21'!D32</f>
        <v>0</v>
      </c>
      <c r="X33" s="222">
        <f>+'22'!D32</f>
        <v>0</v>
      </c>
      <c r="Y33" s="222">
        <f>+'23'!D32</f>
        <v>0</v>
      </c>
      <c r="Z33" s="222">
        <f>+'24'!D32</f>
        <v>0</v>
      </c>
      <c r="AA33" s="222">
        <f>+'25'!D32</f>
        <v>0</v>
      </c>
      <c r="AB33" s="222">
        <f>+'26'!D32</f>
        <v>0</v>
      </c>
      <c r="AC33" s="222">
        <f>+'27'!D32</f>
        <v>0</v>
      </c>
      <c r="AD33" s="222">
        <f>+'28'!D32</f>
        <v>0</v>
      </c>
      <c r="AE33" s="222">
        <f>+'29'!D32</f>
        <v>0</v>
      </c>
      <c r="AF33" s="222">
        <f>+'30'!D32</f>
        <v>0</v>
      </c>
      <c r="AG33" s="222">
        <f>+'31'!D32</f>
        <v>0</v>
      </c>
      <c r="AH33" s="224">
        <f t="shared" si="0"/>
        <v>103486.29000000001</v>
      </c>
      <c r="AI33" s="191"/>
      <c r="AJ33" s="246">
        <v>103486.29</v>
      </c>
      <c r="AK33" s="190">
        <f t="shared" si="5"/>
        <v>0</v>
      </c>
    </row>
    <row r="34" spans="1:37">
      <c r="A34" s="209">
        <v>12</v>
      </c>
      <c r="B34" s="221" t="s">
        <v>69</v>
      </c>
      <c r="C34" s="211">
        <f>+'01'!D33</f>
        <v>1222242.4099999999</v>
      </c>
      <c r="D34" s="212">
        <f>+'02'!D33</f>
        <v>1266343.77</v>
      </c>
      <c r="E34" s="212">
        <f>+'03'!D33</f>
        <v>1167566.58</v>
      </c>
      <c r="F34" s="212">
        <f>+'04'!D33</f>
        <v>1112166.07</v>
      </c>
      <c r="G34" s="212">
        <f>+'05'!D33</f>
        <v>244067.75</v>
      </c>
      <c r="H34" s="212">
        <f>+'06'!D33</f>
        <v>124433.5</v>
      </c>
      <c r="I34" s="212">
        <f>+'07'!D33</f>
        <v>1387628.48</v>
      </c>
      <c r="J34" s="212">
        <f>+'08'!D33</f>
        <v>1241451.93</v>
      </c>
      <c r="K34" s="212">
        <f>+'09'!D33</f>
        <v>1462710.2</v>
      </c>
      <c r="L34" s="212">
        <f>+'10'!D33</f>
        <v>1366664.06</v>
      </c>
      <c r="M34" s="212">
        <f>+'11'!D33</f>
        <v>1122964.57</v>
      </c>
      <c r="N34" s="212">
        <f>+'12'!D33</f>
        <v>228290</v>
      </c>
      <c r="O34" s="212">
        <f>+'13'!D33</f>
        <v>205904.75</v>
      </c>
      <c r="P34" s="212">
        <f>+'14'!D33</f>
        <v>1440432.35</v>
      </c>
      <c r="Q34" s="212">
        <f>+'15'!D33</f>
        <v>1353671.45</v>
      </c>
      <c r="R34" s="212">
        <f>+'16'!D33</f>
        <v>1485180.67</v>
      </c>
      <c r="S34" s="212">
        <f>+'17'!D33</f>
        <v>1556664.67</v>
      </c>
      <c r="T34" s="212">
        <f>+'18'!D33</f>
        <v>1007904.28</v>
      </c>
      <c r="U34" s="211">
        <f>+'19'!D33</f>
        <v>202677.25</v>
      </c>
      <c r="V34" s="211">
        <f>+'20'!D33</f>
        <v>212405.5</v>
      </c>
      <c r="W34" s="211">
        <f>+'21'!D33</f>
        <v>1227861.1499999999</v>
      </c>
      <c r="X34" s="211">
        <f>+'22'!D33</f>
        <v>1355179.19</v>
      </c>
      <c r="Y34" s="211">
        <f>+'23'!D33</f>
        <v>1323939.44</v>
      </c>
      <c r="Z34" s="211">
        <f>+'24'!D33</f>
        <v>1324815.55</v>
      </c>
      <c r="AA34" s="211">
        <f>+'25'!D33</f>
        <v>1111569.31</v>
      </c>
      <c r="AB34" s="211">
        <f>+'26'!D33</f>
        <v>205101.25</v>
      </c>
      <c r="AC34" s="211">
        <f>+'27'!D33</f>
        <v>236420.25</v>
      </c>
      <c r="AD34" s="211">
        <f>+'28'!D33</f>
        <v>1386783.89</v>
      </c>
      <c r="AE34" s="211">
        <f>+'29'!D33</f>
        <v>1252206.69</v>
      </c>
      <c r="AF34" s="211">
        <f>+'30'!D33</f>
        <v>1381736.26</v>
      </c>
      <c r="AG34" s="211">
        <f>+'31'!D33</f>
        <v>0</v>
      </c>
      <c r="AH34" s="213">
        <f>+C34+D34+E34+F34+G34+H34+I34+J34+K34+L34+M34+N34+O34+P34+Q34+R34+S34+T34+U34+V34+W34+X34+Y34+Z34+AA34+AB34+AC34+AD34+AE34+AF34+AG34</f>
        <v>30216983.220000006</v>
      </c>
      <c r="AI34" s="191"/>
      <c r="AJ34" s="246">
        <v>30216983.219999999</v>
      </c>
      <c r="AK34" s="190">
        <f>+AH34-AJ34</f>
        <v>0</v>
      </c>
    </row>
    <row r="35" spans="1:37">
      <c r="A35" s="209"/>
      <c r="B35" s="221" t="s">
        <v>256</v>
      </c>
      <c r="C35" s="211">
        <f>+'01'!D34</f>
        <v>370752.2</v>
      </c>
      <c r="D35" s="212">
        <f>+'02'!D34</f>
        <v>615414.86</v>
      </c>
      <c r="E35" s="212">
        <f>+'03'!D34</f>
        <v>674531.67</v>
      </c>
      <c r="F35" s="212">
        <f>+'04'!D34</f>
        <v>529573.55000000005</v>
      </c>
      <c r="G35" s="212">
        <f>+'05'!D34</f>
        <v>61069</v>
      </c>
      <c r="H35" s="212">
        <f>+'06'!D34</f>
        <v>116071.5</v>
      </c>
      <c r="I35" s="212">
        <f>+'07'!D34</f>
        <v>570201.81000000006</v>
      </c>
      <c r="J35" s="212">
        <f>+'08'!D34</f>
        <v>638330.56999999995</v>
      </c>
      <c r="K35" s="212">
        <f>+'09'!D34</f>
        <v>611267.23</v>
      </c>
      <c r="L35" s="212">
        <f>+'10'!D34</f>
        <v>658466.92000000004</v>
      </c>
      <c r="M35" s="212">
        <f>+'11'!D34</f>
        <v>412806.98</v>
      </c>
      <c r="N35" s="212">
        <f>+'12'!D34</f>
        <v>106269.5</v>
      </c>
      <c r="O35" s="212">
        <f>+'13'!D34</f>
        <v>55080.75</v>
      </c>
      <c r="P35" s="212">
        <f>+'14'!D34</f>
        <v>609629.16</v>
      </c>
      <c r="Q35" s="212">
        <f>+'15'!D34</f>
        <v>505068.73</v>
      </c>
      <c r="R35" s="212">
        <f>+'16'!D34</f>
        <v>602301.31000000006</v>
      </c>
      <c r="S35" s="212">
        <f>+'17'!D34</f>
        <v>669072.28</v>
      </c>
      <c r="T35" s="212">
        <f>+'18'!D34</f>
        <v>598318.42000000004</v>
      </c>
      <c r="U35" s="211">
        <f>+'19'!D34</f>
        <v>81474.25</v>
      </c>
      <c r="V35" s="211">
        <f>+'20'!D34</f>
        <v>70002.25</v>
      </c>
      <c r="W35" s="211">
        <f>+'21'!D34</f>
        <v>616941.34</v>
      </c>
      <c r="X35" s="211">
        <f>+'22'!D34</f>
        <v>576801.06999999995</v>
      </c>
      <c r="Y35" s="211">
        <f>+'23'!D34</f>
        <v>517843.73</v>
      </c>
      <c r="Z35" s="211">
        <f>+'24'!D34</f>
        <v>587589.34</v>
      </c>
      <c r="AA35" s="211">
        <f>+'25'!D34</f>
        <v>355310.23</v>
      </c>
      <c r="AB35" s="211">
        <f>+'26'!D34</f>
        <v>104979.25</v>
      </c>
      <c r="AC35" s="211">
        <f>+'27'!D34</f>
        <v>46996.5</v>
      </c>
      <c r="AD35" s="211">
        <f>+'28'!D34</f>
        <v>556134.06999999995</v>
      </c>
      <c r="AE35" s="211">
        <f>+'29'!D34</f>
        <v>587044.43999999994</v>
      </c>
      <c r="AF35" s="211">
        <f>+'30'!D34</f>
        <v>498708.05</v>
      </c>
      <c r="AG35" s="211">
        <f>+'31'!D34</f>
        <v>0</v>
      </c>
      <c r="AH35" s="213">
        <f t="shared" si="0"/>
        <v>13004050.960000005</v>
      </c>
      <c r="AI35" s="191"/>
      <c r="AJ35" s="246">
        <v>13004050.960000001</v>
      </c>
      <c r="AK35" s="190">
        <f>+AH35-AJ35</f>
        <v>0</v>
      </c>
    </row>
    <row r="36" spans="1:37">
      <c r="A36" s="209"/>
      <c r="B36" s="221" t="s">
        <v>72</v>
      </c>
      <c r="C36" s="211">
        <f>+'01'!D35</f>
        <v>22118</v>
      </c>
      <c r="D36" s="212">
        <f>+'02'!D35</f>
        <v>35414</v>
      </c>
      <c r="E36" s="212">
        <f>+'03'!D35</f>
        <v>27541.25</v>
      </c>
      <c r="F36" s="212">
        <f>+'04'!D35</f>
        <v>28076.86</v>
      </c>
      <c r="G36" s="212">
        <f>+'05'!D35</f>
        <v>19832</v>
      </c>
      <c r="H36" s="212">
        <f>+'06'!D35</f>
        <v>1765</v>
      </c>
      <c r="I36" s="212">
        <f>+'07'!D35</f>
        <v>61644.75</v>
      </c>
      <c r="J36" s="212">
        <f>+'08'!D35</f>
        <v>16419.990000000002</v>
      </c>
      <c r="K36" s="212">
        <f>+'09'!D35</f>
        <v>26275.5</v>
      </c>
      <c r="L36" s="212">
        <f>+'10'!D35</f>
        <v>67903</v>
      </c>
      <c r="M36" s="212">
        <f>+'11'!D35</f>
        <v>55226.61</v>
      </c>
      <c r="N36" s="212">
        <f>+'12'!D35</f>
        <v>14794.5</v>
      </c>
      <c r="O36" s="212">
        <f>+'13'!D35</f>
        <v>1319</v>
      </c>
      <c r="P36" s="212">
        <f>+'14'!D35</f>
        <v>28028</v>
      </c>
      <c r="Q36" s="212">
        <f>+'15'!D35</f>
        <v>13504.25</v>
      </c>
      <c r="R36" s="212">
        <f>+'16'!D35</f>
        <v>63165.75</v>
      </c>
      <c r="S36" s="212">
        <f>+'17'!D35</f>
        <v>24952.25</v>
      </c>
      <c r="T36" s="212">
        <f>+'18'!D35</f>
        <v>17042.5</v>
      </c>
      <c r="U36" s="211">
        <f>+'19'!D35</f>
        <v>2671.75</v>
      </c>
      <c r="V36" s="211">
        <f>+'20'!D35</f>
        <v>1165.5</v>
      </c>
      <c r="W36" s="211">
        <f>+'21'!D35</f>
        <v>19513</v>
      </c>
      <c r="X36" s="211">
        <f>+'22'!D35</f>
        <v>22225</v>
      </c>
      <c r="Y36" s="211">
        <f>+'23'!D35</f>
        <v>48367.75</v>
      </c>
      <c r="Z36" s="211">
        <f>+'24'!D35</f>
        <v>41148.11</v>
      </c>
      <c r="AA36" s="211">
        <f>+'25'!D35</f>
        <v>31727.11</v>
      </c>
      <c r="AB36" s="211">
        <f>+'26'!D35</f>
        <v>2504.5</v>
      </c>
      <c r="AC36" s="211">
        <f>+'27'!D35</f>
        <v>7625.5</v>
      </c>
      <c r="AD36" s="211">
        <f>+'28'!D35</f>
        <v>22632</v>
      </c>
      <c r="AE36" s="211">
        <f>+'29'!D35</f>
        <v>28579.5</v>
      </c>
      <c r="AF36" s="211">
        <f>+'30'!D35</f>
        <v>39597.5</v>
      </c>
      <c r="AG36" s="211">
        <f>+'31'!D35</f>
        <v>0</v>
      </c>
      <c r="AH36" s="213">
        <f t="shared" si="0"/>
        <v>792780.42999999993</v>
      </c>
      <c r="AI36" s="191"/>
      <c r="AJ36" s="246">
        <v>792780.43</v>
      </c>
      <c r="AK36" s="190">
        <f t="shared" si="5"/>
        <v>0</v>
      </c>
    </row>
    <row r="37" spans="1:37">
      <c r="A37" s="209"/>
      <c r="B37" s="221" t="s">
        <v>257</v>
      </c>
      <c r="C37" s="211">
        <f>+'01'!D36</f>
        <v>296031.35999999999</v>
      </c>
      <c r="D37" s="212">
        <f>+'02'!D36</f>
        <v>283884.75</v>
      </c>
      <c r="E37" s="212">
        <f>+'03'!D36</f>
        <v>405519.99</v>
      </c>
      <c r="F37" s="212">
        <f>+'04'!D36</f>
        <v>342527.99</v>
      </c>
      <c r="G37" s="212">
        <f>+'05'!D36</f>
        <v>56114.25</v>
      </c>
      <c r="H37" s="212">
        <f>+'06'!D36</f>
        <v>76640.25</v>
      </c>
      <c r="I37" s="212">
        <f>+'07'!D36</f>
        <v>293437.86</v>
      </c>
      <c r="J37" s="212">
        <f>+'08'!D36</f>
        <v>344016.35</v>
      </c>
      <c r="K37" s="212">
        <f>+'09'!D36</f>
        <v>373718.22</v>
      </c>
      <c r="L37" s="212">
        <f>+'10'!D36</f>
        <v>417374.86</v>
      </c>
      <c r="M37" s="212">
        <f>+'11'!D36</f>
        <v>263328.25</v>
      </c>
      <c r="N37" s="212">
        <f>+'12'!D36</f>
        <v>96479.25</v>
      </c>
      <c r="O37" s="212">
        <f>+'13'!D36</f>
        <v>37130</v>
      </c>
      <c r="P37" s="212">
        <f>+'14'!D36</f>
        <v>327272.09999999998</v>
      </c>
      <c r="Q37" s="212">
        <f>+'15'!D36</f>
        <v>362966.34</v>
      </c>
      <c r="R37" s="212">
        <f>+'16'!D36</f>
        <v>218787.1</v>
      </c>
      <c r="S37" s="212">
        <f>+'17'!D36</f>
        <v>242692.74</v>
      </c>
      <c r="T37" s="212">
        <f>+'18'!D36</f>
        <v>229890.99</v>
      </c>
      <c r="U37" s="211">
        <f>+'19'!D36</f>
        <v>88413</v>
      </c>
      <c r="V37" s="211">
        <f>+'20'!D36</f>
        <v>44570.75</v>
      </c>
      <c r="W37" s="211">
        <f>+'21'!D36</f>
        <v>609201.59</v>
      </c>
      <c r="X37" s="211">
        <f>+'22'!D36</f>
        <v>331893.21999999997</v>
      </c>
      <c r="Y37" s="211">
        <f>+'23'!D36</f>
        <v>328562.25</v>
      </c>
      <c r="Z37" s="211">
        <f>+'24'!D36</f>
        <v>357204</v>
      </c>
      <c r="AA37" s="211">
        <f>+'25'!D36</f>
        <v>260837.74</v>
      </c>
      <c r="AB37" s="211">
        <f>+'26'!D36</f>
        <v>55109.5</v>
      </c>
      <c r="AC37" s="211">
        <f>+'27'!D36</f>
        <v>79290.5</v>
      </c>
      <c r="AD37" s="211">
        <f>+'28'!D36</f>
        <v>313231.46999999997</v>
      </c>
      <c r="AE37" s="211">
        <f>+'29'!D36</f>
        <v>265828.61</v>
      </c>
      <c r="AF37" s="211">
        <f>+'30'!D36</f>
        <v>364596.25</v>
      </c>
      <c r="AG37" s="211">
        <f>+'31'!D36</f>
        <v>0</v>
      </c>
      <c r="AH37" s="213">
        <f t="shared" si="0"/>
        <v>7766551.5299999993</v>
      </c>
      <c r="AI37" s="191"/>
      <c r="AJ37" s="246">
        <v>7766551.5300000003</v>
      </c>
      <c r="AK37" s="190">
        <f t="shared" si="5"/>
        <v>0</v>
      </c>
    </row>
    <row r="38" spans="1:37">
      <c r="A38" s="209"/>
      <c r="B38" s="221" t="s">
        <v>258</v>
      </c>
      <c r="C38" s="211">
        <f>+'01'!D37</f>
        <v>5820</v>
      </c>
      <c r="D38" s="212">
        <f>+'02'!D37</f>
        <v>2685</v>
      </c>
      <c r="E38" s="212">
        <f>+'03'!D37</f>
        <v>1555</v>
      </c>
      <c r="F38" s="212">
        <f>+'04'!D37</f>
        <v>1838</v>
      </c>
      <c r="G38" s="212">
        <f>+'05'!D37</f>
        <v>0</v>
      </c>
      <c r="H38" s="212">
        <f>+'06'!D37</f>
        <v>0</v>
      </c>
      <c r="I38" s="212">
        <f>+'07'!D37</f>
        <v>7272.5</v>
      </c>
      <c r="J38" s="212">
        <f>+'08'!D37</f>
        <v>9643</v>
      </c>
      <c r="K38" s="212">
        <f>+'09'!D37</f>
        <v>585</v>
      </c>
      <c r="L38" s="212">
        <f>+'10'!D37</f>
        <v>2430</v>
      </c>
      <c r="M38" s="212">
        <f>+'11'!D37</f>
        <v>4718</v>
      </c>
      <c r="N38" s="212">
        <f>+'12'!D37</f>
        <v>0</v>
      </c>
      <c r="O38" s="212">
        <f>+'13'!D37</f>
        <v>0</v>
      </c>
      <c r="P38" s="212">
        <f>+'14'!D37</f>
        <v>2693</v>
      </c>
      <c r="Q38" s="212">
        <f>+'15'!D37</f>
        <v>10128</v>
      </c>
      <c r="R38" s="212">
        <f>+'16'!D37</f>
        <v>1805</v>
      </c>
      <c r="S38" s="212">
        <f>+'17'!D37</f>
        <v>630</v>
      </c>
      <c r="T38" s="212">
        <f>+'18'!D37</f>
        <v>720</v>
      </c>
      <c r="U38" s="211">
        <f>+'19'!D37</f>
        <v>0</v>
      </c>
      <c r="V38" s="211">
        <f>+'20'!D37</f>
        <v>0</v>
      </c>
      <c r="W38" s="211">
        <f>+'21'!D37</f>
        <v>675</v>
      </c>
      <c r="X38" s="211">
        <f>+'22'!D37</f>
        <v>7320</v>
      </c>
      <c r="Y38" s="211">
        <f>+'23'!D37</f>
        <v>2182.25</v>
      </c>
      <c r="Z38" s="211">
        <f>+'24'!D37</f>
        <v>1120</v>
      </c>
      <c r="AA38" s="211">
        <f>+'25'!D37</f>
        <v>4273</v>
      </c>
      <c r="AB38" s="211">
        <f>+'26'!D37</f>
        <v>0</v>
      </c>
      <c r="AC38" s="211">
        <f>+'27'!D37</f>
        <v>0</v>
      </c>
      <c r="AD38" s="211">
        <f>+'28'!D37</f>
        <v>1780</v>
      </c>
      <c r="AE38" s="211">
        <f>+'29'!D37</f>
        <v>10060</v>
      </c>
      <c r="AF38" s="211">
        <f>+'30'!D37</f>
        <v>510</v>
      </c>
      <c r="AG38" s="211">
        <f>+'31'!D37</f>
        <v>0</v>
      </c>
      <c r="AH38" s="213">
        <f t="shared" si="0"/>
        <v>80442.75</v>
      </c>
      <c r="AI38" s="191"/>
      <c r="AJ38" s="246">
        <v>80442.75</v>
      </c>
      <c r="AK38" s="190">
        <f t="shared" si="5"/>
        <v>0</v>
      </c>
    </row>
    <row r="39" spans="1:37">
      <c r="A39" s="264">
        <v>13</v>
      </c>
      <c r="B39" s="210" t="s">
        <v>259</v>
      </c>
      <c r="C39" s="266">
        <f>+'01'!D38</f>
        <v>1535726.25</v>
      </c>
      <c r="D39" s="267">
        <f>+'02'!D38</f>
        <v>2169107.6800000002</v>
      </c>
      <c r="E39" s="267">
        <f>+'03'!D38</f>
        <v>816129.47</v>
      </c>
      <c r="F39" s="267">
        <f>+'04'!D38</f>
        <v>1251111.17</v>
      </c>
      <c r="G39" s="267">
        <f>+'05'!D38</f>
        <v>1898325.61</v>
      </c>
      <c r="H39" s="267">
        <f>+'06'!D38</f>
        <v>1106423.51</v>
      </c>
      <c r="I39" s="267">
        <f>+'07'!D38</f>
        <v>1621478.16</v>
      </c>
      <c r="J39" s="267">
        <f>+'08'!D38</f>
        <v>1777126.92</v>
      </c>
      <c r="K39" s="267">
        <f>+'09'!D38</f>
        <v>2927898.45</v>
      </c>
      <c r="L39" s="267">
        <f>+'10'!D38</f>
        <v>1960123.87</v>
      </c>
      <c r="M39" s="267">
        <f>+'11'!D38</f>
        <v>1446952.05</v>
      </c>
      <c r="N39" s="267">
        <f>+'12'!D38</f>
        <v>1711422.97</v>
      </c>
      <c r="O39" s="267">
        <f>+'13'!D38</f>
        <v>1068711.01</v>
      </c>
      <c r="P39" s="267">
        <f>+'14'!D38</f>
        <v>1340010.8600000001</v>
      </c>
      <c r="Q39" s="267">
        <f>+'15'!D38</f>
        <v>2202033.4900000002</v>
      </c>
      <c r="R39" s="267">
        <f>+'16'!D38</f>
        <v>1218105.1599999999</v>
      </c>
      <c r="S39" s="267">
        <f>+'17'!D38</f>
        <v>1186714.78</v>
      </c>
      <c r="T39" s="267">
        <f>+'18'!D38</f>
        <v>3146904.11</v>
      </c>
      <c r="U39" s="266">
        <f>+'19'!D38</f>
        <v>1984334.84</v>
      </c>
      <c r="V39" s="266">
        <f>+'20'!D38</f>
        <v>666531.66</v>
      </c>
      <c r="W39" s="266">
        <f>+'21'!D38</f>
        <v>1831871.41</v>
      </c>
      <c r="X39" s="266">
        <f>+'22'!D38</f>
        <v>1689988.57</v>
      </c>
      <c r="Y39" s="266">
        <f>+'23'!D38</f>
        <v>1253251.8500000001</v>
      </c>
      <c r="Z39" s="211">
        <f>+'24'!D38</f>
        <v>1588479.45</v>
      </c>
      <c r="AA39" s="266">
        <f>+'25'!D38</f>
        <v>1673005.36</v>
      </c>
      <c r="AB39" s="266">
        <f>+'26'!D38</f>
        <v>826991.7</v>
      </c>
      <c r="AC39" s="266">
        <f>+'27'!D38</f>
        <v>377399.86</v>
      </c>
      <c r="AD39" s="266">
        <f>+'28'!D38</f>
        <v>1913864.73</v>
      </c>
      <c r="AE39" s="266">
        <f>+'29'!D38</f>
        <v>887855.47</v>
      </c>
      <c r="AF39" s="266">
        <f>+'30'!D38</f>
        <v>1550883.2</v>
      </c>
      <c r="AG39" s="266">
        <f>+'31'!D38</f>
        <v>0</v>
      </c>
      <c r="AH39" s="213">
        <f>+C39+D39+E39+F39+G39+H39+I39+J39+K39+L39+M39+N39+O39+P39+Q39+R39+S39+T39+U39+V39+W39+X39+Y39+Z39+AA39+AB39+AC39+AD39+AE39+AF39+AG39</f>
        <v>46628763.620000012</v>
      </c>
      <c r="AI39" s="191"/>
      <c r="AJ39" s="246">
        <v>46628763.619999997</v>
      </c>
      <c r="AK39" s="190">
        <f t="shared" si="5"/>
        <v>0</v>
      </c>
    </row>
    <row r="40" spans="1:37">
      <c r="A40" s="209"/>
      <c r="B40" s="210" t="s">
        <v>260</v>
      </c>
      <c r="C40" s="211">
        <f>+'01'!D39</f>
        <v>567205.23</v>
      </c>
      <c r="D40" s="212">
        <f>+'02'!D39</f>
        <v>575516.5</v>
      </c>
      <c r="E40" s="212">
        <f>+'03'!D39</f>
        <v>1243635.74</v>
      </c>
      <c r="F40" s="212">
        <f>+'04'!D39</f>
        <v>1717552.71</v>
      </c>
      <c r="G40" s="212">
        <f>+'05'!D39</f>
        <v>1157793.43</v>
      </c>
      <c r="H40" s="212">
        <f>+'06'!D39</f>
        <v>493655.86</v>
      </c>
      <c r="I40" s="212">
        <f>+'07'!D39</f>
        <v>783751.39</v>
      </c>
      <c r="J40" s="212">
        <f>+'08'!D39</f>
        <v>1147823.49</v>
      </c>
      <c r="K40" s="212">
        <f>+'09'!D39</f>
        <v>966376.92</v>
      </c>
      <c r="L40" s="212">
        <f>+'10'!D39</f>
        <v>1601905.36</v>
      </c>
      <c r="M40" s="212">
        <f>+'11'!D39</f>
        <v>1509485.77</v>
      </c>
      <c r="N40" s="212">
        <f>+'12'!D39</f>
        <v>385144.25</v>
      </c>
      <c r="O40" s="212">
        <f>+'13'!D39</f>
        <v>346250.2</v>
      </c>
      <c r="P40" s="212">
        <f>+'14'!D39</f>
        <v>846031.64</v>
      </c>
      <c r="Q40" s="212">
        <f>+'15'!D39</f>
        <v>1050913.02</v>
      </c>
      <c r="R40" s="212">
        <f>+'16'!D39</f>
        <v>949960.21</v>
      </c>
      <c r="S40" s="212">
        <f>+'17'!D39</f>
        <v>1010281.47</v>
      </c>
      <c r="T40" s="212">
        <f>+'18'!D39</f>
        <v>605553.81000000006</v>
      </c>
      <c r="U40" s="211">
        <f>+'19'!D39</f>
        <v>1328956.1599999999</v>
      </c>
      <c r="V40" s="211">
        <f>+'20'!D39</f>
        <v>896288.82</v>
      </c>
      <c r="W40" s="211">
        <f>+'21'!D39</f>
        <v>794412.26</v>
      </c>
      <c r="X40" s="211">
        <f>+'22'!D39</f>
        <v>809636.42</v>
      </c>
      <c r="Y40" s="211">
        <f>+'23'!D39</f>
        <v>1608227.19</v>
      </c>
      <c r="Z40" s="211">
        <f>+'24'!D39</f>
        <v>1306597.51</v>
      </c>
      <c r="AA40" s="211">
        <f>+'25'!D39</f>
        <v>1326238.4099999999</v>
      </c>
      <c r="AB40" s="211">
        <f>+'26'!D39</f>
        <v>809365.36</v>
      </c>
      <c r="AC40" s="211">
        <f>+'27'!D39</f>
        <v>1059193.3700000001</v>
      </c>
      <c r="AD40" s="211">
        <f>+'28'!D39</f>
        <v>684718.2</v>
      </c>
      <c r="AE40" s="211">
        <f>+'29'!D39</f>
        <v>1463166.42</v>
      </c>
      <c r="AF40" s="211">
        <f>+'30'!D39</f>
        <v>451068.63</v>
      </c>
      <c r="AG40" s="211">
        <f>+'31'!D39</f>
        <v>0</v>
      </c>
      <c r="AH40" s="213">
        <f t="shared" si="0"/>
        <v>29496705.750000004</v>
      </c>
      <c r="AI40" s="191"/>
      <c r="AJ40" s="246">
        <v>29496705.75</v>
      </c>
      <c r="AK40" s="190">
        <f>+AH40-AJ40</f>
        <v>0</v>
      </c>
    </row>
    <row r="41" spans="1:37">
      <c r="A41" s="209"/>
      <c r="B41" s="210" t="s">
        <v>261</v>
      </c>
      <c r="C41" s="211">
        <f>+'01'!D40</f>
        <v>2527</v>
      </c>
      <c r="D41" s="212">
        <f>+'02'!D40</f>
        <v>0</v>
      </c>
      <c r="E41" s="212">
        <f>+'03'!D40</f>
        <v>162342.51</v>
      </c>
      <c r="F41" s="212">
        <f>+'04'!D40</f>
        <v>40984.47</v>
      </c>
      <c r="G41" s="212">
        <f>+'05'!D40</f>
        <v>63156.5</v>
      </c>
      <c r="H41" s="212">
        <f>+'06'!D40</f>
        <v>0</v>
      </c>
      <c r="I41" s="212">
        <f>+'07'!D40</f>
        <v>0</v>
      </c>
      <c r="J41" s="212">
        <f>+'08'!D40</f>
        <v>65669.25</v>
      </c>
      <c r="K41" s="212">
        <f>+'09'!D40</f>
        <v>0</v>
      </c>
      <c r="L41" s="212">
        <f>+'10'!D40</f>
        <v>24780.54</v>
      </c>
      <c r="M41" s="212">
        <f>+'11'!D40</f>
        <v>0</v>
      </c>
      <c r="N41" s="212">
        <f>+'12'!D40</f>
        <v>0</v>
      </c>
      <c r="O41" s="212">
        <f>+'13'!D40</f>
        <v>10467.120000000001</v>
      </c>
      <c r="P41" s="212">
        <f>+'14'!D40</f>
        <v>37954.75</v>
      </c>
      <c r="Q41" s="212">
        <f>+'15'!D40</f>
        <v>0</v>
      </c>
      <c r="R41" s="212">
        <f>+'16'!D40</f>
        <v>169558.42</v>
      </c>
      <c r="S41" s="212">
        <f>+'17'!D40</f>
        <v>0</v>
      </c>
      <c r="T41" s="212">
        <f>+'18'!D40</f>
        <v>103762.72</v>
      </c>
      <c r="U41" s="211">
        <f>+'19'!D40</f>
        <v>151839.26999999999</v>
      </c>
      <c r="V41" s="211">
        <f>+'20'!D40</f>
        <v>0</v>
      </c>
      <c r="W41" s="211">
        <f>+'21'!D40</f>
        <v>0</v>
      </c>
      <c r="X41" s="211">
        <f>+'22'!D40</f>
        <v>68820</v>
      </c>
      <c r="Y41" s="211">
        <f>+'23'!D40</f>
        <v>0</v>
      </c>
      <c r="Z41" s="211">
        <f>+'24'!D40</f>
        <v>82895</v>
      </c>
      <c r="AA41" s="211">
        <f>+'25'!D40</f>
        <v>18907</v>
      </c>
      <c r="AB41" s="211">
        <f>+'26'!D40</f>
        <v>0</v>
      </c>
      <c r="AC41" s="211">
        <f>+'27'!D40</f>
        <v>15289.12</v>
      </c>
      <c r="AD41" s="211">
        <f>+'28'!D40</f>
        <v>236626.04</v>
      </c>
      <c r="AE41" s="211">
        <f>+'29'!D40</f>
        <v>8255.5</v>
      </c>
      <c r="AF41" s="211">
        <f>+'30'!D40</f>
        <v>676909.77</v>
      </c>
      <c r="AG41" s="211">
        <f>+'31'!D40</f>
        <v>0</v>
      </c>
      <c r="AH41" s="213">
        <f t="shared" si="0"/>
        <v>1940744.98</v>
      </c>
      <c r="AI41" s="191"/>
      <c r="AJ41" s="246">
        <v>1940744.98</v>
      </c>
      <c r="AK41" s="190">
        <f t="shared" si="5"/>
        <v>0</v>
      </c>
    </row>
    <row r="42" spans="1:37">
      <c r="A42" s="264"/>
      <c r="B42" s="210" t="s">
        <v>262</v>
      </c>
      <c r="C42" s="213">
        <f>+'01'!D41</f>
        <v>754506.97</v>
      </c>
      <c r="D42" s="268">
        <f>+'02'!D41</f>
        <v>993293.46</v>
      </c>
      <c r="E42" s="268">
        <f>+'03'!D41</f>
        <v>1611545.78</v>
      </c>
      <c r="F42" s="268">
        <f>+'04'!D41</f>
        <v>1219605.82</v>
      </c>
      <c r="G42" s="268">
        <f>+'05'!D41</f>
        <v>1334709.92</v>
      </c>
      <c r="H42" s="268">
        <f>+'06'!D41</f>
        <v>493544.22</v>
      </c>
      <c r="I42" s="268">
        <f>+'07'!D41</f>
        <v>1915723.14</v>
      </c>
      <c r="J42" s="268">
        <f>+'08'!D41</f>
        <v>753466.3</v>
      </c>
      <c r="K42" s="268">
        <f>+'09'!D41</f>
        <v>1372885.92</v>
      </c>
      <c r="L42" s="268">
        <f>+'10'!D41</f>
        <v>1304515.0900000001</v>
      </c>
      <c r="M42" s="268">
        <f>+'11'!D41</f>
        <v>869365.35</v>
      </c>
      <c r="N42" s="268">
        <f>+'12'!D41</f>
        <v>931177.85</v>
      </c>
      <c r="O42" s="268">
        <f>+'13'!D41</f>
        <v>765619.56</v>
      </c>
      <c r="P42" s="268">
        <f>+'14'!D41</f>
        <v>781156.11</v>
      </c>
      <c r="Q42" s="268">
        <f>+'15'!D41</f>
        <v>953923.14</v>
      </c>
      <c r="R42" s="268">
        <f>+'16'!D41</f>
        <v>1004065.79</v>
      </c>
      <c r="S42" s="268">
        <f>+'17'!D41</f>
        <v>1042595.41</v>
      </c>
      <c r="T42" s="268">
        <f>+'18'!D41</f>
        <v>1516976.02</v>
      </c>
      <c r="U42" s="213">
        <f>+'19'!D41</f>
        <v>794548.33</v>
      </c>
      <c r="V42" s="213">
        <f>+'20'!D41</f>
        <v>231232.78</v>
      </c>
      <c r="W42" s="213">
        <f>+'21'!D41</f>
        <v>946805.65</v>
      </c>
      <c r="X42" s="213">
        <f>+'22'!D41</f>
        <v>459626.48</v>
      </c>
      <c r="Y42" s="213">
        <f>+'23'!D41</f>
        <v>1978012.19</v>
      </c>
      <c r="Z42" s="211">
        <f>+'24'!D41</f>
        <v>1047248.95</v>
      </c>
      <c r="AA42" s="213">
        <f>+'25'!D41</f>
        <v>1817168.93</v>
      </c>
      <c r="AB42" s="213">
        <f>+'26'!D41</f>
        <v>241813.79</v>
      </c>
      <c r="AC42" s="213">
        <f>+'27'!D41</f>
        <v>392177.44</v>
      </c>
      <c r="AD42" s="213">
        <f>+'28'!D41</f>
        <v>745770.79</v>
      </c>
      <c r="AE42" s="213">
        <f>+'29'!D41</f>
        <v>609897.79</v>
      </c>
      <c r="AF42" s="213">
        <f>+'30'!D41</f>
        <v>1181992.32</v>
      </c>
      <c r="AG42" s="213">
        <f>+'31'!D41</f>
        <v>0</v>
      </c>
      <c r="AH42" s="213">
        <f t="shared" si="0"/>
        <v>30064971.289999995</v>
      </c>
      <c r="AI42" s="191"/>
      <c r="AJ42" s="246">
        <v>30064971.289999999</v>
      </c>
      <c r="AK42" s="190">
        <f t="shared" si="5"/>
        <v>0</v>
      </c>
    </row>
    <row r="43" spans="1:37">
      <c r="A43" s="264"/>
      <c r="B43" s="265" t="s">
        <v>263</v>
      </c>
      <c r="C43" s="213">
        <f>+'01'!D42</f>
        <v>248522.75</v>
      </c>
      <c r="D43" s="268">
        <f>+'02'!D42</f>
        <v>1083490</v>
      </c>
      <c r="E43" s="268">
        <f>+'03'!D42</f>
        <v>640976.75</v>
      </c>
      <c r="F43" s="268">
        <f>+'04'!D42</f>
        <v>71301.25</v>
      </c>
      <c r="G43" s="268">
        <f>+'05'!D42</f>
        <v>36374.25</v>
      </c>
      <c r="H43" s="268">
        <f>+'06'!D42</f>
        <v>33857</v>
      </c>
      <c r="I43" s="268">
        <f>+'07'!D42</f>
        <v>99323.5</v>
      </c>
      <c r="J43" s="268">
        <f>+'08'!D42</f>
        <v>39470.5</v>
      </c>
      <c r="K43" s="268">
        <f>+'09'!D42</f>
        <v>162319.98000000001</v>
      </c>
      <c r="L43" s="268">
        <f>+'10'!D42</f>
        <v>74526.75</v>
      </c>
      <c r="M43" s="268">
        <f>+'11'!D42</f>
        <v>422138.5</v>
      </c>
      <c r="N43" s="268">
        <f>+'12'!D42</f>
        <v>230003</v>
      </c>
      <c r="O43" s="268">
        <f>+'13'!D42</f>
        <v>21966.25</v>
      </c>
      <c r="P43" s="268">
        <f>+'14'!D42</f>
        <v>340052.25</v>
      </c>
      <c r="Q43" s="268">
        <f>+'15'!D42</f>
        <v>498216</v>
      </c>
      <c r="R43" s="268">
        <f>+'16'!D42</f>
        <v>90635</v>
      </c>
      <c r="S43" s="268">
        <f>+'17'!D42</f>
        <v>117566</v>
      </c>
      <c r="T43" s="268">
        <f>+'18'!D42</f>
        <v>50920.25</v>
      </c>
      <c r="U43" s="213">
        <f>+'19'!D42</f>
        <v>120107</v>
      </c>
      <c r="V43" s="213">
        <f>+'20'!D42</f>
        <v>60229.25</v>
      </c>
      <c r="W43" s="213">
        <f>+'21'!D42</f>
        <v>645755.75</v>
      </c>
      <c r="X43" s="213">
        <f>+'22'!D42</f>
        <v>241721</v>
      </c>
      <c r="Y43" s="213">
        <f>+'23'!D42</f>
        <v>330199.5</v>
      </c>
      <c r="Z43" s="211">
        <f>+'24'!D42</f>
        <v>204617</v>
      </c>
      <c r="AA43" s="213">
        <f>+'25'!D42</f>
        <v>43280.25</v>
      </c>
      <c r="AB43" s="213">
        <f>+'26'!D42</f>
        <v>124010.75</v>
      </c>
      <c r="AC43" s="213">
        <f>+'27'!D42</f>
        <v>31641.25</v>
      </c>
      <c r="AD43" s="213">
        <f>+'28'!D42</f>
        <v>347837.75</v>
      </c>
      <c r="AE43" s="213">
        <f>+'29'!D42</f>
        <v>135077.5</v>
      </c>
      <c r="AF43" s="213">
        <f>+'30'!D42</f>
        <v>62226</v>
      </c>
      <c r="AG43" s="213">
        <f>+'31'!D42</f>
        <v>0</v>
      </c>
      <c r="AH43" s="213">
        <f>+C43+D43+E43+F43+G43+H43+I43+J43+K43+L43+M43+N43+O43+P43+Q43+R43+S43+T43+U43+V43+W43+X43+Y43+Z43+AA43+AB43+AC43+AD43+AE43+AF43+AG43</f>
        <v>6608362.9800000004</v>
      </c>
      <c r="AI43" s="191"/>
      <c r="AJ43" s="246">
        <v>6608362.9800000004</v>
      </c>
      <c r="AK43" s="190">
        <f t="shared" si="5"/>
        <v>0</v>
      </c>
    </row>
    <row r="44" spans="1:37">
      <c r="A44" s="264"/>
      <c r="B44" s="265" t="s">
        <v>264</v>
      </c>
      <c r="C44" s="213">
        <f>+'01'!D43</f>
        <v>0</v>
      </c>
      <c r="D44" s="268">
        <f>+'02'!D43</f>
        <v>20846.75</v>
      </c>
      <c r="E44" s="268">
        <f>+'03'!D43</f>
        <v>0</v>
      </c>
      <c r="F44" s="268">
        <f>+'04'!D43</f>
        <v>0</v>
      </c>
      <c r="G44" s="268">
        <f>+'05'!D43</f>
        <v>0</v>
      </c>
      <c r="H44" s="268">
        <f>+'06'!D43</f>
        <v>0</v>
      </c>
      <c r="I44" s="268">
        <f>+'07'!D43</f>
        <v>0</v>
      </c>
      <c r="J44" s="268">
        <f>+'08'!D43</f>
        <v>0</v>
      </c>
      <c r="K44" s="268">
        <f>+'09'!D43</f>
        <v>0</v>
      </c>
      <c r="L44" s="268">
        <f>+'10'!D43</f>
        <v>0</v>
      </c>
      <c r="M44" s="268">
        <f>+'11'!D43</f>
        <v>0</v>
      </c>
      <c r="N44" s="268">
        <f>+'12'!D43</f>
        <v>0</v>
      </c>
      <c r="O44" s="268">
        <f>+'13'!D43</f>
        <v>0</v>
      </c>
      <c r="P44" s="268">
        <f>+'14'!D43</f>
        <v>0</v>
      </c>
      <c r="Q44" s="268">
        <f>+'15'!D43</f>
        <v>0</v>
      </c>
      <c r="R44" s="268">
        <f>+'16'!D43</f>
        <v>0</v>
      </c>
      <c r="S44" s="268">
        <f>+'17'!D43</f>
        <v>0</v>
      </c>
      <c r="T44" s="268">
        <f>+'18'!D43</f>
        <v>0</v>
      </c>
      <c r="U44" s="213">
        <f>+'19'!D43</f>
        <v>0</v>
      </c>
      <c r="V44" s="213">
        <f>+'20'!D43</f>
        <v>0</v>
      </c>
      <c r="W44" s="213">
        <f>+'21'!D43</f>
        <v>0</v>
      </c>
      <c r="X44" s="213">
        <f>+'22'!D43</f>
        <v>0</v>
      </c>
      <c r="Y44" s="213">
        <f>+'23'!D43</f>
        <v>0</v>
      </c>
      <c r="Z44" s="211">
        <f>+'24'!D43</f>
        <v>0</v>
      </c>
      <c r="AA44" s="213">
        <f>+'25'!D43</f>
        <v>0</v>
      </c>
      <c r="AB44" s="213">
        <f>+'26'!D43</f>
        <v>0</v>
      </c>
      <c r="AC44" s="213">
        <f>+'27'!D43</f>
        <v>0</v>
      </c>
      <c r="AD44" s="213">
        <f>+'28'!D43</f>
        <v>0</v>
      </c>
      <c r="AE44" s="213">
        <f>+'29'!D43</f>
        <v>0</v>
      </c>
      <c r="AF44" s="213">
        <f>+'30'!D43</f>
        <v>0</v>
      </c>
      <c r="AG44" s="213">
        <f>+'31'!D43</f>
        <v>0</v>
      </c>
      <c r="AH44" s="213">
        <f>+C44+D44+E44+F44+G44+H44+I44+J44+K44+L44+M44+N44+O44+P44+Q44+R44+S44+T44+U44+V44+W44+X44+Y44+Z44+AA44+AB44+AC44+AD44+AE44+AF44+AG44</f>
        <v>20846.75</v>
      </c>
      <c r="AI44" s="191"/>
      <c r="AJ44" s="246">
        <v>20846.75</v>
      </c>
      <c r="AK44" s="190">
        <f t="shared" si="5"/>
        <v>0</v>
      </c>
    </row>
    <row r="45" spans="1:37">
      <c r="A45" s="264"/>
      <c r="B45" s="265" t="s">
        <v>265</v>
      </c>
      <c r="C45" s="213">
        <f>+'01'!D44</f>
        <v>0</v>
      </c>
      <c r="D45" s="268">
        <f>+'02'!D44</f>
        <v>0</v>
      </c>
      <c r="E45" s="268">
        <f>+'03'!D44</f>
        <v>0</v>
      </c>
      <c r="F45" s="268">
        <f>+'04'!D44</f>
        <v>0</v>
      </c>
      <c r="G45" s="268">
        <f>+'05'!D44</f>
        <v>0</v>
      </c>
      <c r="H45" s="268">
        <f>+'06'!D44</f>
        <v>0</v>
      </c>
      <c r="I45" s="268">
        <f>+'07'!D44</f>
        <v>22944.720000000001</v>
      </c>
      <c r="J45" s="268">
        <f>+'08'!D44</f>
        <v>0</v>
      </c>
      <c r="K45" s="268">
        <f>+'09'!D44</f>
        <v>0</v>
      </c>
      <c r="L45" s="268">
        <f>+'10'!D44</f>
        <v>0</v>
      </c>
      <c r="M45" s="268">
        <f>+'11'!D44</f>
        <v>0</v>
      </c>
      <c r="N45" s="268">
        <f>+'12'!D44</f>
        <v>0</v>
      </c>
      <c r="O45" s="268">
        <f>+'13'!D44</f>
        <v>0</v>
      </c>
      <c r="P45" s="268">
        <f>+'14'!D44</f>
        <v>0</v>
      </c>
      <c r="Q45" s="268">
        <f>+'15'!D44</f>
        <v>0</v>
      </c>
      <c r="R45" s="268">
        <f>+'16'!D44</f>
        <v>12785.25</v>
      </c>
      <c r="S45" s="268">
        <f>+'17'!D44</f>
        <v>0</v>
      </c>
      <c r="T45" s="268">
        <f>+'18'!D44</f>
        <v>0</v>
      </c>
      <c r="U45" s="213">
        <f>+'19'!D44</f>
        <v>0</v>
      </c>
      <c r="V45" s="213">
        <f>+'20'!D44</f>
        <v>0</v>
      </c>
      <c r="W45" s="213">
        <f>+'21'!D44</f>
        <v>0</v>
      </c>
      <c r="X45" s="213">
        <f>+'22'!D44</f>
        <v>0</v>
      </c>
      <c r="Y45" s="213">
        <f>+'23'!D44</f>
        <v>0</v>
      </c>
      <c r="Z45" s="211">
        <f>+'24'!D44</f>
        <v>0</v>
      </c>
      <c r="AA45" s="213">
        <f>+'25'!D44</f>
        <v>0</v>
      </c>
      <c r="AB45" s="213">
        <f>+'26'!D44</f>
        <v>0</v>
      </c>
      <c r="AC45" s="213">
        <f>+'27'!D44</f>
        <v>0</v>
      </c>
      <c r="AD45" s="213">
        <f>+'28'!D44</f>
        <v>0</v>
      </c>
      <c r="AE45" s="213">
        <f>+'29'!D44</f>
        <v>0</v>
      </c>
      <c r="AF45" s="213">
        <f>+'30'!D44</f>
        <v>0</v>
      </c>
      <c r="AG45" s="213">
        <f>+'31'!D44</f>
        <v>0</v>
      </c>
      <c r="AH45" s="213">
        <f t="shared" si="0"/>
        <v>35729.97</v>
      </c>
      <c r="AI45" s="191"/>
      <c r="AJ45" s="246">
        <v>35729.97</v>
      </c>
      <c r="AK45" s="190">
        <f t="shared" si="5"/>
        <v>0</v>
      </c>
    </row>
    <row r="46" spans="1:37">
      <c r="A46" s="209">
        <v>12</v>
      </c>
      <c r="B46" s="221" t="s">
        <v>76</v>
      </c>
      <c r="C46" s="222">
        <f>+'01'!D45</f>
        <v>99602.5</v>
      </c>
      <c r="D46" s="223">
        <f>+'02'!D45</f>
        <v>77565</v>
      </c>
      <c r="E46" s="223">
        <f>+'03'!D45</f>
        <v>65053.36</v>
      </c>
      <c r="F46" s="223">
        <f>+'04'!D45</f>
        <v>84567.75</v>
      </c>
      <c r="G46" s="223">
        <f>+'05'!D45</f>
        <v>7652</v>
      </c>
      <c r="H46" s="223">
        <f>+'06'!D45</f>
        <v>11894.5</v>
      </c>
      <c r="I46" s="223">
        <f>+'07'!D45</f>
        <v>71145.87</v>
      </c>
      <c r="J46" s="223">
        <f>+'08'!D45</f>
        <v>93009.87</v>
      </c>
      <c r="K46" s="223">
        <f>+'09'!D45</f>
        <v>81143.86</v>
      </c>
      <c r="L46" s="223">
        <f>+'10'!D45</f>
        <v>90666.33</v>
      </c>
      <c r="M46" s="223">
        <f>+'11'!D45</f>
        <v>92454</v>
      </c>
      <c r="N46" s="223">
        <f>+'12'!D45</f>
        <v>31920.5</v>
      </c>
      <c r="O46" s="223">
        <f>+'13'!D45</f>
        <v>24216</v>
      </c>
      <c r="P46" s="223">
        <f>+'14'!D45</f>
        <v>100236.37</v>
      </c>
      <c r="Q46" s="223">
        <f>+'15'!D45</f>
        <v>62525.61</v>
      </c>
      <c r="R46" s="223">
        <f>+'16'!D45</f>
        <v>90331.25</v>
      </c>
      <c r="S46" s="267">
        <f>+'17'!D45</f>
        <v>67954.12</v>
      </c>
      <c r="T46" s="267">
        <f>+'18'!D45</f>
        <v>107014.72</v>
      </c>
      <c r="U46" s="222">
        <f>+'19'!D45</f>
        <v>25857.25</v>
      </c>
      <c r="V46" s="222">
        <f>+'20'!D45</f>
        <v>16878.5</v>
      </c>
      <c r="W46" s="222">
        <f>+'21'!D45</f>
        <v>91269.87</v>
      </c>
      <c r="X46" s="222">
        <f>+'22'!D45</f>
        <v>59170.12</v>
      </c>
      <c r="Y46" s="222">
        <f>+'23'!D45</f>
        <v>57918.25</v>
      </c>
      <c r="Z46" s="222">
        <f>+'24'!D45</f>
        <v>65286.11</v>
      </c>
      <c r="AA46" s="222">
        <f>+'25'!D45</f>
        <v>83905.25</v>
      </c>
      <c r="AB46" s="222">
        <f>+'26'!D45</f>
        <v>7649.75</v>
      </c>
      <c r="AC46" s="222">
        <f>+'27'!D45</f>
        <v>5817.5</v>
      </c>
      <c r="AD46" s="222">
        <f>+'28'!D45</f>
        <v>55654.37</v>
      </c>
      <c r="AE46" s="222">
        <f>+'29'!D45</f>
        <v>82175.12</v>
      </c>
      <c r="AF46" s="222">
        <f>+'30'!D45</f>
        <v>102490.75</v>
      </c>
      <c r="AG46" s="222">
        <f>+'31'!D45</f>
        <v>0</v>
      </c>
      <c r="AH46" s="224">
        <f t="shared" si="0"/>
        <v>1913026.4500000002</v>
      </c>
      <c r="AI46" s="191"/>
      <c r="AJ46" s="246">
        <v>1913026.45</v>
      </c>
      <c r="AK46" s="190">
        <f t="shared" si="5"/>
        <v>0</v>
      </c>
    </row>
    <row r="47" spans="1:37">
      <c r="A47" s="209"/>
      <c r="B47" s="221" t="s">
        <v>77</v>
      </c>
      <c r="C47" s="222">
        <f>+'01'!D46</f>
        <v>1321</v>
      </c>
      <c r="D47" s="223">
        <f>+'02'!D46</f>
        <v>6417</v>
      </c>
      <c r="E47" s="223">
        <f>+'03'!D46</f>
        <v>2872.5</v>
      </c>
      <c r="F47" s="223">
        <f>+'04'!D46</f>
        <v>410</v>
      </c>
      <c r="G47" s="223">
        <f>+'05'!D46</f>
        <v>0</v>
      </c>
      <c r="H47" s="223">
        <f>+'06'!D46</f>
        <v>0</v>
      </c>
      <c r="I47" s="223">
        <f>+'07'!D46</f>
        <v>16377.49</v>
      </c>
      <c r="J47" s="223">
        <f>+'08'!D46</f>
        <v>7111</v>
      </c>
      <c r="K47" s="223">
        <f>+'09'!D46</f>
        <v>0</v>
      </c>
      <c r="L47" s="223">
        <f>+'10'!D46</f>
        <v>0</v>
      </c>
      <c r="M47" s="223">
        <f>+'11'!D46</f>
        <v>0</v>
      </c>
      <c r="N47" s="223">
        <f>+'12'!D46</f>
        <v>0</v>
      </c>
      <c r="O47" s="223">
        <f>+'13'!D46</f>
        <v>13120</v>
      </c>
      <c r="P47" s="223">
        <f>+'14'!D46</f>
        <v>120</v>
      </c>
      <c r="Q47" s="223">
        <f>+'15'!D46</f>
        <v>0</v>
      </c>
      <c r="R47" s="223">
        <f>+'16'!D46</f>
        <v>4962</v>
      </c>
      <c r="S47" s="267">
        <f>+'17'!D46</f>
        <v>4200</v>
      </c>
      <c r="T47" s="267">
        <f>+'18'!D46</f>
        <v>3820</v>
      </c>
      <c r="U47" s="222">
        <f>+'19'!D46</f>
        <v>0</v>
      </c>
      <c r="V47" s="222">
        <f>+'20'!D46</f>
        <v>0</v>
      </c>
      <c r="W47" s="222">
        <f>+'21'!D46</f>
        <v>1564</v>
      </c>
      <c r="X47" s="222">
        <f>+'22'!D46</f>
        <v>8594.25</v>
      </c>
      <c r="Y47" s="222">
        <f>+'23'!D46</f>
        <v>16067</v>
      </c>
      <c r="Z47" s="222">
        <f>+'24'!D46</f>
        <v>6609.25</v>
      </c>
      <c r="AA47" s="222">
        <f>+'25'!D46</f>
        <v>3229.75</v>
      </c>
      <c r="AB47" s="222">
        <f>+'26'!D46</f>
        <v>0</v>
      </c>
      <c r="AC47" s="222">
        <f>+'27'!D46</f>
        <v>0</v>
      </c>
      <c r="AD47" s="222">
        <f>+'28'!D46</f>
        <v>9894.24</v>
      </c>
      <c r="AE47" s="222">
        <f>+'29'!D46</f>
        <v>0</v>
      </c>
      <c r="AF47" s="222">
        <f>+'30'!D46</f>
        <v>2059</v>
      </c>
      <c r="AG47" s="222">
        <f>+'31'!D46</f>
        <v>0</v>
      </c>
      <c r="AH47" s="224">
        <f t="shared" si="0"/>
        <v>108748.48</v>
      </c>
      <c r="AI47" s="191"/>
      <c r="AJ47" s="246">
        <v>108748.48</v>
      </c>
      <c r="AK47" s="190">
        <f t="shared" si="5"/>
        <v>0</v>
      </c>
    </row>
    <row r="48" spans="1:37">
      <c r="A48" s="209"/>
      <c r="B48" s="232" t="s">
        <v>273</v>
      </c>
      <c r="C48" s="222">
        <f>+'01'!D47</f>
        <v>50833</v>
      </c>
      <c r="D48" s="223">
        <f>+'02'!D47</f>
        <v>43455.03</v>
      </c>
      <c r="E48" s="223">
        <f>+'03'!D47</f>
        <v>151866.82999999999</v>
      </c>
      <c r="F48" s="223">
        <f>+'04'!D47</f>
        <v>95133.19</v>
      </c>
      <c r="G48" s="223">
        <f>+'05'!D47</f>
        <v>133925.53</v>
      </c>
      <c r="H48" s="223">
        <f>+'06'!D47</f>
        <v>140694</v>
      </c>
      <c r="I48" s="223">
        <f>+'07'!D47</f>
        <v>96036.27</v>
      </c>
      <c r="J48" s="223">
        <f>+'08'!D47</f>
        <v>39553.199999999997</v>
      </c>
      <c r="K48" s="223">
        <f>+'09'!D47</f>
        <v>60038.5</v>
      </c>
      <c r="L48" s="223">
        <f>+'10'!D47</f>
        <v>22980.13</v>
      </c>
      <c r="M48" s="223">
        <f>+'11'!D47</f>
        <v>80854.78</v>
      </c>
      <c r="N48" s="223">
        <f>+'12'!D47</f>
        <v>80430.429999999993</v>
      </c>
      <c r="O48" s="223">
        <f>+'13'!D47</f>
        <v>169483.83</v>
      </c>
      <c r="P48" s="223">
        <f>+'14'!D47</f>
        <v>223391.21</v>
      </c>
      <c r="Q48" s="223">
        <f>+'15'!D47</f>
        <v>198739.97</v>
      </c>
      <c r="R48" s="223">
        <f>+'16'!D47</f>
        <v>184987.06</v>
      </c>
      <c r="S48" s="267">
        <f>+'17'!D47</f>
        <v>188108.91</v>
      </c>
      <c r="T48" s="267">
        <f>+'18'!D47</f>
        <v>148339.07</v>
      </c>
      <c r="U48" s="222">
        <f>+'19'!D47</f>
        <v>170735.23</v>
      </c>
      <c r="V48" s="222">
        <f>+'20'!D47</f>
        <v>83478.02</v>
      </c>
      <c r="W48" s="222">
        <f>+'21'!D47</f>
        <v>198699.06</v>
      </c>
      <c r="X48" s="222">
        <f>+'22'!D47</f>
        <v>134520.19</v>
      </c>
      <c r="Y48" s="222">
        <f>+'23'!D47</f>
        <v>269075.87</v>
      </c>
      <c r="Z48" s="222">
        <f>+'24'!D47</f>
        <v>211842.79</v>
      </c>
      <c r="AA48" s="222">
        <f>+'25'!D47</f>
        <v>129433.3</v>
      </c>
      <c r="AB48" s="222">
        <f>+'26'!D47</f>
        <v>37624.17</v>
      </c>
      <c r="AC48" s="222">
        <f>+'27'!D47</f>
        <v>82106.009999999995</v>
      </c>
      <c r="AD48" s="222">
        <f>+'28'!D47</f>
        <v>74932.789999999994</v>
      </c>
      <c r="AE48" s="222">
        <f>+'29'!D47</f>
        <v>47932.29</v>
      </c>
      <c r="AF48" s="222">
        <f>+'30'!D47</f>
        <v>410646.27</v>
      </c>
      <c r="AG48" s="222">
        <f>+'31'!D47</f>
        <v>0</v>
      </c>
      <c r="AH48" s="224">
        <f t="shared" si="0"/>
        <v>3959876.9299999997</v>
      </c>
      <c r="AI48" s="191"/>
      <c r="AJ48" s="246">
        <v>3959876.93</v>
      </c>
      <c r="AK48" s="190">
        <f t="shared" si="5"/>
        <v>0</v>
      </c>
    </row>
    <row r="49" spans="1:38">
      <c r="A49" s="209"/>
      <c r="B49" s="232" t="s">
        <v>274</v>
      </c>
      <c r="C49" s="222">
        <f>+'01'!D48</f>
        <v>34746.5</v>
      </c>
      <c r="D49" s="223">
        <f>+'02'!D48</f>
        <v>0</v>
      </c>
      <c r="E49" s="223">
        <f>+'03'!D48</f>
        <v>98162.87</v>
      </c>
      <c r="F49" s="223">
        <f>+'04'!D48</f>
        <v>0</v>
      </c>
      <c r="G49" s="223">
        <f>+'05'!D48</f>
        <v>0</v>
      </c>
      <c r="H49" s="223">
        <f>+'06'!D48</f>
        <v>106401.72</v>
      </c>
      <c r="I49" s="223">
        <f>+'07'!D48</f>
        <v>49020</v>
      </c>
      <c r="J49" s="223">
        <f>+'08'!D48</f>
        <v>11700</v>
      </c>
      <c r="K49" s="223">
        <f>+'09'!D48</f>
        <v>22317.5</v>
      </c>
      <c r="L49" s="223">
        <f>+'10'!D48</f>
        <v>17435.28</v>
      </c>
      <c r="M49" s="223">
        <f>+'11'!D48</f>
        <v>0</v>
      </c>
      <c r="N49" s="223">
        <f>+'12'!D48</f>
        <v>46814.07</v>
      </c>
      <c r="O49" s="223">
        <f>+'13'!D48</f>
        <v>84226.5</v>
      </c>
      <c r="P49" s="223">
        <f>+'14'!D48</f>
        <v>115757.42</v>
      </c>
      <c r="Q49" s="223">
        <f>+'15'!D48</f>
        <v>32818.53</v>
      </c>
      <c r="R49" s="223">
        <f>+'16'!D48</f>
        <v>80521.210000000006</v>
      </c>
      <c r="S49" s="267">
        <f>+'17'!D48</f>
        <v>0</v>
      </c>
      <c r="T49" s="267">
        <f>+'18'!D48</f>
        <v>0</v>
      </c>
      <c r="U49" s="222">
        <f>+'19'!D48</f>
        <v>0</v>
      </c>
      <c r="V49" s="222">
        <f>+'20'!D48</f>
        <v>0</v>
      </c>
      <c r="W49" s="222">
        <f>+'21'!D48</f>
        <v>54737.48</v>
      </c>
      <c r="X49" s="222">
        <f>+'22'!D48</f>
        <v>0</v>
      </c>
      <c r="Y49" s="222">
        <f>+'23'!D48</f>
        <v>0</v>
      </c>
      <c r="Z49" s="222">
        <f>+'24'!D48</f>
        <v>20980.39</v>
      </c>
      <c r="AA49" s="222">
        <f>+'25'!D48</f>
        <v>0</v>
      </c>
      <c r="AB49" s="222">
        <f>+'26'!D48</f>
        <v>23040</v>
      </c>
      <c r="AC49" s="222">
        <f>+'27'!D48</f>
        <v>23380</v>
      </c>
      <c r="AD49" s="222">
        <f>+'28'!D48</f>
        <v>0</v>
      </c>
      <c r="AE49" s="222">
        <f>+'29'!D48</f>
        <v>0</v>
      </c>
      <c r="AF49" s="222">
        <f>+'30'!D48</f>
        <v>100335.25</v>
      </c>
      <c r="AG49" s="222">
        <f>+'31'!D48</f>
        <v>0</v>
      </c>
      <c r="AH49" s="224">
        <f t="shared" si="0"/>
        <v>922394.72</v>
      </c>
      <c r="AI49" s="191"/>
      <c r="AJ49" s="246">
        <v>922394.72</v>
      </c>
      <c r="AK49" s="190">
        <f t="shared" si="5"/>
        <v>0</v>
      </c>
    </row>
    <row r="50" spans="1:38">
      <c r="A50" s="209"/>
      <c r="B50" s="232" t="s">
        <v>275</v>
      </c>
      <c r="C50" s="222">
        <f>+'01'!D49</f>
        <v>28533.5</v>
      </c>
      <c r="D50" s="223">
        <f>+'02'!D49</f>
        <v>94690.25</v>
      </c>
      <c r="E50" s="223">
        <f>+'03'!D49</f>
        <v>132423.5</v>
      </c>
      <c r="F50" s="223">
        <f>+'04'!D49</f>
        <v>387010.5</v>
      </c>
      <c r="G50" s="223">
        <f>+'05'!D49</f>
        <v>27459.5</v>
      </c>
      <c r="H50" s="223">
        <f>+'06'!D49</f>
        <v>94487.5</v>
      </c>
      <c r="I50" s="223">
        <f>+'07'!D49</f>
        <v>36193.25</v>
      </c>
      <c r="J50" s="223">
        <f>+'08'!D49</f>
        <v>0</v>
      </c>
      <c r="K50" s="223">
        <f>+'09'!D49</f>
        <v>89453.75</v>
      </c>
      <c r="L50" s="223">
        <f>+'10'!D49</f>
        <v>128628.69</v>
      </c>
      <c r="M50" s="223">
        <f>+'11'!D49</f>
        <v>16750</v>
      </c>
      <c r="N50" s="223">
        <f>+'12'!D49</f>
        <v>20911.25</v>
      </c>
      <c r="O50" s="223">
        <f>+'13'!D49</f>
        <v>0</v>
      </c>
      <c r="P50" s="223">
        <f>+'14'!D49</f>
        <v>0</v>
      </c>
      <c r="Q50" s="223">
        <f>+'15'!D49</f>
        <v>19574.919999999998</v>
      </c>
      <c r="R50" s="223">
        <f>+'16'!D49</f>
        <v>7701.75</v>
      </c>
      <c r="S50" s="267">
        <f>+'17'!D49</f>
        <v>0</v>
      </c>
      <c r="T50" s="267">
        <f>+'18'!D49</f>
        <v>21639.5</v>
      </c>
      <c r="U50" s="222">
        <f>+'19'!D49</f>
        <v>144482.25</v>
      </c>
      <c r="V50" s="222">
        <f>+'20'!D49</f>
        <v>0</v>
      </c>
      <c r="W50" s="222">
        <f>+'21'!D49</f>
        <v>107804.25</v>
      </c>
      <c r="X50" s="222">
        <f>+'22'!D49</f>
        <v>34376.75</v>
      </c>
      <c r="Y50" s="222">
        <f>+'23'!D49</f>
        <v>57611</v>
      </c>
      <c r="Z50" s="222">
        <f>+'24'!D49</f>
        <v>43747.5</v>
      </c>
      <c r="AA50" s="222">
        <f>+'25'!D49</f>
        <v>145138.5</v>
      </c>
      <c r="AB50" s="222">
        <f>+'26'!D49</f>
        <v>111491.25</v>
      </c>
      <c r="AC50" s="222">
        <f>+'27'!D49</f>
        <v>0</v>
      </c>
      <c r="AD50" s="222">
        <f>+'28'!D49</f>
        <v>80629.75</v>
      </c>
      <c r="AE50" s="222">
        <f>+'29'!D49</f>
        <v>90410.5</v>
      </c>
      <c r="AF50" s="222">
        <f>+'30'!D49</f>
        <v>66541.75</v>
      </c>
      <c r="AG50" s="222">
        <f>+'31'!D49</f>
        <v>0</v>
      </c>
      <c r="AH50" s="224">
        <f t="shared" si="0"/>
        <v>1987691.3599999999</v>
      </c>
      <c r="AI50" s="191"/>
      <c r="AJ50" s="246">
        <v>1987691.36</v>
      </c>
      <c r="AK50" s="190">
        <f t="shared" si="5"/>
        <v>0</v>
      </c>
    </row>
    <row r="51" spans="1:38">
      <c r="A51" s="209">
        <v>13</v>
      </c>
      <c r="B51" s="227" t="s">
        <v>78</v>
      </c>
      <c r="C51" s="211">
        <f>+'01'!D50</f>
        <v>6976.5</v>
      </c>
      <c r="D51" s="212">
        <f>+'02'!D50</f>
        <v>5246.5</v>
      </c>
      <c r="E51" s="212">
        <f>+'03'!D50</f>
        <v>1519</v>
      </c>
      <c r="F51" s="212">
        <f>+'04'!D50</f>
        <v>190</v>
      </c>
      <c r="G51" s="212">
        <f>+'05'!D50</f>
        <v>0</v>
      </c>
      <c r="H51" s="212">
        <f>+'06'!D50</f>
        <v>0</v>
      </c>
      <c r="I51" s="212">
        <f>+'07'!D50</f>
        <v>0</v>
      </c>
      <c r="J51" s="212">
        <f>+'08'!D50</f>
        <v>130</v>
      </c>
      <c r="K51" s="212">
        <f>+'09'!D50</f>
        <v>0</v>
      </c>
      <c r="L51" s="212">
        <f>+'10'!D50</f>
        <v>0</v>
      </c>
      <c r="M51" s="212">
        <f>+'11'!D50</f>
        <v>1313.5</v>
      </c>
      <c r="N51" s="212">
        <f>+'12'!D50</f>
        <v>0</v>
      </c>
      <c r="O51" s="212">
        <f>+'13'!D50</f>
        <v>0</v>
      </c>
      <c r="P51" s="212">
        <f>+'14'!D50</f>
        <v>3250</v>
      </c>
      <c r="Q51" s="212">
        <f>+'15'!D50</f>
        <v>1740</v>
      </c>
      <c r="R51" s="212">
        <f>+'16'!D50</f>
        <v>3776</v>
      </c>
      <c r="S51" s="212">
        <f>+'17'!D50</f>
        <v>18024.5</v>
      </c>
      <c r="T51" s="212">
        <f>+'18'!D50</f>
        <v>1890</v>
      </c>
      <c r="U51" s="211">
        <f>+'19'!D50</f>
        <v>0</v>
      </c>
      <c r="V51" s="211">
        <f>+'20'!D50</f>
        <v>0</v>
      </c>
      <c r="W51" s="211">
        <f>+'21'!D50</f>
        <v>3231</v>
      </c>
      <c r="X51" s="211">
        <f>+'22'!D50</f>
        <v>2586.25</v>
      </c>
      <c r="Y51" s="211">
        <f>+'23'!D50</f>
        <v>901.25</v>
      </c>
      <c r="Z51" s="211">
        <f>+'24'!D50</f>
        <v>0</v>
      </c>
      <c r="AA51" s="211">
        <f>+'25'!D50</f>
        <v>0</v>
      </c>
      <c r="AB51" s="222">
        <f>+'26'!D50</f>
        <v>0</v>
      </c>
      <c r="AC51" s="211">
        <f>+'27'!D50</f>
        <v>0</v>
      </c>
      <c r="AD51" s="211">
        <f>+'28'!D50</f>
        <v>4505</v>
      </c>
      <c r="AE51" s="211">
        <f>+'29'!D50</f>
        <v>120</v>
      </c>
      <c r="AF51" s="211">
        <f>+'30'!D50</f>
        <v>1225</v>
      </c>
      <c r="AG51" s="211">
        <f>+'31'!D50</f>
        <v>0</v>
      </c>
      <c r="AH51" s="213">
        <f t="shared" si="0"/>
        <v>56624.5</v>
      </c>
      <c r="AI51" s="191"/>
      <c r="AJ51" s="246">
        <v>56624.5</v>
      </c>
      <c r="AK51" s="190">
        <f t="shared" si="5"/>
        <v>0</v>
      </c>
    </row>
    <row r="52" spans="1:38">
      <c r="A52" s="209"/>
      <c r="B52" s="227" t="s">
        <v>79</v>
      </c>
      <c r="C52" s="211">
        <f>+'01'!D51</f>
        <v>0</v>
      </c>
      <c r="D52" s="212">
        <f>+'02'!D51</f>
        <v>333</v>
      </c>
      <c r="E52" s="212">
        <f>+'03'!D51</f>
        <v>0</v>
      </c>
      <c r="F52" s="212">
        <f>+'04'!D51</f>
        <v>0</v>
      </c>
      <c r="G52" s="212">
        <f>+'05'!D51</f>
        <v>0</v>
      </c>
      <c r="H52" s="212">
        <f>+'06'!D51</f>
        <v>0</v>
      </c>
      <c r="I52" s="212">
        <f>+'07'!D51</f>
        <v>0</v>
      </c>
      <c r="J52" s="212">
        <f>+'08'!D51</f>
        <v>0</v>
      </c>
      <c r="K52" s="212">
        <f>+'09'!D51</f>
        <v>0</v>
      </c>
      <c r="L52" s="212">
        <f>+'10'!D51</f>
        <v>0</v>
      </c>
      <c r="M52" s="212">
        <f>+'11'!D51</f>
        <v>0</v>
      </c>
      <c r="N52" s="212">
        <f>+'12'!D51</f>
        <v>0</v>
      </c>
      <c r="O52" s="212">
        <f>+'13'!D51</f>
        <v>0</v>
      </c>
      <c r="P52" s="212">
        <f>+'14'!D51</f>
        <v>0</v>
      </c>
      <c r="Q52" s="212">
        <f>+'15'!D51</f>
        <v>0</v>
      </c>
      <c r="R52" s="212">
        <f>+'16'!D51</f>
        <v>0</v>
      </c>
      <c r="S52" s="212">
        <f>+'17'!D51</f>
        <v>0</v>
      </c>
      <c r="T52" s="212">
        <f>+'18'!D51</f>
        <v>0</v>
      </c>
      <c r="U52" s="211">
        <f>+'19'!D51</f>
        <v>0</v>
      </c>
      <c r="V52" s="211">
        <f>+'20'!D51</f>
        <v>0</v>
      </c>
      <c r="W52" s="211">
        <f>+'21'!D51</f>
        <v>0</v>
      </c>
      <c r="X52" s="211">
        <f>+'22'!D51</f>
        <v>0</v>
      </c>
      <c r="Y52" s="211">
        <f>+'23'!D51</f>
        <v>0</v>
      </c>
      <c r="Z52" s="211">
        <f>+'24'!D51</f>
        <v>0</v>
      </c>
      <c r="AA52" s="211">
        <f>+'25'!D51</f>
        <v>0</v>
      </c>
      <c r="AB52" s="222">
        <f>+'26'!D51</f>
        <v>0</v>
      </c>
      <c r="AC52" s="211">
        <f>+'27'!D51</f>
        <v>0</v>
      </c>
      <c r="AD52" s="211">
        <f>+'28'!D51</f>
        <v>0</v>
      </c>
      <c r="AE52" s="211">
        <f>+'29'!D51</f>
        <v>0</v>
      </c>
      <c r="AF52" s="211">
        <f>+'30'!D51</f>
        <v>0</v>
      </c>
      <c r="AG52" s="211">
        <f>+'31'!D51</f>
        <v>0</v>
      </c>
      <c r="AH52" s="213">
        <f>+C52+D52+E52+F52+G52+H52+I52+J52+K52+L52+M52+N52+O52+P52+Q52+R52+S52+T52+U52+V52+W52+X52+Y52+Z52+AA52+AB52+AC52+AD52+AE52+AF52+AG52</f>
        <v>333</v>
      </c>
      <c r="AI52" s="191"/>
      <c r="AJ52" s="246">
        <v>333</v>
      </c>
      <c r="AK52" s="190">
        <f t="shared" si="5"/>
        <v>0</v>
      </c>
    </row>
    <row r="53" spans="1:38">
      <c r="A53" s="226">
        <v>14</v>
      </c>
      <c r="B53" s="210" t="s">
        <v>276</v>
      </c>
      <c r="C53" s="211">
        <f>+'01'!D52</f>
        <v>0</v>
      </c>
      <c r="D53" s="212">
        <f>+'02'!D52</f>
        <v>0</v>
      </c>
      <c r="E53" s="212">
        <f>+'03'!D52</f>
        <v>0</v>
      </c>
      <c r="F53" s="212">
        <f>+'04'!D52</f>
        <v>0</v>
      </c>
      <c r="G53" s="212">
        <f>+'05'!D52</f>
        <v>0</v>
      </c>
      <c r="H53" s="212">
        <f>+'06'!D52</f>
        <v>0</v>
      </c>
      <c r="I53" s="212">
        <f>+'07'!D52</f>
        <v>246629.84</v>
      </c>
      <c r="J53" s="212">
        <f>+'08'!D52</f>
        <v>0</v>
      </c>
      <c r="K53" s="212">
        <f>+'09'!D52</f>
        <v>0</v>
      </c>
      <c r="L53" s="212">
        <f>+'10'!D52</f>
        <v>0</v>
      </c>
      <c r="M53" s="212">
        <f>+'11'!D52</f>
        <v>0</v>
      </c>
      <c r="N53" s="212">
        <f>+'12'!D52</f>
        <v>0</v>
      </c>
      <c r="O53" s="212">
        <f>+'13'!D52</f>
        <v>0</v>
      </c>
      <c r="P53" s="212">
        <f>+'14'!D52</f>
        <v>0</v>
      </c>
      <c r="Q53" s="212">
        <f>+'15'!D52</f>
        <v>29113</v>
      </c>
      <c r="R53" s="212">
        <f>+'16'!D52</f>
        <v>0</v>
      </c>
      <c r="S53" s="212">
        <f>+'17'!D52</f>
        <v>0</v>
      </c>
      <c r="T53" s="212">
        <f>+'18'!D52</f>
        <v>0</v>
      </c>
      <c r="U53" s="211">
        <f>+'19'!D52</f>
        <v>0</v>
      </c>
      <c r="V53" s="211">
        <f>+'20'!D52</f>
        <v>0</v>
      </c>
      <c r="W53" s="211">
        <f>+'21'!D52</f>
        <v>0</v>
      </c>
      <c r="X53" s="211">
        <f>+'22'!D52</f>
        <v>32691.97</v>
      </c>
      <c r="Y53" s="211">
        <f>+'23'!D52</f>
        <v>0</v>
      </c>
      <c r="Z53" s="211">
        <f>+'24'!D52</f>
        <v>0</v>
      </c>
      <c r="AA53" s="211">
        <f>+'25'!D52</f>
        <v>0</v>
      </c>
      <c r="AB53" s="211">
        <f>+'26'!D52</f>
        <v>0</v>
      </c>
      <c r="AC53" s="211">
        <f>+'27'!D52</f>
        <v>0</v>
      </c>
      <c r="AD53" s="211">
        <f>+'28'!D52</f>
        <v>427516.22</v>
      </c>
      <c r="AE53" s="211">
        <f>+'29'!D52</f>
        <v>0</v>
      </c>
      <c r="AF53" s="211">
        <f>+'30'!D52</f>
        <v>0</v>
      </c>
      <c r="AG53" s="211">
        <f>+'31'!D52</f>
        <v>0</v>
      </c>
      <c r="AH53" s="213">
        <f t="shared" ref="AH53" si="6">+C53+D53+E53+F53+G53+H53+I53+J53+K53+L53+M53+N53+O53+P53+Q53+R53+S53+T53+U53+V53+W53+X53+Y53+Z53+AA53+AB53+AC53+AD53+AE53+AF53+AG53</f>
        <v>735951.02999999991</v>
      </c>
      <c r="AI53" s="191"/>
      <c r="AJ53" s="246">
        <v>735951.03</v>
      </c>
      <c r="AK53" s="190">
        <f t="shared" si="5"/>
        <v>0</v>
      </c>
    </row>
    <row r="54" spans="1:38">
      <c r="A54" s="228">
        <v>17</v>
      </c>
      <c r="B54" s="221" t="s">
        <v>105</v>
      </c>
      <c r="C54" s="211">
        <f>+'01'!D53</f>
        <v>6321</v>
      </c>
      <c r="D54" s="212">
        <f>+'02'!D53</f>
        <v>7288</v>
      </c>
      <c r="E54" s="212">
        <f>+'03'!D53</f>
        <v>6443</v>
      </c>
      <c r="F54" s="212">
        <f>+'04'!D53</f>
        <v>7623</v>
      </c>
      <c r="G54" s="212">
        <f>+'05'!D53</f>
        <v>2048</v>
      </c>
      <c r="H54" s="212">
        <f>+'06'!D53</f>
        <v>0</v>
      </c>
      <c r="I54" s="212">
        <f>+'07'!D53</f>
        <v>3559</v>
      </c>
      <c r="J54" s="212">
        <f>+'08'!D53</f>
        <v>15855</v>
      </c>
      <c r="K54" s="212">
        <f>+'09'!D53</f>
        <v>4028</v>
      </c>
      <c r="L54" s="212">
        <f>+'10'!D53</f>
        <v>13401</v>
      </c>
      <c r="M54" s="212">
        <f>+'11'!D53</f>
        <v>7605</v>
      </c>
      <c r="N54" s="212">
        <f>+'12'!D53</f>
        <v>157</v>
      </c>
      <c r="O54" s="212">
        <f>+'13'!D53</f>
        <v>0</v>
      </c>
      <c r="P54" s="212">
        <f>+'14'!D53</f>
        <v>5443</v>
      </c>
      <c r="Q54" s="212">
        <f>+'15'!D53</f>
        <v>10263</v>
      </c>
      <c r="R54" s="212">
        <f>+'16'!D53</f>
        <v>8043</v>
      </c>
      <c r="S54" s="212">
        <f>+'17'!D53</f>
        <v>6872</v>
      </c>
      <c r="T54" s="212">
        <f>+'18'!D53</f>
        <v>9392</v>
      </c>
      <c r="U54" s="211">
        <f>+'19'!D53</f>
        <v>1340</v>
      </c>
      <c r="V54" s="211">
        <f>+'20'!D53</f>
        <v>0</v>
      </c>
      <c r="W54" s="211">
        <f>+'21'!D53</f>
        <v>3504</v>
      </c>
      <c r="X54" s="211">
        <f>+'22'!D53</f>
        <v>11283</v>
      </c>
      <c r="Y54" s="211">
        <f>+'23'!D53</f>
        <v>9132</v>
      </c>
      <c r="Z54" s="211">
        <f>+'24'!D53</f>
        <v>12707</v>
      </c>
      <c r="AA54" s="211">
        <f>+'25'!D53</f>
        <v>6335</v>
      </c>
      <c r="AB54" s="211">
        <f>+'26'!D53</f>
        <v>1732</v>
      </c>
      <c r="AC54" s="211">
        <f>+'27'!D53</f>
        <v>0</v>
      </c>
      <c r="AD54" s="211">
        <f>+'28'!D53</f>
        <v>1819</v>
      </c>
      <c r="AE54" s="211">
        <f>+'29'!D53</f>
        <v>7049</v>
      </c>
      <c r="AF54" s="211">
        <f>+'30'!D53</f>
        <v>7117</v>
      </c>
      <c r="AG54" s="211">
        <f>+'31'!D53</f>
        <v>0</v>
      </c>
      <c r="AH54" s="213">
        <f t="shared" ref="AH54:AH61" si="7">+C54+D54+E54+F54+G54+H54+I54+J54+K54+L54+M54+N54+O54+P54+Q54+R54+S54+T54+U54+V54+W54+X54+Y54+Z54+AA54+AB54+AC54+AD54+AE54+AF54+AG54</f>
        <v>176359</v>
      </c>
      <c r="AI54" s="191"/>
      <c r="AJ54" s="246">
        <v>176359</v>
      </c>
      <c r="AK54" s="190">
        <f t="shared" si="5"/>
        <v>0</v>
      </c>
    </row>
    <row r="55" spans="1:38">
      <c r="A55" s="209">
        <v>18</v>
      </c>
      <c r="B55" s="210" t="s">
        <v>106</v>
      </c>
      <c r="C55" s="211">
        <f>+'01'!D54</f>
        <v>69618</v>
      </c>
      <c r="D55" s="212">
        <f>+'02'!D54</f>
        <v>55874</v>
      </c>
      <c r="E55" s="212">
        <f>+'03'!D54</f>
        <v>61276</v>
      </c>
      <c r="F55" s="212">
        <f>+'04'!D54</f>
        <v>33636</v>
      </c>
      <c r="G55" s="212">
        <f>+'05'!D54</f>
        <v>3671</v>
      </c>
      <c r="H55" s="212">
        <f>+'06'!D54</f>
        <v>0</v>
      </c>
      <c r="I55" s="212">
        <f>+'07'!D54</f>
        <v>24578</v>
      </c>
      <c r="J55" s="212">
        <f>+'08'!D54</f>
        <v>71956</v>
      </c>
      <c r="K55" s="212">
        <f>+'09'!D54</f>
        <v>30298</v>
      </c>
      <c r="L55" s="212">
        <f>+'10'!D54</f>
        <v>66022</v>
      </c>
      <c r="M55" s="212">
        <f>+'11'!D54</f>
        <v>43950</v>
      </c>
      <c r="N55" s="212">
        <f>+'12'!D54</f>
        <v>3379</v>
      </c>
      <c r="O55" s="212">
        <f>+'13'!D54</f>
        <v>0</v>
      </c>
      <c r="P55" s="212">
        <f>+'14'!D54</f>
        <v>35525</v>
      </c>
      <c r="Q55" s="212">
        <f>+'15'!D54</f>
        <v>75825</v>
      </c>
      <c r="R55" s="212">
        <f>+'16'!D54</f>
        <v>45388</v>
      </c>
      <c r="S55" s="212">
        <f>+'17'!D54</f>
        <v>69367</v>
      </c>
      <c r="T55" s="212">
        <f>+'18'!D54</f>
        <v>49947</v>
      </c>
      <c r="U55" s="211">
        <f>+'19'!D54</f>
        <v>11040</v>
      </c>
      <c r="V55" s="211">
        <f>+'20'!D54</f>
        <v>0</v>
      </c>
      <c r="W55" s="211">
        <f>+'21'!D54</f>
        <v>27707</v>
      </c>
      <c r="X55" s="211">
        <f>+'22'!D54</f>
        <v>73940</v>
      </c>
      <c r="Y55" s="211">
        <f>+'23'!D54</f>
        <v>64624</v>
      </c>
      <c r="Z55" s="211">
        <f>+'24'!D54</f>
        <v>70205</v>
      </c>
      <c r="AA55" s="211">
        <f>+'25'!D54</f>
        <v>46195</v>
      </c>
      <c r="AB55" s="211">
        <f>+'26'!D54</f>
        <v>8174</v>
      </c>
      <c r="AC55" s="211">
        <f>+'27'!D54</f>
        <v>0</v>
      </c>
      <c r="AD55" s="211">
        <f>+'28'!D54</f>
        <v>28060</v>
      </c>
      <c r="AE55" s="211">
        <f>+'29'!D54</f>
        <v>69447</v>
      </c>
      <c r="AF55" s="211">
        <f>+'30'!D54</f>
        <v>53438</v>
      </c>
      <c r="AG55" s="211">
        <f>+'31'!D54</f>
        <v>0</v>
      </c>
      <c r="AH55" s="213">
        <f t="shared" si="7"/>
        <v>1193140</v>
      </c>
      <c r="AI55" s="191"/>
      <c r="AJ55" s="246">
        <v>1193140</v>
      </c>
      <c r="AK55" s="190">
        <f t="shared" si="5"/>
        <v>0</v>
      </c>
    </row>
    <row r="56" spans="1:38">
      <c r="A56" s="228">
        <v>19</v>
      </c>
      <c r="B56" s="221" t="s">
        <v>107</v>
      </c>
      <c r="C56" s="211">
        <f>+'01'!D55</f>
        <v>26746</v>
      </c>
      <c r="D56" s="212">
        <f>+'02'!D55</f>
        <v>21956</v>
      </c>
      <c r="E56" s="212">
        <f>+'03'!D55</f>
        <v>19221</v>
      </c>
      <c r="F56" s="212">
        <f>+'04'!D55</f>
        <v>25183</v>
      </c>
      <c r="G56" s="212">
        <f>+'05'!D55</f>
        <v>3169</v>
      </c>
      <c r="H56" s="212">
        <f>+'06'!D55</f>
        <v>0</v>
      </c>
      <c r="I56" s="212">
        <f>+'07'!D55</f>
        <v>18985</v>
      </c>
      <c r="J56" s="212">
        <f>+'08'!D55</f>
        <v>18828</v>
      </c>
      <c r="K56" s="212">
        <f>+'09'!D55</f>
        <v>13811</v>
      </c>
      <c r="L56" s="212">
        <f>+'10'!D55</f>
        <v>25841</v>
      </c>
      <c r="M56" s="212">
        <f>+'11'!D55</f>
        <v>20545</v>
      </c>
      <c r="N56" s="212">
        <f>+'12'!D55</f>
        <v>1378</v>
      </c>
      <c r="O56" s="212">
        <f>+'13'!D55</f>
        <v>0</v>
      </c>
      <c r="P56" s="212">
        <f>+'14'!D55</f>
        <v>18123</v>
      </c>
      <c r="Q56" s="212">
        <f>+'15'!D55</f>
        <v>22015</v>
      </c>
      <c r="R56" s="212">
        <f>+'16'!D55</f>
        <v>16856</v>
      </c>
      <c r="S56" s="212">
        <f>+'17'!D55</f>
        <v>31856</v>
      </c>
      <c r="T56" s="212">
        <f>+'18'!D55</f>
        <v>14986</v>
      </c>
      <c r="U56" s="211">
        <f>+'19'!D55</f>
        <v>806</v>
      </c>
      <c r="V56" s="211">
        <f>+'20'!D55</f>
        <v>0</v>
      </c>
      <c r="W56" s="211">
        <f>+'21'!D55</f>
        <v>17309</v>
      </c>
      <c r="X56" s="211">
        <f>+'22'!D55</f>
        <v>37996</v>
      </c>
      <c r="Y56" s="211">
        <f>+'23'!D55</f>
        <v>18077</v>
      </c>
      <c r="Z56" s="211">
        <f>+'24'!D55</f>
        <v>25498</v>
      </c>
      <c r="AA56" s="211">
        <f>+'25'!D55</f>
        <v>25705</v>
      </c>
      <c r="AB56" s="211">
        <f>+'26'!D55</f>
        <v>1910</v>
      </c>
      <c r="AC56" s="211">
        <f>+'27'!D55</f>
        <v>0</v>
      </c>
      <c r="AD56" s="211">
        <f>+'28'!D55</f>
        <v>11140</v>
      </c>
      <c r="AE56" s="211">
        <f>+'29'!D55</f>
        <v>28469</v>
      </c>
      <c r="AF56" s="211">
        <f>+'30'!D55</f>
        <v>25582</v>
      </c>
      <c r="AG56" s="211">
        <f>+'31'!D55</f>
        <v>0</v>
      </c>
      <c r="AH56" s="213">
        <f t="shared" si="7"/>
        <v>491991</v>
      </c>
      <c r="AI56" s="191"/>
      <c r="AJ56" s="246">
        <v>491991</v>
      </c>
      <c r="AK56" s="190">
        <f t="shared" si="5"/>
        <v>0</v>
      </c>
    </row>
    <row r="57" spans="1:38">
      <c r="A57" s="229">
        <v>20</v>
      </c>
      <c r="B57" s="230" t="s">
        <v>112</v>
      </c>
      <c r="C57" s="211">
        <f>+'01'!D56</f>
        <v>1256</v>
      </c>
      <c r="D57" s="212">
        <f>+'02'!D56</f>
        <v>1546</v>
      </c>
      <c r="E57" s="212">
        <f>+'03'!D56</f>
        <v>1816</v>
      </c>
      <c r="F57" s="212">
        <f>+'04'!D56</f>
        <v>48</v>
      </c>
      <c r="G57" s="212">
        <f>+'05'!D56</f>
        <v>223</v>
      </c>
      <c r="H57" s="212">
        <f>+'06'!D56</f>
        <v>0</v>
      </c>
      <c r="I57" s="212">
        <f>+'07'!D56</f>
        <v>450</v>
      </c>
      <c r="J57" s="212">
        <f>+'08'!D56</f>
        <v>666</v>
      </c>
      <c r="K57" s="212">
        <f>+'09'!D56</f>
        <v>442</v>
      </c>
      <c r="L57" s="212">
        <f>+'10'!D56</f>
        <v>500</v>
      </c>
      <c r="M57" s="212">
        <f>+'11'!D56</f>
        <v>1014</v>
      </c>
      <c r="N57" s="212">
        <f>+'12'!D56</f>
        <v>0</v>
      </c>
      <c r="O57" s="212">
        <f>+'13'!D56</f>
        <v>0</v>
      </c>
      <c r="P57" s="212">
        <f>+'14'!D56</f>
        <v>356</v>
      </c>
      <c r="Q57" s="212">
        <f>+'15'!D56</f>
        <v>1104</v>
      </c>
      <c r="R57" s="212">
        <f>+'16'!D56</f>
        <v>660</v>
      </c>
      <c r="S57" s="212">
        <f>+'17'!D56</f>
        <v>850</v>
      </c>
      <c r="T57" s="212">
        <f>+'18'!D56</f>
        <v>98</v>
      </c>
      <c r="U57" s="211">
        <f>+'19'!D56</f>
        <v>0</v>
      </c>
      <c r="V57" s="211">
        <f>+'20'!D56</f>
        <v>0</v>
      </c>
      <c r="W57" s="211">
        <f>+'21'!D56</f>
        <v>1345</v>
      </c>
      <c r="X57" s="211">
        <f>+'22'!D56</f>
        <v>1106</v>
      </c>
      <c r="Y57" s="211">
        <f>+'23'!D56</f>
        <v>2077</v>
      </c>
      <c r="Z57" s="211">
        <f>+'24'!D56</f>
        <v>3208</v>
      </c>
      <c r="AA57" s="211">
        <f>+'25'!D56</f>
        <v>758</v>
      </c>
      <c r="AB57" s="211">
        <f>+'26'!D56</f>
        <v>0</v>
      </c>
      <c r="AC57" s="211">
        <f>+'27'!D56</f>
        <v>0</v>
      </c>
      <c r="AD57" s="211">
        <f>+'28'!D56</f>
        <v>0</v>
      </c>
      <c r="AE57" s="211">
        <f>+'29'!D56</f>
        <v>273</v>
      </c>
      <c r="AF57" s="211">
        <f>+'30'!D56</f>
        <v>399</v>
      </c>
      <c r="AG57" s="211">
        <f>+'31'!D56</f>
        <v>0</v>
      </c>
      <c r="AH57" s="213">
        <f t="shared" si="7"/>
        <v>20195</v>
      </c>
      <c r="AI57" s="191"/>
      <c r="AJ57" s="246">
        <v>20195</v>
      </c>
      <c r="AK57" s="190">
        <f t="shared" si="5"/>
        <v>0</v>
      </c>
    </row>
    <row r="58" spans="1:38" s="185" customFormat="1">
      <c r="A58" s="228">
        <v>21</v>
      </c>
      <c r="B58" s="221" t="s">
        <v>114</v>
      </c>
      <c r="C58" s="211">
        <f>+'01'!D57</f>
        <v>3662</v>
      </c>
      <c r="D58" s="212">
        <f>+'02'!D57</f>
        <v>2657</v>
      </c>
      <c r="E58" s="212">
        <f>+'03'!D57</f>
        <v>1230</v>
      </c>
      <c r="F58" s="212">
        <f>+'04'!D57</f>
        <v>917</v>
      </c>
      <c r="G58" s="212">
        <f>+'05'!D57</f>
        <v>715</v>
      </c>
      <c r="H58" s="212">
        <f>+'06'!D57</f>
        <v>0</v>
      </c>
      <c r="I58" s="212">
        <f>+'07'!D57</f>
        <v>3289</v>
      </c>
      <c r="J58" s="212">
        <f>+'08'!D57</f>
        <v>3142</v>
      </c>
      <c r="K58" s="212">
        <f>+'09'!D57</f>
        <v>742</v>
      </c>
      <c r="L58" s="212">
        <f>+'10'!D57</f>
        <v>434</v>
      </c>
      <c r="M58" s="212">
        <f>+'11'!D57</f>
        <v>834</v>
      </c>
      <c r="N58" s="212">
        <f>+'12'!D57</f>
        <v>388</v>
      </c>
      <c r="O58" s="212">
        <f>+'13'!D57</f>
        <v>0</v>
      </c>
      <c r="P58" s="212">
        <f>+'14'!D57</f>
        <v>1118</v>
      </c>
      <c r="Q58" s="212">
        <f>+'15'!D57</f>
        <v>2032</v>
      </c>
      <c r="R58" s="212">
        <f>+'16'!D57</f>
        <v>0</v>
      </c>
      <c r="S58" s="212">
        <f>+'17'!D57</f>
        <v>640</v>
      </c>
      <c r="T58" s="212">
        <f>+'18'!D57</f>
        <v>0</v>
      </c>
      <c r="U58" s="211">
        <f>+'19'!D57</f>
        <v>0</v>
      </c>
      <c r="V58" s="211">
        <f>+'20'!D57</f>
        <v>0</v>
      </c>
      <c r="W58" s="211">
        <f>+'21'!D57</f>
        <v>2310</v>
      </c>
      <c r="X58" s="211">
        <f>+'22'!D57</f>
        <v>0</v>
      </c>
      <c r="Y58" s="211">
        <f>+'23'!D57</f>
        <v>0</v>
      </c>
      <c r="Z58" s="211">
        <f>+'24'!D57</f>
        <v>0</v>
      </c>
      <c r="AA58" s="211">
        <f>+'25'!D57</f>
        <v>2122</v>
      </c>
      <c r="AB58" s="211">
        <f>+'26'!D57</f>
        <v>0</v>
      </c>
      <c r="AC58" s="211">
        <f>+'27'!D57</f>
        <v>0</v>
      </c>
      <c r="AD58" s="211">
        <f>+'28'!D57</f>
        <v>505</v>
      </c>
      <c r="AE58" s="211">
        <f>+'29'!D57</f>
        <v>480</v>
      </c>
      <c r="AF58" s="211">
        <f>+'30'!D57</f>
        <v>1745</v>
      </c>
      <c r="AG58" s="211">
        <f>+'31'!D57</f>
        <v>0</v>
      </c>
      <c r="AH58" s="213">
        <f>+C58+D58+E58+F58+G58+H58+I58+J58+K58+L58+M58+N58+O58+P58+Q58+R58+S58+T58+U58+V58+W58+X58+Y58+Z58+AA58+AB58+AC58+AD58+AE58+AF58+AG58</f>
        <v>28962</v>
      </c>
      <c r="AI58" s="231"/>
      <c r="AJ58" s="249">
        <v>28962</v>
      </c>
      <c r="AK58" s="192">
        <f>+AH58-AJ58</f>
        <v>0</v>
      </c>
      <c r="AL58" s="256"/>
    </row>
    <row r="59" spans="1:38" s="185" customFormat="1">
      <c r="A59" s="220">
        <v>22</v>
      </c>
      <c r="B59" s="232" t="s">
        <v>253</v>
      </c>
      <c r="C59" s="211">
        <f>+'01'!D58</f>
        <v>4659.25</v>
      </c>
      <c r="D59" s="212">
        <f>+'02'!D58</f>
        <v>43565</v>
      </c>
      <c r="E59" s="212">
        <f>+'03'!D58</f>
        <v>910</v>
      </c>
      <c r="F59" s="212">
        <f>+'04'!D58</f>
        <v>0</v>
      </c>
      <c r="G59" s="212">
        <f>+'05'!D58</f>
        <v>0</v>
      </c>
      <c r="H59" s="212">
        <f>+'06'!D58</f>
        <v>0</v>
      </c>
      <c r="I59" s="212">
        <f>+'07'!D58</f>
        <v>12750</v>
      </c>
      <c r="J59" s="212">
        <f>+'08'!D58</f>
        <v>3337</v>
      </c>
      <c r="K59" s="212">
        <f>+'09'!D58</f>
        <v>50</v>
      </c>
      <c r="L59" s="212">
        <f>+'10'!D58</f>
        <v>0</v>
      </c>
      <c r="M59" s="212">
        <f>+'11'!D58</f>
        <v>913</v>
      </c>
      <c r="N59" s="212">
        <f>+'12'!D58</f>
        <v>0</v>
      </c>
      <c r="O59" s="212">
        <f>+'13'!D58</f>
        <v>0</v>
      </c>
      <c r="P59" s="212">
        <f>+'14'!D58</f>
        <v>0</v>
      </c>
      <c r="Q59" s="212">
        <f>+'15'!D58</f>
        <v>2408</v>
      </c>
      <c r="R59" s="212">
        <f>+'16'!D58</f>
        <v>1575</v>
      </c>
      <c r="S59" s="212">
        <f>+'17'!D58</f>
        <v>0</v>
      </c>
      <c r="T59" s="212">
        <f>+'18'!D58</f>
        <v>9810</v>
      </c>
      <c r="U59" s="211">
        <f>+'19'!D58</f>
        <v>0</v>
      </c>
      <c r="V59" s="211">
        <f>+'20'!D58</f>
        <v>552</v>
      </c>
      <c r="W59" s="211">
        <f>+'21'!D58</f>
        <v>0</v>
      </c>
      <c r="X59" s="211">
        <f>+'22'!D58</f>
        <v>0</v>
      </c>
      <c r="Y59" s="211">
        <f>+'23'!D58</f>
        <v>2062</v>
      </c>
      <c r="Z59" s="211">
        <f>+'24'!D58</f>
        <v>8662.5</v>
      </c>
      <c r="AA59" s="211">
        <f>+'25'!D58</f>
        <v>425</v>
      </c>
      <c r="AB59" s="211">
        <f>+'26'!D58</f>
        <v>1444</v>
      </c>
      <c r="AC59" s="211">
        <f>+'27'!D58</f>
        <v>0</v>
      </c>
      <c r="AD59" s="211">
        <f>+'28'!D58</f>
        <v>0</v>
      </c>
      <c r="AE59" s="211">
        <f>+'29'!D58</f>
        <v>18290</v>
      </c>
      <c r="AF59" s="211">
        <f>+'30'!D58</f>
        <v>0</v>
      </c>
      <c r="AG59" s="211">
        <f>+'31'!D58</f>
        <v>0</v>
      </c>
      <c r="AH59" s="213">
        <f t="shared" ref="AH59:AH60" si="8">+C59+D59+E59+F59+G59+H59+I59+J59+K59+L59+M59+N59+O59+P59+Q59+R59+S59+T59+U59+V59+W59+X59+Y59+Z59+AA59+AB59+AC59+AD59+AE59+AF59+AG59</f>
        <v>111412.75</v>
      </c>
      <c r="AI59" s="231"/>
      <c r="AJ59" s="249">
        <f>65749.5+2842.75+42820.5</f>
        <v>111412.75</v>
      </c>
      <c r="AK59" s="192">
        <f>+AH59-AJ59</f>
        <v>0</v>
      </c>
      <c r="AL59" s="256"/>
    </row>
    <row r="60" spans="1:38" s="185" customFormat="1">
      <c r="A60" s="220"/>
      <c r="B60" s="232" t="s">
        <v>252</v>
      </c>
      <c r="C60" s="211">
        <f>+'01'!D59</f>
        <v>0</v>
      </c>
      <c r="D60" s="212">
        <f>+'02'!D59</f>
        <v>0</v>
      </c>
      <c r="E60" s="212">
        <f>+'03'!D59</f>
        <v>41971.75</v>
      </c>
      <c r="F60" s="212">
        <f>+'04'!D59</f>
        <v>0</v>
      </c>
      <c r="G60" s="212">
        <f>+'05'!D59</f>
        <v>0</v>
      </c>
      <c r="H60" s="212">
        <f>+'06'!D59</f>
        <v>0</v>
      </c>
      <c r="I60" s="212">
        <f>+'07'!D59</f>
        <v>0</v>
      </c>
      <c r="J60" s="212">
        <f>+'08'!D59</f>
        <v>0</v>
      </c>
      <c r="K60" s="212">
        <f>+'09'!D59</f>
        <v>0</v>
      </c>
      <c r="L60" s="212">
        <f>+'10'!D59</f>
        <v>0</v>
      </c>
      <c r="M60" s="212">
        <f>+'11'!D59</f>
        <v>0</v>
      </c>
      <c r="N60" s="212">
        <f>+'12'!D59</f>
        <v>0</v>
      </c>
      <c r="O60" s="212">
        <f>+'13'!D59</f>
        <v>0</v>
      </c>
      <c r="P60" s="212">
        <f>+'14'!D59</f>
        <v>0</v>
      </c>
      <c r="Q60" s="212">
        <f>+'15'!D59</f>
        <v>0</v>
      </c>
      <c r="R60" s="212">
        <f>+'16'!D59</f>
        <v>0</v>
      </c>
      <c r="S60" s="212">
        <f>+'17'!D59</f>
        <v>0</v>
      </c>
      <c r="T60" s="212">
        <f>+'18'!D59</f>
        <v>0</v>
      </c>
      <c r="U60" s="211">
        <f>+'19'!D59</f>
        <v>0</v>
      </c>
      <c r="V60" s="211">
        <f>+'20'!D59</f>
        <v>0</v>
      </c>
      <c r="W60" s="211">
        <f>+'21'!D59</f>
        <v>0</v>
      </c>
      <c r="X60" s="211">
        <f>+'22'!D59</f>
        <v>0</v>
      </c>
      <c r="Y60" s="211">
        <f>+'23'!D59</f>
        <v>0</v>
      </c>
      <c r="Z60" s="211">
        <f>+'24'!D59</f>
        <v>0</v>
      </c>
      <c r="AA60" s="211">
        <f>+'25'!D59</f>
        <v>0</v>
      </c>
      <c r="AB60" s="211">
        <f>+'26'!D59</f>
        <v>0</v>
      </c>
      <c r="AC60" s="211">
        <f>+'27'!D59</f>
        <v>0</v>
      </c>
      <c r="AD60" s="211">
        <f>+'28'!D59</f>
        <v>0</v>
      </c>
      <c r="AE60" s="211">
        <f>+'29'!D59</f>
        <v>0</v>
      </c>
      <c r="AF60" s="211">
        <f>+'30'!D59</f>
        <v>0</v>
      </c>
      <c r="AG60" s="211">
        <f>+'31'!D59</f>
        <v>0</v>
      </c>
      <c r="AH60" s="213">
        <f t="shared" si="8"/>
        <v>41971.75</v>
      </c>
      <c r="AI60" s="231"/>
      <c r="AJ60" s="249">
        <v>41971.75</v>
      </c>
      <c r="AK60" s="192">
        <f>+AH60-AJ60</f>
        <v>0</v>
      </c>
      <c r="AL60" s="256"/>
    </row>
    <row r="61" spans="1:38">
      <c r="A61" s="209"/>
      <c r="B61" s="232"/>
      <c r="C61" s="222">
        <f>+'01'!D60</f>
        <v>0</v>
      </c>
      <c r="D61" s="223">
        <f>+'02'!D60</f>
        <v>0</v>
      </c>
      <c r="E61" s="223">
        <f>+'03'!D60</f>
        <v>0</v>
      </c>
      <c r="F61" s="223">
        <f>+'04'!D60</f>
        <v>0</v>
      </c>
      <c r="G61" s="223">
        <f>+'05'!D60</f>
        <v>0</v>
      </c>
      <c r="H61" s="223">
        <f>+'06'!D60</f>
        <v>0</v>
      </c>
      <c r="I61" s="223">
        <f>+'07'!D60</f>
        <v>0</v>
      </c>
      <c r="J61" s="223">
        <f>+'08'!D60</f>
        <v>0</v>
      </c>
      <c r="K61" s="223">
        <f>+'09'!D60</f>
        <v>0</v>
      </c>
      <c r="L61" s="223">
        <f>+'10'!D60</f>
        <v>0</v>
      </c>
      <c r="M61" s="223">
        <f>+'11'!D60</f>
        <v>0</v>
      </c>
      <c r="N61" s="223">
        <f>+'12'!D60</f>
        <v>0</v>
      </c>
      <c r="O61" s="223">
        <f>+'13'!D60</f>
        <v>0</v>
      </c>
      <c r="P61" s="223">
        <f>+'14'!D60</f>
        <v>0</v>
      </c>
      <c r="Q61" s="223">
        <f>+'15'!D60</f>
        <v>0</v>
      </c>
      <c r="R61" s="223">
        <f>+'16'!D60</f>
        <v>0</v>
      </c>
      <c r="S61" s="223">
        <f>+'17'!D60</f>
        <v>0</v>
      </c>
      <c r="T61" s="223">
        <f>+'18'!D60</f>
        <v>0</v>
      </c>
      <c r="U61" s="222">
        <f>+'19'!D60</f>
        <v>0</v>
      </c>
      <c r="V61" s="222">
        <f>+'20'!D60</f>
        <v>0</v>
      </c>
      <c r="W61" s="222">
        <f>+'21'!D60</f>
        <v>0</v>
      </c>
      <c r="X61" s="222">
        <f>+'22'!D60</f>
        <v>0</v>
      </c>
      <c r="Y61" s="222">
        <f>+'23'!D60</f>
        <v>0</v>
      </c>
      <c r="Z61" s="222">
        <f>+'24'!D60</f>
        <v>0</v>
      </c>
      <c r="AA61" s="222">
        <f>+'25'!D60</f>
        <v>0</v>
      </c>
      <c r="AB61" s="222">
        <f>+'26'!D60</f>
        <v>0</v>
      </c>
      <c r="AC61" s="222">
        <f>+'27'!D60</f>
        <v>0</v>
      </c>
      <c r="AD61" s="222">
        <f>+'28'!D60</f>
        <v>0</v>
      </c>
      <c r="AE61" s="222">
        <f>+'29'!D60</f>
        <v>0</v>
      </c>
      <c r="AF61" s="222">
        <f>+'30'!D60</f>
        <v>0</v>
      </c>
      <c r="AG61" s="222">
        <f>+'31'!D60</f>
        <v>0</v>
      </c>
      <c r="AH61" s="213">
        <f t="shared" si="7"/>
        <v>0</v>
      </c>
      <c r="AI61" s="191"/>
      <c r="AK61" s="192">
        <f t="shared" ref="AK61" si="9">+AH61-AJ61</f>
        <v>0</v>
      </c>
    </row>
    <row r="62" spans="1:38" s="178" customFormat="1" ht="32.25" thickBot="1">
      <c r="A62" s="213"/>
      <c r="B62" s="233" t="s">
        <v>38</v>
      </c>
      <c r="C62" s="234">
        <f t="shared" ref="C62:AG62" si="10">SUM(C5:C61)</f>
        <v>10168056.280000001</v>
      </c>
      <c r="D62" s="234">
        <f t="shared" si="10"/>
        <v>10395509.729999999</v>
      </c>
      <c r="E62" s="234">
        <f t="shared" si="10"/>
        <v>12552437.379999997</v>
      </c>
      <c r="F62" s="234">
        <f t="shared" si="10"/>
        <v>11428044.970000003</v>
      </c>
      <c r="G62" s="234">
        <f t="shared" si="10"/>
        <v>9425002.0800000001</v>
      </c>
      <c r="H62" s="234">
        <f t="shared" si="10"/>
        <v>5278005.8899999997</v>
      </c>
      <c r="I62" s="234">
        <f t="shared" si="10"/>
        <v>11307721.890000001</v>
      </c>
      <c r="J62" s="234">
        <f t="shared" si="10"/>
        <v>11615228.849999998</v>
      </c>
      <c r="K62" s="234">
        <f t="shared" si="10"/>
        <v>12153063.050000001</v>
      </c>
      <c r="L62" s="234">
        <f t="shared" si="10"/>
        <v>11405520.239999998</v>
      </c>
      <c r="M62" s="234">
        <f t="shared" si="10"/>
        <v>9926330.7699999996</v>
      </c>
      <c r="N62" s="234">
        <f t="shared" si="10"/>
        <v>5809763.0699999994</v>
      </c>
      <c r="O62" s="234">
        <f t="shared" si="10"/>
        <v>4446458.66</v>
      </c>
      <c r="P62" s="234">
        <f t="shared" si="10"/>
        <v>9628363.3599999994</v>
      </c>
      <c r="Q62" s="234">
        <f t="shared" si="10"/>
        <v>12627223.890000001</v>
      </c>
      <c r="R62" s="234">
        <f t="shared" si="10"/>
        <v>10531882.030000003</v>
      </c>
      <c r="S62" s="234">
        <f t="shared" si="10"/>
        <v>11758935.58</v>
      </c>
      <c r="T62" s="234">
        <f t="shared" si="10"/>
        <v>12908808.010000002</v>
      </c>
      <c r="U62" s="234">
        <f t="shared" si="10"/>
        <v>8684801.540000001</v>
      </c>
      <c r="V62" s="234">
        <f t="shared" si="10"/>
        <v>3744647.8</v>
      </c>
      <c r="W62" s="234">
        <f t="shared" si="10"/>
        <v>10841122.75</v>
      </c>
      <c r="X62" s="234">
        <f t="shared" si="10"/>
        <v>12412010.57</v>
      </c>
      <c r="Y62" s="234">
        <f t="shared" si="10"/>
        <v>11451860.829999998</v>
      </c>
      <c r="Z62" s="234">
        <f t="shared" si="10"/>
        <v>17092996.719999999</v>
      </c>
      <c r="AA62" s="234">
        <f t="shared" si="10"/>
        <v>11082070.950000003</v>
      </c>
      <c r="AB62" s="234">
        <f t="shared" si="10"/>
        <v>4807155.04</v>
      </c>
      <c r="AC62" s="234">
        <f t="shared" si="10"/>
        <v>3826446.6399999997</v>
      </c>
      <c r="AD62" s="234">
        <f t="shared" si="10"/>
        <v>12643347.559999997</v>
      </c>
      <c r="AE62" s="234">
        <f t="shared" si="10"/>
        <v>9313515.1499999966</v>
      </c>
      <c r="AF62" s="234">
        <f t="shared" si="10"/>
        <v>11305489.469999999</v>
      </c>
      <c r="AG62" s="234">
        <f t="shared" si="10"/>
        <v>0</v>
      </c>
      <c r="AH62" s="234">
        <f>SUM(AH5:AH61)</f>
        <v>300571820.75000012</v>
      </c>
      <c r="AI62" s="190"/>
      <c r="AJ62" s="246"/>
      <c r="AK62" s="190"/>
      <c r="AL62" s="257"/>
    </row>
    <row r="63" spans="1:38" ht="32.25" thickTop="1">
      <c r="A63" s="235"/>
      <c r="B63" s="225"/>
      <c r="C63" s="236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1"/>
      <c r="P63" s="191"/>
      <c r="Q63" s="192"/>
      <c r="R63" s="236"/>
      <c r="S63" s="191"/>
      <c r="T63" s="191"/>
      <c r="U63" s="191"/>
      <c r="V63" s="191"/>
      <c r="W63" s="190"/>
      <c r="X63" s="191"/>
      <c r="Y63" s="191"/>
      <c r="Z63" s="191"/>
      <c r="AA63" s="191"/>
      <c r="AB63" s="191"/>
      <c r="AC63" s="191"/>
      <c r="AD63" s="191"/>
      <c r="AE63" s="191"/>
      <c r="AF63" s="191" t="s">
        <v>244</v>
      </c>
      <c r="AG63" s="192"/>
      <c r="AH63" s="237"/>
      <c r="AI63" s="191"/>
    </row>
    <row r="64" spans="1:38" ht="32.25" thickBot="1">
      <c r="A64" s="235"/>
      <c r="B64" s="225"/>
      <c r="C64" s="236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1"/>
      <c r="P64" s="191"/>
      <c r="Q64" s="192"/>
      <c r="R64" s="236"/>
      <c r="S64" s="191"/>
      <c r="T64" s="191"/>
      <c r="U64" s="191"/>
      <c r="V64" s="191"/>
      <c r="W64" s="190"/>
      <c r="X64" s="191"/>
      <c r="Y64" s="191"/>
      <c r="Z64" s="191"/>
      <c r="AA64" s="191"/>
      <c r="AB64" s="191"/>
      <c r="AC64" s="191"/>
      <c r="AD64" s="191"/>
      <c r="AE64" s="191"/>
      <c r="AF64" s="192"/>
      <c r="AG64" s="238"/>
      <c r="AH64" s="239">
        <f>+AH62-AH63</f>
        <v>300571820.75000012</v>
      </c>
      <c r="AI64" s="191"/>
    </row>
    <row r="65" spans="1:36" ht="32.25" thickTop="1">
      <c r="A65" s="235"/>
      <c r="B65" s="225"/>
      <c r="C65" s="236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1"/>
      <c r="P65" s="191"/>
      <c r="Q65" s="192"/>
      <c r="R65" s="236"/>
      <c r="S65" s="191"/>
      <c r="T65" s="191"/>
      <c r="U65" s="191"/>
      <c r="V65" s="191"/>
      <c r="W65" s="190"/>
      <c r="X65" s="191"/>
      <c r="Y65" s="191"/>
      <c r="Z65" s="191"/>
      <c r="AA65" s="191"/>
      <c r="AB65" s="191"/>
      <c r="AC65" s="191"/>
      <c r="AD65" s="191"/>
      <c r="AE65" s="191" t="s">
        <v>245</v>
      </c>
      <c r="AF65" s="240" t="s">
        <v>82</v>
      </c>
      <c r="AG65" s="192"/>
      <c r="AH65" s="190"/>
      <c r="AI65" s="191"/>
    </row>
    <row r="66" spans="1:36">
      <c r="A66" s="235"/>
      <c r="B66" s="225"/>
      <c r="C66" s="236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1"/>
      <c r="P66" s="191"/>
      <c r="Q66" s="192"/>
      <c r="R66" s="236"/>
      <c r="S66" s="191"/>
      <c r="T66" s="191"/>
      <c r="U66" s="191"/>
      <c r="V66" s="191"/>
      <c r="W66" s="190"/>
      <c r="X66" s="191"/>
      <c r="Y66" s="191"/>
      <c r="Z66" s="191"/>
      <c r="AA66" s="191"/>
      <c r="AB66" s="191"/>
      <c r="AC66" s="191"/>
      <c r="AD66" s="191"/>
      <c r="AE66" s="192"/>
      <c r="AF66" s="240" t="s">
        <v>83</v>
      </c>
      <c r="AG66" s="192"/>
      <c r="AH66" s="241"/>
      <c r="AI66" s="191"/>
    </row>
    <row r="67" spans="1:36">
      <c r="A67" s="235"/>
      <c r="B67" s="225"/>
      <c r="C67" s="236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1"/>
      <c r="P67" s="191"/>
      <c r="Q67" s="192"/>
      <c r="R67" s="236"/>
      <c r="S67" s="191"/>
      <c r="T67" s="191"/>
      <c r="U67" s="191"/>
      <c r="V67" s="191"/>
      <c r="W67" s="190"/>
      <c r="X67" s="191"/>
      <c r="Y67" s="191"/>
      <c r="Z67" s="191"/>
      <c r="AA67" s="191"/>
      <c r="AB67" s="191"/>
      <c r="AC67" s="191"/>
      <c r="AD67" s="191"/>
      <c r="AE67" s="192"/>
      <c r="AF67" s="240" t="s">
        <v>84</v>
      </c>
      <c r="AG67" s="192"/>
      <c r="AH67" s="241"/>
      <c r="AI67" s="191"/>
    </row>
    <row r="68" spans="1:36">
      <c r="A68" s="235"/>
      <c r="B68" s="225"/>
      <c r="C68" s="236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1"/>
      <c r="P68" s="191"/>
      <c r="Q68" s="192"/>
      <c r="R68" s="236"/>
      <c r="S68" s="191"/>
      <c r="T68" s="191"/>
      <c r="U68" s="191"/>
      <c r="V68" s="191"/>
      <c r="W68" s="190"/>
      <c r="X68" s="191"/>
      <c r="Y68" s="191"/>
      <c r="Z68" s="191"/>
      <c r="AA68" s="191"/>
      <c r="AB68" s="191"/>
      <c r="AC68" s="191"/>
      <c r="AD68" s="191"/>
      <c r="AE68" s="192"/>
      <c r="AF68" s="240" t="s">
        <v>85</v>
      </c>
      <c r="AG68" s="192"/>
      <c r="AH68" s="241"/>
      <c r="AI68" s="191"/>
    </row>
    <row r="69" spans="1:36">
      <c r="A69" s="235"/>
      <c r="B69" s="225"/>
      <c r="C69" s="236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1"/>
      <c r="P69" s="191"/>
      <c r="Q69" s="192"/>
      <c r="R69" s="236"/>
      <c r="S69" s="191"/>
      <c r="T69" s="191"/>
      <c r="U69" s="191"/>
      <c r="V69" s="191"/>
      <c r="W69" s="190"/>
      <c r="X69" s="191"/>
      <c r="Y69" s="191"/>
      <c r="Z69" s="191"/>
      <c r="AA69" s="191"/>
      <c r="AB69" s="191"/>
      <c r="AC69" s="191"/>
      <c r="AD69" s="191"/>
      <c r="AE69" s="192"/>
      <c r="AF69" s="240" t="s">
        <v>86</v>
      </c>
      <c r="AG69" s="192"/>
      <c r="AH69" s="241"/>
      <c r="AI69" s="191"/>
    </row>
    <row r="70" spans="1:36" ht="32.25" thickBot="1">
      <c r="A70" s="235"/>
      <c r="B70" s="225"/>
      <c r="C70" s="236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1"/>
      <c r="P70" s="191"/>
      <c r="Q70" s="192"/>
      <c r="R70" s="236"/>
      <c r="S70" s="191"/>
      <c r="T70" s="191"/>
      <c r="U70" s="191"/>
      <c r="V70" s="191"/>
      <c r="W70" s="190"/>
      <c r="X70" s="191"/>
      <c r="Y70" s="191"/>
      <c r="Z70" s="191"/>
      <c r="AA70" s="191"/>
      <c r="AB70" s="191"/>
      <c r="AC70" s="191"/>
      <c r="AD70" s="191"/>
      <c r="AE70" s="192"/>
      <c r="AF70" s="242" t="s">
        <v>91</v>
      </c>
      <c r="AG70" s="192"/>
      <c r="AH70" s="243">
        <f>+AH64+AH65+AH66+AH67+AH68+AH69</f>
        <v>300571820.75000012</v>
      </c>
      <c r="AI70" s="191"/>
    </row>
    <row r="71" spans="1:36" ht="32.25" thickTop="1">
      <c r="A71" s="235"/>
      <c r="B71" s="225"/>
      <c r="C71" s="236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1"/>
      <c r="P71" s="191"/>
      <c r="Q71" s="192"/>
      <c r="R71" s="236"/>
      <c r="S71" s="191"/>
      <c r="T71" s="191"/>
      <c r="U71" s="191"/>
      <c r="V71" s="191"/>
      <c r="W71" s="190"/>
      <c r="X71" s="191"/>
      <c r="Y71" s="191"/>
      <c r="Z71" s="191"/>
      <c r="AA71" s="191"/>
      <c r="AB71" s="191"/>
      <c r="AC71" s="191"/>
      <c r="AD71" s="191"/>
      <c r="AE71" s="191"/>
      <c r="AF71" s="192"/>
      <c r="AG71" s="240"/>
      <c r="AH71" s="240"/>
      <c r="AI71" s="191"/>
      <c r="AJ71" s="261"/>
    </row>
    <row r="72" spans="1:36">
      <c r="A72" s="235"/>
      <c r="B72" s="225"/>
      <c r="C72" s="236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1"/>
      <c r="P72" s="191"/>
      <c r="Q72" s="192"/>
      <c r="R72" s="236"/>
      <c r="S72" s="191"/>
      <c r="T72" s="191"/>
      <c r="U72" s="191"/>
      <c r="V72" s="191"/>
      <c r="W72" s="190"/>
      <c r="X72" s="191"/>
      <c r="Y72" s="191"/>
      <c r="Z72" s="191"/>
      <c r="AA72" s="191"/>
      <c r="AB72" s="191"/>
      <c r="AC72" s="191"/>
      <c r="AD72" s="191"/>
      <c r="AE72" s="191"/>
      <c r="AF72" s="192"/>
      <c r="AG72" s="240"/>
      <c r="AH72" s="240"/>
      <c r="AI72" s="191"/>
    </row>
    <row r="73" spans="1:36">
      <c r="A73" s="235"/>
      <c r="B73" s="225"/>
      <c r="C73" s="236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1"/>
      <c r="P73" s="191"/>
      <c r="Q73" s="192"/>
      <c r="R73" s="236"/>
      <c r="S73" s="191"/>
      <c r="T73" s="191"/>
      <c r="U73" s="191"/>
      <c r="V73" s="191"/>
      <c r="W73" s="190"/>
      <c r="X73" s="191"/>
      <c r="Y73" s="191"/>
      <c r="Z73" s="191"/>
      <c r="AA73" s="191"/>
      <c r="AB73" s="191"/>
      <c r="AC73" s="191"/>
      <c r="AD73" s="191"/>
      <c r="AE73" s="191"/>
      <c r="AF73" s="192"/>
      <c r="AG73" s="192"/>
      <c r="AH73" s="192"/>
      <c r="AI73" s="191"/>
    </row>
    <row r="74" spans="1:36">
      <c r="A74" s="235"/>
      <c r="B74" s="225"/>
      <c r="C74" s="236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1"/>
      <c r="P74" s="191"/>
      <c r="Q74" s="192"/>
      <c r="R74" s="236"/>
      <c r="S74" s="191"/>
      <c r="T74" s="191"/>
      <c r="U74" s="191"/>
      <c r="V74" s="191"/>
      <c r="W74" s="190"/>
      <c r="X74" s="191"/>
      <c r="Y74" s="191"/>
      <c r="Z74" s="191"/>
      <c r="AA74" s="191"/>
      <c r="AB74" s="191"/>
      <c r="AC74" s="191"/>
      <c r="AD74" s="191"/>
      <c r="AE74" s="191"/>
      <c r="AF74" s="192"/>
      <c r="AG74" s="192"/>
      <c r="AH74" s="192"/>
      <c r="AI74" s="191"/>
    </row>
    <row r="75" spans="1:36">
      <c r="A75" s="235"/>
      <c r="B75" s="225"/>
      <c r="C75" s="236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1"/>
      <c r="P75" s="191"/>
      <c r="Q75" s="192"/>
      <c r="R75" s="236"/>
      <c r="S75" s="191"/>
      <c r="T75" s="191"/>
      <c r="U75" s="191"/>
      <c r="V75" s="191"/>
      <c r="W75" s="190"/>
      <c r="X75" s="191"/>
      <c r="Y75" s="191"/>
      <c r="Z75" s="191"/>
      <c r="AA75" s="191"/>
      <c r="AB75" s="191"/>
      <c r="AC75" s="191"/>
      <c r="AD75" s="191"/>
      <c r="AE75" s="191"/>
      <c r="AF75" s="192"/>
      <c r="AG75" s="192"/>
      <c r="AH75" s="192"/>
      <c r="AI75" s="191"/>
    </row>
    <row r="76" spans="1:36">
      <c r="A76" s="235"/>
      <c r="B76" s="225"/>
      <c r="C76" s="236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1"/>
      <c r="P76" s="191"/>
      <c r="Q76" s="192"/>
      <c r="R76" s="236"/>
      <c r="S76" s="191"/>
      <c r="T76" s="191"/>
      <c r="U76" s="191"/>
      <c r="V76" s="191"/>
      <c r="W76" s="190"/>
      <c r="X76" s="191"/>
      <c r="Y76" s="191"/>
      <c r="Z76" s="191"/>
      <c r="AA76" s="191"/>
      <c r="AB76" s="191"/>
      <c r="AC76" s="191"/>
      <c r="AD76" s="191"/>
      <c r="AE76" s="191"/>
      <c r="AF76" s="192"/>
      <c r="AG76" s="192"/>
      <c r="AH76" s="192"/>
      <c r="AI76" s="191"/>
    </row>
    <row r="77" spans="1:36">
      <c r="A77" s="235"/>
      <c r="B77" s="225"/>
      <c r="C77" s="236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1"/>
      <c r="P77" s="191"/>
      <c r="Q77" s="192"/>
      <c r="R77" s="236"/>
      <c r="S77" s="191"/>
      <c r="T77" s="191"/>
      <c r="U77" s="191"/>
      <c r="V77" s="191"/>
      <c r="W77" s="190"/>
      <c r="X77" s="191"/>
      <c r="Y77" s="191"/>
      <c r="Z77" s="191"/>
      <c r="AA77" s="191"/>
      <c r="AB77" s="191"/>
      <c r="AC77" s="191"/>
      <c r="AD77" s="191"/>
      <c r="AE77" s="191"/>
      <c r="AF77" s="192"/>
      <c r="AG77" s="192"/>
      <c r="AH77" s="192"/>
      <c r="AI77" s="191"/>
    </row>
    <row r="78" spans="1:36">
      <c r="A78" s="235"/>
      <c r="B78" s="236"/>
      <c r="C78" s="236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1"/>
      <c r="P78" s="191"/>
      <c r="Q78" s="192"/>
      <c r="R78" s="236"/>
      <c r="S78" s="191"/>
      <c r="T78" s="191"/>
      <c r="U78" s="191"/>
      <c r="V78" s="191"/>
      <c r="W78" s="190"/>
      <c r="X78" s="191"/>
      <c r="Y78" s="191"/>
      <c r="Z78" s="191"/>
      <c r="AA78" s="191"/>
      <c r="AB78" s="191"/>
      <c r="AC78" s="191"/>
      <c r="AD78" s="191"/>
      <c r="AE78" s="191"/>
      <c r="AF78" s="192"/>
      <c r="AG78" s="192"/>
      <c r="AH78" s="192"/>
      <c r="AI78" s="191"/>
    </row>
    <row r="79" spans="1:36">
      <c r="A79" s="235"/>
      <c r="B79" s="225"/>
      <c r="C79" s="236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1"/>
      <c r="P79" s="191"/>
      <c r="Q79" s="192"/>
      <c r="R79" s="236"/>
      <c r="S79" s="191"/>
      <c r="T79" s="191"/>
      <c r="U79" s="191"/>
      <c r="V79" s="191"/>
      <c r="W79" s="190"/>
      <c r="X79" s="191"/>
      <c r="Y79" s="191"/>
      <c r="Z79" s="191"/>
      <c r="AA79" s="191"/>
      <c r="AB79" s="191"/>
      <c r="AC79" s="191"/>
      <c r="AD79" s="191"/>
      <c r="AE79" s="191"/>
      <c r="AF79" s="192"/>
      <c r="AG79" s="192"/>
      <c r="AH79" s="192"/>
      <c r="AI79" s="191"/>
    </row>
    <row r="80" spans="1:36">
      <c r="A80" s="235"/>
      <c r="B80" s="225"/>
      <c r="C80" s="236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1"/>
      <c r="P80" s="191"/>
      <c r="Q80" s="192"/>
      <c r="R80" s="236"/>
      <c r="S80" s="191"/>
      <c r="T80" s="191"/>
      <c r="U80" s="191"/>
      <c r="V80" s="191"/>
      <c r="W80" s="190"/>
      <c r="X80" s="191"/>
      <c r="Y80" s="191"/>
      <c r="Z80" s="191"/>
      <c r="AA80" s="191"/>
      <c r="AB80" s="191"/>
      <c r="AC80" s="191"/>
      <c r="AD80" s="191"/>
      <c r="AE80" s="191"/>
      <c r="AF80" s="192"/>
      <c r="AG80" s="192"/>
      <c r="AH80" s="192"/>
      <c r="AI80" s="191"/>
    </row>
    <row r="81" spans="1:35">
      <c r="A81" s="235"/>
      <c r="B81" s="225"/>
      <c r="C81" s="236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1"/>
      <c r="P81" s="191"/>
      <c r="Q81" s="192"/>
      <c r="R81" s="236"/>
      <c r="S81" s="191"/>
      <c r="T81" s="191"/>
      <c r="U81" s="191"/>
      <c r="V81" s="191"/>
      <c r="W81" s="190"/>
      <c r="X81" s="191"/>
      <c r="Y81" s="191"/>
      <c r="Z81" s="191"/>
      <c r="AA81" s="191"/>
      <c r="AB81" s="191"/>
      <c r="AC81" s="191"/>
      <c r="AD81" s="191"/>
      <c r="AE81" s="191"/>
      <c r="AF81" s="192"/>
      <c r="AG81" s="192"/>
      <c r="AH81" s="192"/>
      <c r="AI81" s="191"/>
    </row>
    <row r="82" spans="1:35">
      <c r="A82" s="235"/>
      <c r="B82" s="225"/>
      <c r="C82" s="236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1"/>
      <c r="P82" s="191"/>
      <c r="Q82" s="192"/>
      <c r="R82" s="236"/>
      <c r="S82" s="191"/>
      <c r="T82" s="191"/>
      <c r="U82" s="191"/>
      <c r="V82" s="191"/>
      <c r="W82" s="190"/>
      <c r="X82" s="191"/>
      <c r="Y82" s="191"/>
      <c r="Z82" s="191"/>
      <c r="AA82" s="191"/>
      <c r="AB82" s="191"/>
      <c r="AC82" s="191"/>
      <c r="AD82" s="191"/>
      <c r="AE82" s="191"/>
      <c r="AF82" s="192"/>
      <c r="AG82" s="192"/>
      <c r="AH82" s="192"/>
      <c r="AI82" s="191"/>
    </row>
    <row r="83" spans="1:35">
      <c r="A83" s="235"/>
      <c r="B83" s="225"/>
      <c r="C83" s="236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1"/>
      <c r="P83" s="191"/>
      <c r="Q83" s="192"/>
      <c r="R83" s="236"/>
      <c r="S83" s="191"/>
      <c r="T83" s="191"/>
      <c r="U83" s="191"/>
      <c r="V83" s="191"/>
      <c r="W83" s="190"/>
      <c r="X83" s="191"/>
      <c r="Y83" s="191"/>
      <c r="Z83" s="191"/>
      <c r="AA83" s="191"/>
      <c r="AB83" s="191"/>
      <c r="AC83" s="191"/>
      <c r="AD83" s="191"/>
      <c r="AE83" s="191"/>
      <c r="AF83" s="192"/>
      <c r="AG83" s="192"/>
      <c r="AH83" s="192"/>
      <c r="AI83" s="191"/>
    </row>
    <row r="84" spans="1:35">
      <c r="A84" s="235"/>
      <c r="B84" s="225"/>
      <c r="C84" s="236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1"/>
      <c r="P84" s="191"/>
      <c r="Q84" s="192"/>
      <c r="R84" s="236"/>
      <c r="S84" s="191"/>
      <c r="T84" s="191"/>
      <c r="U84" s="191"/>
      <c r="V84" s="191"/>
      <c r="W84" s="190"/>
      <c r="X84" s="191"/>
      <c r="Y84" s="191"/>
      <c r="Z84" s="191"/>
      <c r="AA84" s="191"/>
      <c r="AB84" s="191"/>
      <c r="AC84" s="191"/>
      <c r="AD84" s="191"/>
      <c r="AE84" s="191"/>
      <c r="AF84" s="192"/>
      <c r="AG84" s="192"/>
      <c r="AH84" s="192"/>
      <c r="AI84" s="191"/>
    </row>
    <row r="85" spans="1:35">
      <c r="A85" s="235"/>
      <c r="B85" s="225"/>
      <c r="C85" s="236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1"/>
      <c r="P85" s="191"/>
      <c r="Q85" s="192"/>
      <c r="R85" s="236"/>
      <c r="S85" s="191"/>
      <c r="T85" s="191"/>
      <c r="U85" s="191"/>
      <c r="V85" s="191"/>
      <c r="W85" s="190"/>
      <c r="X85" s="191"/>
      <c r="Y85" s="191"/>
      <c r="Z85" s="191"/>
      <c r="AA85" s="191"/>
      <c r="AB85" s="191"/>
      <c r="AC85" s="191"/>
      <c r="AD85" s="191"/>
      <c r="AE85" s="191"/>
      <c r="AF85" s="192"/>
      <c r="AG85" s="192"/>
      <c r="AH85" s="192"/>
      <c r="AI85" s="191"/>
    </row>
    <row r="86" spans="1:35">
      <c r="A86" s="235"/>
      <c r="B86" s="225"/>
      <c r="C86" s="236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1"/>
      <c r="P86" s="191"/>
      <c r="Q86" s="192"/>
      <c r="R86" s="236"/>
      <c r="S86" s="191"/>
      <c r="T86" s="191"/>
      <c r="U86" s="191"/>
      <c r="V86" s="191"/>
      <c r="W86" s="190"/>
      <c r="X86" s="191"/>
      <c r="Y86" s="191"/>
      <c r="Z86" s="191"/>
      <c r="AA86" s="191"/>
      <c r="AB86" s="191"/>
      <c r="AC86" s="191"/>
      <c r="AD86" s="191"/>
      <c r="AE86" s="191"/>
      <c r="AF86" s="192"/>
      <c r="AG86" s="192"/>
      <c r="AH86" s="192"/>
      <c r="AI86" s="191"/>
    </row>
    <row r="87" spans="1:35">
      <c r="A87" s="235"/>
      <c r="B87" s="225"/>
      <c r="C87" s="236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1"/>
      <c r="P87" s="191"/>
      <c r="Q87" s="192"/>
      <c r="R87" s="236"/>
      <c r="S87" s="191"/>
      <c r="T87" s="191"/>
      <c r="U87" s="191"/>
      <c r="V87" s="191"/>
      <c r="W87" s="190"/>
      <c r="X87" s="191"/>
      <c r="Y87" s="191"/>
      <c r="Z87" s="191"/>
      <c r="AA87" s="191"/>
      <c r="AB87" s="191"/>
      <c r="AC87" s="191"/>
      <c r="AD87" s="191"/>
      <c r="AE87" s="191"/>
      <c r="AF87" s="192"/>
      <c r="AG87" s="192"/>
      <c r="AH87" s="192"/>
      <c r="AI87" s="191"/>
    </row>
    <row r="88" spans="1:35">
      <c r="A88" s="235"/>
      <c r="B88" s="225"/>
      <c r="C88" s="236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1"/>
      <c r="P88" s="191"/>
      <c r="Q88" s="192"/>
      <c r="R88" s="236"/>
      <c r="S88" s="191"/>
      <c r="T88" s="191"/>
      <c r="U88" s="191"/>
      <c r="V88" s="191"/>
      <c r="W88" s="190"/>
      <c r="X88" s="191"/>
      <c r="Y88" s="191"/>
      <c r="Z88" s="191"/>
      <c r="AA88" s="191"/>
      <c r="AB88" s="191"/>
      <c r="AC88" s="191"/>
      <c r="AD88" s="191"/>
      <c r="AE88" s="191"/>
      <c r="AF88" s="192"/>
      <c r="AG88" s="192"/>
      <c r="AH88" s="192"/>
      <c r="AI88" s="191"/>
    </row>
    <row r="89" spans="1:35">
      <c r="A89" s="235"/>
      <c r="B89" s="225"/>
      <c r="C89" s="236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1"/>
      <c r="P89" s="191"/>
      <c r="Q89" s="192"/>
      <c r="R89" s="236"/>
      <c r="S89" s="191"/>
      <c r="T89" s="191"/>
      <c r="U89" s="191"/>
      <c r="V89" s="191"/>
      <c r="W89" s="190"/>
      <c r="X89" s="191"/>
      <c r="Y89" s="191"/>
      <c r="Z89" s="191"/>
      <c r="AA89" s="191"/>
      <c r="AB89" s="191"/>
      <c r="AC89" s="191"/>
      <c r="AD89" s="191"/>
      <c r="AE89" s="191"/>
      <c r="AF89" s="192"/>
      <c r="AG89" s="192"/>
      <c r="AH89" s="192"/>
      <c r="AI89" s="191"/>
    </row>
    <row r="90" spans="1:35">
      <c r="A90" s="235"/>
      <c r="B90" s="225"/>
      <c r="C90" s="236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1"/>
      <c r="P90" s="191"/>
      <c r="Q90" s="192"/>
      <c r="R90" s="236"/>
      <c r="S90" s="191"/>
      <c r="T90" s="191"/>
      <c r="U90" s="191"/>
      <c r="V90" s="191"/>
      <c r="W90" s="190"/>
      <c r="X90" s="191"/>
      <c r="Y90" s="191"/>
      <c r="Z90" s="191"/>
      <c r="AA90" s="191"/>
      <c r="AB90" s="191"/>
      <c r="AC90" s="191"/>
      <c r="AD90" s="191"/>
      <c r="AE90" s="191"/>
      <c r="AF90" s="192"/>
      <c r="AG90" s="192"/>
      <c r="AH90" s="192"/>
      <c r="AI90" s="191"/>
    </row>
    <row r="91" spans="1:35">
      <c r="A91" s="235"/>
      <c r="B91" s="225"/>
      <c r="C91" s="236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1"/>
      <c r="P91" s="191"/>
      <c r="Q91" s="192"/>
      <c r="R91" s="236"/>
      <c r="S91" s="191"/>
      <c r="T91" s="191"/>
      <c r="U91" s="191"/>
      <c r="V91" s="191"/>
      <c r="W91" s="190"/>
      <c r="X91" s="191"/>
      <c r="Y91" s="191"/>
      <c r="Z91" s="191"/>
      <c r="AA91" s="191"/>
      <c r="AB91" s="191"/>
      <c r="AC91" s="191"/>
      <c r="AD91" s="191"/>
      <c r="AE91" s="191"/>
      <c r="AF91" s="192"/>
      <c r="AG91" s="192"/>
      <c r="AH91" s="192"/>
      <c r="AI91" s="191"/>
    </row>
    <row r="92" spans="1:35">
      <c r="A92" s="235"/>
      <c r="B92" s="225"/>
      <c r="C92" s="236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1"/>
      <c r="P92" s="191"/>
      <c r="Q92" s="192"/>
      <c r="R92" s="236"/>
      <c r="S92" s="191"/>
      <c r="T92" s="191"/>
      <c r="U92" s="191"/>
      <c r="V92" s="191"/>
      <c r="W92" s="190"/>
      <c r="X92" s="191"/>
      <c r="Y92" s="191"/>
      <c r="Z92" s="191"/>
      <c r="AA92" s="191"/>
      <c r="AB92" s="191"/>
      <c r="AC92" s="191"/>
      <c r="AD92" s="191"/>
      <c r="AE92" s="191"/>
      <c r="AF92" s="192"/>
      <c r="AG92" s="192"/>
      <c r="AH92" s="192"/>
      <c r="AI92" s="191"/>
    </row>
    <row r="93" spans="1:35">
      <c r="A93" s="235"/>
      <c r="B93" s="225"/>
      <c r="C93" s="236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1"/>
      <c r="P93" s="191"/>
      <c r="Q93" s="192"/>
      <c r="R93" s="236"/>
      <c r="S93" s="191"/>
      <c r="T93" s="191"/>
      <c r="U93" s="191"/>
      <c r="V93" s="191"/>
      <c r="W93" s="190"/>
      <c r="X93" s="191"/>
      <c r="Y93" s="191"/>
      <c r="Z93" s="191"/>
      <c r="AA93" s="191"/>
      <c r="AB93" s="191"/>
      <c r="AC93" s="191"/>
      <c r="AD93" s="191"/>
      <c r="AE93" s="191"/>
      <c r="AF93" s="192"/>
      <c r="AG93" s="192"/>
      <c r="AH93" s="192"/>
      <c r="AI93" s="191"/>
    </row>
    <row r="94" spans="1:35">
      <c r="A94" s="235"/>
      <c r="B94" s="225"/>
      <c r="C94" s="236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1"/>
      <c r="P94" s="191"/>
      <c r="Q94" s="192"/>
      <c r="R94" s="236"/>
      <c r="S94" s="191"/>
      <c r="T94" s="191"/>
      <c r="U94" s="191"/>
      <c r="V94" s="191"/>
      <c r="W94" s="190"/>
      <c r="X94" s="191"/>
      <c r="Y94" s="191"/>
      <c r="Z94" s="191"/>
      <c r="AA94" s="191"/>
      <c r="AB94" s="191"/>
      <c r="AC94" s="191"/>
      <c r="AD94" s="191"/>
      <c r="AE94" s="191"/>
      <c r="AF94" s="192"/>
      <c r="AG94" s="192"/>
      <c r="AH94" s="192"/>
      <c r="AI94" s="191"/>
    </row>
    <row r="95" spans="1:35">
      <c r="A95" s="235"/>
      <c r="B95" s="225"/>
      <c r="C95" s="236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1"/>
      <c r="P95" s="191"/>
      <c r="Q95" s="192"/>
      <c r="R95" s="236"/>
      <c r="S95" s="191"/>
      <c r="T95" s="191"/>
      <c r="U95" s="191"/>
      <c r="V95" s="191"/>
      <c r="W95" s="190"/>
      <c r="X95" s="191"/>
      <c r="Y95" s="191"/>
      <c r="Z95" s="191"/>
      <c r="AA95" s="191"/>
      <c r="AB95" s="191"/>
      <c r="AC95" s="191"/>
      <c r="AD95" s="191"/>
      <c r="AE95" s="191"/>
      <c r="AF95" s="192"/>
      <c r="AG95" s="192"/>
      <c r="AH95" s="192"/>
      <c r="AI95" s="191"/>
    </row>
    <row r="96" spans="1:35">
      <c r="A96" s="235"/>
      <c r="B96" s="225"/>
      <c r="C96" s="236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1"/>
      <c r="P96" s="191"/>
      <c r="Q96" s="192"/>
      <c r="R96" s="236"/>
      <c r="S96" s="191"/>
      <c r="T96" s="191"/>
      <c r="U96" s="191"/>
      <c r="V96" s="191"/>
      <c r="W96" s="190"/>
      <c r="X96" s="191"/>
      <c r="Y96" s="191"/>
      <c r="Z96" s="191"/>
      <c r="AA96" s="191"/>
      <c r="AB96" s="191"/>
      <c r="AC96" s="191"/>
      <c r="AD96" s="191"/>
      <c r="AE96" s="191"/>
      <c r="AF96" s="192"/>
      <c r="AG96" s="192"/>
      <c r="AH96" s="192"/>
      <c r="AI96" s="191"/>
    </row>
    <row r="97" spans="1:35">
      <c r="A97" s="235"/>
      <c r="B97" s="225"/>
      <c r="C97" s="236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1"/>
      <c r="P97" s="191"/>
      <c r="Q97" s="192"/>
      <c r="R97" s="236"/>
      <c r="S97" s="191"/>
      <c r="T97" s="191"/>
      <c r="U97" s="191"/>
      <c r="V97" s="191"/>
      <c r="W97" s="190"/>
      <c r="X97" s="191"/>
      <c r="Y97" s="191"/>
      <c r="Z97" s="191"/>
      <c r="AA97" s="191"/>
      <c r="AB97" s="191"/>
      <c r="AC97" s="191"/>
      <c r="AD97" s="191"/>
      <c r="AE97" s="191"/>
      <c r="AF97" s="192"/>
      <c r="AG97" s="192"/>
      <c r="AH97" s="192"/>
      <c r="AI97" s="191"/>
    </row>
    <row r="98" spans="1:35">
      <c r="A98" s="235"/>
      <c r="B98" s="225"/>
      <c r="C98" s="236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1"/>
      <c r="P98" s="191"/>
      <c r="Q98" s="192"/>
      <c r="R98" s="236"/>
      <c r="S98" s="191"/>
      <c r="T98" s="191"/>
      <c r="U98" s="191"/>
      <c r="V98" s="191"/>
      <c r="W98" s="190"/>
      <c r="X98" s="191"/>
      <c r="Y98" s="191"/>
      <c r="Z98" s="191"/>
      <c r="AA98" s="191"/>
      <c r="AB98" s="191"/>
      <c r="AC98" s="191"/>
      <c r="AD98" s="191"/>
      <c r="AE98" s="191"/>
      <c r="AF98" s="192"/>
      <c r="AG98" s="192"/>
      <c r="AH98" s="192"/>
      <c r="AI98" s="191"/>
    </row>
    <row r="99" spans="1:35">
      <c r="A99" s="235"/>
      <c r="B99" s="225"/>
      <c r="C99" s="236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1"/>
      <c r="P99" s="191"/>
      <c r="Q99" s="192"/>
      <c r="R99" s="236"/>
      <c r="S99" s="191"/>
      <c r="T99" s="191"/>
      <c r="U99" s="191"/>
      <c r="V99" s="191"/>
      <c r="W99" s="190"/>
      <c r="X99" s="191"/>
      <c r="Y99" s="191"/>
      <c r="Z99" s="191"/>
      <c r="AA99" s="191"/>
      <c r="AB99" s="191"/>
      <c r="AC99" s="191"/>
      <c r="AD99" s="191"/>
      <c r="AE99" s="191"/>
      <c r="AF99" s="192"/>
      <c r="AG99" s="192"/>
      <c r="AH99" s="192"/>
      <c r="AI99" s="191"/>
    </row>
    <row r="100" spans="1:35">
      <c r="A100" s="235"/>
      <c r="B100" s="225"/>
      <c r="C100" s="236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1"/>
      <c r="P100" s="191"/>
      <c r="Q100" s="192"/>
      <c r="R100" s="236"/>
      <c r="S100" s="191"/>
      <c r="T100" s="191"/>
      <c r="U100" s="191"/>
      <c r="V100" s="191"/>
      <c r="W100" s="190"/>
      <c r="X100" s="191"/>
      <c r="Y100" s="191"/>
      <c r="Z100" s="191"/>
      <c r="AA100" s="191"/>
      <c r="AB100" s="191"/>
      <c r="AC100" s="191"/>
      <c r="AD100" s="191"/>
      <c r="AE100" s="191"/>
      <c r="AF100" s="192"/>
      <c r="AG100" s="192"/>
      <c r="AH100" s="192"/>
      <c r="AI100" s="191"/>
    </row>
    <row r="101" spans="1:35">
      <c r="A101" s="235"/>
      <c r="B101" s="225"/>
      <c r="C101" s="236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1"/>
      <c r="P101" s="191"/>
      <c r="Q101" s="192"/>
      <c r="R101" s="236"/>
      <c r="S101" s="191"/>
      <c r="T101" s="191"/>
      <c r="U101" s="191"/>
      <c r="V101" s="191"/>
      <c r="W101" s="190"/>
      <c r="X101" s="191"/>
      <c r="Y101" s="191"/>
      <c r="Z101" s="191"/>
      <c r="AA101" s="191"/>
      <c r="AB101" s="191"/>
      <c r="AC101" s="191"/>
      <c r="AD101" s="191"/>
      <c r="AE101" s="191"/>
      <c r="AF101" s="192"/>
      <c r="AG101" s="192"/>
      <c r="AH101" s="192"/>
      <c r="AI101" s="191"/>
    </row>
    <row r="102" spans="1:35">
      <c r="A102" s="235"/>
      <c r="B102" s="225"/>
      <c r="C102" s="236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1"/>
      <c r="P102" s="191"/>
      <c r="Q102" s="192"/>
      <c r="R102" s="236"/>
      <c r="S102" s="191"/>
      <c r="T102" s="191"/>
      <c r="U102" s="191"/>
      <c r="V102" s="191"/>
      <c r="W102" s="190"/>
      <c r="X102" s="191"/>
      <c r="Y102" s="191"/>
      <c r="Z102" s="191"/>
      <c r="AA102" s="191"/>
      <c r="AB102" s="191"/>
      <c r="AC102" s="191"/>
      <c r="AD102" s="191"/>
      <c r="AE102" s="191"/>
      <c r="AF102" s="192"/>
      <c r="AG102" s="192"/>
      <c r="AH102" s="192"/>
      <c r="AI102" s="191"/>
    </row>
    <row r="103" spans="1:35">
      <c r="A103" s="235"/>
      <c r="B103" s="225"/>
      <c r="C103" s="236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1"/>
      <c r="P103" s="191"/>
      <c r="Q103" s="192"/>
      <c r="R103" s="236"/>
      <c r="S103" s="191"/>
      <c r="T103" s="191"/>
      <c r="U103" s="191"/>
      <c r="V103" s="191"/>
      <c r="W103" s="190"/>
      <c r="X103" s="191"/>
      <c r="Y103" s="191"/>
      <c r="Z103" s="191"/>
      <c r="AA103" s="191"/>
      <c r="AB103" s="191"/>
      <c r="AC103" s="191"/>
      <c r="AD103" s="191"/>
      <c r="AE103" s="191"/>
      <c r="AF103" s="192"/>
      <c r="AG103" s="192"/>
      <c r="AH103" s="192"/>
      <c r="AI103" s="191"/>
    </row>
    <row r="104" spans="1:35">
      <c r="A104" s="235"/>
      <c r="B104" s="225"/>
      <c r="C104" s="236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1"/>
      <c r="P104" s="191"/>
      <c r="Q104" s="192"/>
      <c r="R104" s="236"/>
      <c r="S104" s="191"/>
      <c r="T104" s="191"/>
      <c r="U104" s="191"/>
      <c r="V104" s="191"/>
      <c r="W104" s="190"/>
      <c r="X104" s="191"/>
      <c r="Y104" s="191"/>
      <c r="Z104" s="191"/>
      <c r="AA104" s="191"/>
      <c r="AB104" s="191"/>
      <c r="AC104" s="191"/>
      <c r="AD104" s="191"/>
      <c r="AE104" s="191"/>
      <c r="AF104" s="192"/>
      <c r="AG104" s="192"/>
      <c r="AH104" s="192"/>
      <c r="AI104" s="191"/>
    </row>
    <row r="105" spans="1:35">
      <c r="A105" s="235"/>
      <c r="B105" s="225"/>
      <c r="C105" s="236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1"/>
      <c r="P105" s="191"/>
      <c r="Q105" s="192"/>
      <c r="R105" s="236"/>
      <c r="S105" s="191"/>
      <c r="T105" s="191"/>
      <c r="U105" s="191"/>
      <c r="V105" s="191"/>
      <c r="W105" s="190"/>
      <c r="X105" s="191"/>
      <c r="Y105" s="191"/>
      <c r="Z105" s="191"/>
      <c r="AA105" s="191"/>
      <c r="AB105" s="191"/>
      <c r="AC105" s="191"/>
      <c r="AD105" s="191"/>
      <c r="AE105" s="191"/>
      <c r="AF105" s="192"/>
      <c r="AG105" s="192"/>
      <c r="AH105" s="192"/>
      <c r="AI105" s="191"/>
    </row>
  </sheetData>
  <mergeCells count="3">
    <mergeCell ref="A1:B1"/>
    <mergeCell ref="A2:B2"/>
    <mergeCell ref="A3:B3"/>
  </mergeCells>
  <pageMargins left="0.86811023600000004" right="0" top="0.37" bottom="0.28999999999999998" header="0.31496062992126" footer="0.17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BN64"/>
  <sheetViews>
    <sheetView zoomScale="63" zoomScaleNormal="63" workbookViewId="0">
      <pane xSplit="2" topLeftCell="C1" activePane="topRight" state="frozen"/>
      <selection activeCell="L12" sqref="L12"/>
      <selection pane="topRight" activeCell="B27" sqref="B27:B31"/>
    </sheetView>
  </sheetViews>
  <sheetFormatPr defaultRowHeight="25.5"/>
  <cols>
    <col min="1" max="1" width="5.7265625" style="18" bestFit="1" customWidth="1"/>
    <col min="2" max="2" width="36.7265625" style="19" bestFit="1" customWidth="1"/>
    <col min="3" max="3" width="6.90625" style="59" bestFit="1" customWidth="1"/>
    <col min="4" max="4" width="12.90625" style="20" bestFit="1" customWidth="1"/>
    <col min="5" max="5" width="6.90625" style="34" bestFit="1" customWidth="1"/>
    <col min="6" max="6" width="12.90625" style="31" bestFit="1" customWidth="1"/>
    <col min="7" max="7" width="6.90625" style="34" bestFit="1" customWidth="1"/>
    <col min="8" max="8" width="12.90625" style="31" bestFit="1" customWidth="1"/>
    <col min="9" max="9" width="6.90625" style="34" customWidth="1"/>
    <col min="10" max="10" width="13.6328125" style="31" bestFit="1" customWidth="1"/>
    <col min="11" max="11" width="6.90625" style="34" bestFit="1" customWidth="1"/>
    <col min="12" max="12" width="12.90625" style="31" bestFit="1" customWidth="1"/>
    <col min="13" max="13" width="6.90625" style="34" bestFit="1" customWidth="1"/>
    <col min="14" max="14" width="12.90625" style="31" bestFit="1" customWidth="1"/>
    <col min="15" max="15" width="6.90625" style="34" bestFit="1" customWidth="1"/>
    <col min="16" max="16" width="12.90625" style="31" bestFit="1" customWidth="1"/>
    <col min="17" max="17" width="6.90625" style="34" bestFit="1" customWidth="1"/>
    <col min="18" max="18" width="12.90625" style="31" bestFit="1" customWidth="1"/>
    <col min="19" max="19" width="6.90625" style="34" bestFit="1" customWidth="1"/>
    <col min="20" max="20" width="12.90625" style="31" bestFit="1" customWidth="1"/>
    <col min="21" max="21" width="6.90625" style="34" bestFit="1" customWidth="1"/>
    <col min="22" max="22" width="13.6328125" style="31" bestFit="1" customWidth="1"/>
    <col min="23" max="23" width="6.90625" style="34" bestFit="1" customWidth="1"/>
    <col min="24" max="24" width="12.90625" style="31" bestFit="1" customWidth="1"/>
    <col min="25" max="25" width="6.90625" style="34" bestFit="1" customWidth="1"/>
    <col min="26" max="26" width="12.90625" style="31" bestFit="1" customWidth="1"/>
    <col min="27" max="27" width="6.90625" style="34" bestFit="1" customWidth="1"/>
    <col min="28" max="28" width="12.90625" bestFit="1" customWidth="1"/>
    <col min="29" max="29" width="6.90625" style="34" bestFit="1" customWidth="1"/>
    <col min="30" max="30" width="13.6328125" bestFit="1" customWidth="1"/>
    <col min="31" max="31" width="6.90625" style="34" bestFit="1" customWidth="1"/>
    <col min="32" max="32" width="13.6328125" style="22" bestFit="1" customWidth="1"/>
    <col min="33" max="33" width="6.90625" style="59" bestFit="1" customWidth="1"/>
    <col min="34" max="34" width="12.90625" style="20" bestFit="1" customWidth="1"/>
    <col min="35" max="35" width="6.90625" style="34" bestFit="1" customWidth="1"/>
    <col min="36" max="36" width="12.90625" bestFit="1" customWidth="1"/>
    <col min="37" max="37" width="6.90625" style="34" bestFit="1" customWidth="1"/>
    <col min="38" max="38" width="13.6328125" bestFit="1" customWidth="1"/>
    <col min="39" max="39" width="6.90625" style="34" bestFit="1" customWidth="1"/>
    <col min="40" max="40" width="12.90625" bestFit="1" customWidth="1"/>
    <col min="41" max="41" width="6.90625" style="34" customWidth="1"/>
    <col min="42" max="42" width="12.90625" bestFit="1" customWidth="1"/>
    <col min="43" max="43" width="6.90625" style="34" bestFit="1" customWidth="1"/>
    <col min="44" max="44" width="12.90625" customWidth="1"/>
    <col min="45" max="45" width="6.90625" style="34" bestFit="1" customWidth="1"/>
    <col min="46" max="46" width="12.90625" bestFit="1" customWidth="1"/>
    <col min="47" max="47" width="6.90625" style="34" bestFit="1" customWidth="1"/>
    <col min="48" max="48" width="11.36328125" bestFit="1" customWidth="1"/>
    <col min="49" max="49" width="6.90625" style="34" bestFit="1" customWidth="1"/>
    <col min="50" max="50" width="13.26953125" customWidth="1"/>
    <col min="51" max="51" width="6.90625" style="34" bestFit="1" customWidth="1"/>
    <col min="52" max="52" width="13.26953125" customWidth="1"/>
    <col min="53" max="53" width="6.90625" style="34" bestFit="1" customWidth="1"/>
    <col min="54" max="54" width="12.6328125" customWidth="1"/>
    <col min="55" max="55" width="6.90625" style="34" bestFit="1" customWidth="1"/>
    <col min="56" max="56" width="12.6328125" customWidth="1"/>
    <col min="57" max="57" width="6.90625" style="34" bestFit="1" customWidth="1"/>
    <col min="58" max="58" width="12.6328125" customWidth="1"/>
    <col min="59" max="59" width="6.90625" style="34" bestFit="1" customWidth="1"/>
    <col min="60" max="60" width="12.6328125" customWidth="1"/>
    <col min="61" max="61" width="5.08984375" style="34" customWidth="1"/>
    <col min="62" max="62" width="12.6328125" style="22" customWidth="1"/>
    <col min="63" max="63" width="5.08984375" style="34" customWidth="1"/>
    <col min="64" max="64" width="12.6328125" style="22" customWidth="1"/>
    <col min="65" max="65" width="9.7265625" style="61" bestFit="1" customWidth="1"/>
    <col min="66" max="66" width="14.90625" style="22" bestFit="1" customWidth="1"/>
  </cols>
  <sheetData>
    <row r="1" spans="1:66">
      <c r="A1" s="283" t="s">
        <v>0</v>
      </c>
      <c r="B1" s="284"/>
      <c r="C1" s="62"/>
      <c r="D1" s="28"/>
      <c r="AG1" s="57"/>
      <c r="AH1" s="21"/>
    </row>
    <row r="2" spans="1:66">
      <c r="A2" s="285" t="s">
        <v>181</v>
      </c>
      <c r="B2" s="286"/>
      <c r="C2" s="63"/>
      <c r="D2" s="29"/>
      <c r="AG2" s="58"/>
      <c r="AH2" s="23"/>
    </row>
    <row r="3" spans="1:66">
      <c r="A3" s="287" t="s">
        <v>39</v>
      </c>
      <c r="B3" s="282"/>
      <c r="C3" s="281" t="s">
        <v>150</v>
      </c>
      <c r="D3" s="282"/>
      <c r="E3" s="281" t="s">
        <v>151</v>
      </c>
      <c r="F3" s="282"/>
      <c r="G3" s="281" t="s">
        <v>152</v>
      </c>
      <c r="H3" s="282"/>
      <c r="I3" s="281" t="s">
        <v>153</v>
      </c>
      <c r="J3" s="282"/>
      <c r="K3" s="281" t="s">
        <v>154</v>
      </c>
      <c r="L3" s="282"/>
      <c r="M3" s="281" t="s">
        <v>155</v>
      </c>
      <c r="N3" s="282"/>
      <c r="O3" s="281" t="s">
        <v>156</v>
      </c>
      <c r="P3" s="282"/>
      <c r="Q3" s="281" t="s">
        <v>157</v>
      </c>
      <c r="R3" s="282"/>
      <c r="S3" s="281" t="s">
        <v>158</v>
      </c>
      <c r="T3" s="282"/>
      <c r="U3" s="281" t="s">
        <v>159</v>
      </c>
      <c r="V3" s="282"/>
      <c r="W3" s="281" t="s">
        <v>160</v>
      </c>
      <c r="X3" s="282"/>
      <c r="Y3" s="281" t="s">
        <v>161</v>
      </c>
      <c r="Z3" s="282"/>
      <c r="AA3" s="281" t="s">
        <v>162</v>
      </c>
      <c r="AB3" s="282"/>
      <c r="AC3" s="281" t="s">
        <v>163</v>
      </c>
      <c r="AD3" s="282"/>
      <c r="AE3" s="281" t="s">
        <v>164</v>
      </c>
      <c r="AF3" s="282"/>
      <c r="AG3" s="287" t="s">
        <v>165</v>
      </c>
      <c r="AH3" s="282"/>
      <c r="AI3" s="287" t="s">
        <v>166</v>
      </c>
      <c r="AJ3" s="282"/>
      <c r="AK3" s="287" t="s">
        <v>167</v>
      </c>
      <c r="AL3" s="282"/>
      <c r="AM3" s="287" t="s">
        <v>168</v>
      </c>
      <c r="AN3" s="282"/>
      <c r="AO3" s="287" t="s">
        <v>169</v>
      </c>
      <c r="AP3" s="282"/>
      <c r="AQ3" s="287" t="s">
        <v>170</v>
      </c>
      <c r="AR3" s="282"/>
      <c r="AS3" s="287" t="s">
        <v>171</v>
      </c>
      <c r="AT3" s="282"/>
      <c r="AU3" s="287" t="s">
        <v>172</v>
      </c>
      <c r="AV3" s="282"/>
      <c r="AW3" s="287" t="s">
        <v>173</v>
      </c>
      <c r="AX3" s="282"/>
      <c r="AY3" s="287" t="s">
        <v>174</v>
      </c>
      <c r="AZ3" s="282"/>
      <c r="BA3" s="287" t="s">
        <v>175</v>
      </c>
      <c r="BB3" s="282"/>
      <c r="BC3" s="287" t="s">
        <v>176</v>
      </c>
      <c r="BD3" s="282"/>
      <c r="BE3" s="287" t="s">
        <v>177</v>
      </c>
      <c r="BF3" s="282"/>
      <c r="BG3" s="287" t="s">
        <v>178</v>
      </c>
      <c r="BH3" s="282"/>
      <c r="BI3" s="287" t="s">
        <v>179</v>
      </c>
      <c r="BJ3" s="282"/>
      <c r="BK3" s="287" t="s">
        <v>180</v>
      </c>
      <c r="BL3" s="282"/>
      <c r="BM3" s="287" t="s">
        <v>48</v>
      </c>
      <c r="BN3" s="282"/>
    </row>
    <row r="4" spans="1:66">
      <c r="A4" s="2" t="s">
        <v>1</v>
      </c>
      <c r="B4" s="2" t="s">
        <v>2</v>
      </c>
      <c r="C4" s="35" t="s">
        <v>40</v>
      </c>
      <c r="D4" s="3" t="s">
        <v>4</v>
      </c>
      <c r="E4" s="35" t="s">
        <v>40</v>
      </c>
      <c r="F4" s="3" t="s">
        <v>4</v>
      </c>
      <c r="G4" s="35" t="s">
        <v>40</v>
      </c>
      <c r="H4" s="3" t="s">
        <v>4</v>
      </c>
      <c r="I4" s="35" t="s">
        <v>40</v>
      </c>
      <c r="J4" s="3" t="s">
        <v>4</v>
      </c>
      <c r="K4" s="35" t="s">
        <v>40</v>
      </c>
      <c r="L4" s="3" t="s">
        <v>4</v>
      </c>
      <c r="M4" s="35" t="s">
        <v>40</v>
      </c>
      <c r="N4" s="3" t="s">
        <v>4</v>
      </c>
      <c r="O4" s="35" t="s">
        <v>40</v>
      </c>
      <c r="P4" s="3" t="s">
        <v>4</v>
      </c>
      <c r="Q4" s="35" t="s">
        <v>40</v>
      </c>
      <c r="R4" s="3" t="s">
        <v>4</v>
      </c>
      <c r="S4" s="35" t="s">
        <v>40</v>
      </c>
      <c r="T4" s="3" t="s">
        <v>4</v>
      </c>
      <c r="U4" s="35" t="s">
        <v>40</v>
      </c>
      <c r="V4" s="3" t="s">
        <v>4</v>
      </c>
      <c r="W4" s="35" t="s">
        <v>40</v>
      </c>
      <c r="X4" s="3" t="s">
        <v>4</v>
      </c>
      <c r="Y4" s="35" t="s">
        <v>40</v>
      </c>
      <c r="Z4" s="3" t="s">
        <v>4</v>
      </c>
      <c r="AA4" s="35" t="s">
        <v>40</v>
      </c>
      <c r="AB4" s="3" t="s">
        <v>4</v>
      </c>
      <c r="AC4" s="35" t="s">
        <v>40</v>
      </c>
      <c r="AD4" s="3" t="s">
        <v>4</v>
      </c>
      <c r="AE4" s="35" t="s">
        <v>40</v>
      </c>
      <c r="AF4" s="24" t="s">
        <v>4</v>
      </c>
      <c r="AG4" s="35" t="s">
        <v>40</v>
      </c>
      <c r="AH4" s="3" t="s">
        <v>4</v>
      </c>
      <c r="AI4" s="35" t="s">
        <v>40</v>
      </c>
      <c r="AJ4" s="3" t="s">
        <v>4</v>
      </c>
      <c r="AK4" s="35" t="s">
        <v>40</v>
      </c>
      <c r="AL4" s="3" t="s">
        <v>4</v>
      </c>
      <c r="AM4" s="35" t="s">
        <v>40</v>
      </c>
      <c r="AN4" s="3" t="s">
        <v>4</v>
      </c>
      <c r="AO4" s="35" t="s">
        <v>40</v>
      </c>
      <c r="AP4" s="3" t="s">
        <v>4</v>
      </c>
      <c r="AQ4" s="35" t="s">
        <v>40</v>
      </c>
      <c r="AR4" s="3" t="s">
        <v>4</v>
      </c>
      <c r="AS4" s="35" t="s">
        <v>40</v>
      </c>
      <c r="AT4" s="3" t="s">
        <v>4</v>
      </c>
      <c r="AU4" s="35" t="s">
        <v>40</v>
      </c>
      <c r="AV4" s="3" t="s">
        <v>4</v>
      </c>
      <c r="AW4" s="35" t="s">
        <v>40</v>
      </c>
      <c r="AX4" s="3" t="s">
        <v>4</v>
      </c>
      <c r="AY4" s="35" t="s">
        <v>40</v>
      </c>
      <c r="AZ4" s="3" t="s">
        <v>4</v>
      </c>
      <c r="BA4" s="35" t="s">
        <v>40</v>
      </c>
      <c r="BB4" s="3" t="s">
        <v>4</v>
      </c>
      <c r="BC4" s="35" t="s">
        <v>40</v>
      </c>
      <c r="BD4" s="3" t="s">
        <v>4</v>
      </c>
      <c r="BE4" s="35" t="s">
        <v>40</v>
      </c>
      <c r="BF4" s="3" t="s">
        <v>4</v>
      </c>
      <c r="BG4" s="35" t="s">
        <v>40</v>
      </c>
      <c r="BH4" s="3" t="s">
        <v>4</v>
      </c>
      <c r="BI4" s="35" t="s">
        <v>40</v>
      </c>
      <c r="BJ4" s="24" t="s">
        <v>4</v>
      </c>
      <c r="BK4" s="35" t="s">
        <v>40</v>
      </c>
      <c r="BL4" s="24" t="s">
        <v>4</v>
      </c>
      <c r="BM4" s="35" t="s">
        <v>40</v>
      </c>
      <c r="BN4" s="24" t="s">
        <v>4</v>
      </c>
    </row>
    <row r="5" spans="1:66">
      <c r="A5" s="4">
        <v>1</v>
      </c>
      <c r="B5" s="5" t="s">
        <v>5</v>
      </c>
      <c r="C5" s="36">
        <f>+'01'!C4</f>
        <v>0</v>
      </c>
      <c r="D5" s="7">
        <f>+'01'!D4</f>
        <v>0</v>
      </c>
      <c r="E5" s="36">
        <f>+'02'!C4</f>
        <v>0</v>
      </c>
      <c r="F5" s="7">
        <f>+'02'!D4</f>
        <v>0</v>
      </c>
      <c r="G5" s="36">
        <f>+'03'!C4</f>
        <v>0</v>
      </c>
      <c r="H5" s="7">
        <f>+'03'!D4</f>
        <v>0</v>
      </c>
      <c r="I5" s="36">
        <f>+'04'!C4</f>
        <v>0</v>
      </c>
      <c r="J5" s="7">
        <f>+'04'!D4</f>
        <v>0</v>
      </c>
      <c r="K5" s="36">
        <f>+'05'!C4</f>
        <v>0</v>
      </c>
      <c r="L5" s="7">
        <f>+'05'!D4</f>
        <v>0</v>
      </c>
      <c r="M5" s="36">
        <f>+'06'!C4</f>
        <v>0</v>
      </c>
      <c r="N5" s="7">
        <f>+'06'!D4</f>
        <v>0</v>
      </c>
      <c r="O5" s="36">
        <f>+'07'!C4</f>
        <v>0</v>
      </c>
      <c r="P5" s="7">
        <f>+'06'!D4</f>
        <v>0</v>
      </c>
      <c r="Q5" s="36">
        <f>+'08'!C4</f>
        <v>0</v>
      </c>
      <c r="R5" s="7">
        <f>+'08'!D4</f>
        <v>0</v>
      </c>
      <c r="S5" s="36">
        <f>+'09'!C4</f>
        <v>0</v>
      </c>
      <c r="T5" s="7">
        <f>+'09'!D4</f>
        <v>0</v>
      </c>
      <c r="U5" s="36">
        <f>+'10'!C4</f>
        <v>0</v>
      </c>
      <c r="V5" s="7">
        <f>+'10'!D4</f>
        <v>0</v>
      </c>
      <c r="W5" s="36">
        <f>+'11'!C4</f>
        <v>0</v>
      </c>
      <c r="X5" s="7">
        <f>+'11'!D4</f>
        <v>0</v>
      </c>
      <c r="Y5" s="36">
        <f>+'12'!C4</f>
        <v>0</v>
      </c>
      <c r="Z5" s="7">
        <f>+'12'!D4</f>
        <v>0</v>
      </c>
      <c r="AA5" s="36">
        <f>+'13'!C4</f>
        <v>0</v>
      </c>
      <c r="AB5" s="7">
        <f>+'13'!D4</f>
        <v>0</v>
      </c>
      <c r="AC5" s="36">
        <f>+'14'!C4</f>
        <v>0</v>
      </c>
      <c r="AD5" s="7">
        <f>+'14'!D4</f>
        <v>0</v>
      </c>
      <c r="AE5" s="36">
        <f>+'15'!C4</f>
        <v>0</v>
      </c>
      <c r="AF5" s="7">
        <f>+'15'!D4</f>
        <v>0</v>
      </c>
      <c r="AG5" s="36">
        <f>+'16'!C4</f>
        <v>0</v>
      </c>
      <c r="AH5" s="7">
        <f>+'16'!D4</f>
        <v>0</v>
      </c>
      <c r="AI5" s="36">
        <f>+'17'!C4</f>
        <v>0</v>
      </c>
      <c r="AJ5" s="7">
        <f>+'17'!D4</f>
        <v>0</v>
      </c>
      <c r="AK5" s="36">
        <f>+'18'!C4</f>
        <v>0</v>
      </c>
      <c r="AL5" s="7">
        <f>+'18'!D4</f>
        <v>0</v>
      </c>
      <c r="AM5" s="36">
        <f>+'19'!C4</f>
        <v>0</v>
      </c>
      <c r="AN5" s="36">
        <f>+'19'!D4</f>
        <v>0</v>
      </c>
      <c r="AO5" s="36">
        <f>+'20'!C4</f>
        <v>0</v>
      </c>
      <c r="AP5" s="36">
        <f>+'20'!D4</f>
        <v>0</v>
      </c>
      <c r="AQ5" s="36">
        <f>+'21'!C4</f>
        <v>0</v>
      </c>
      <c r="AR5" s="36">
        <f>+'21'!D4</f>
        <v>0</v>
      </c>
      <c r="AS5" s="36">
        <f>+'22'!C4</f>
        <v>0</v>
      </c>
      <c r="AT5" s="36">
        <f>+'22'!D4</f>
        <v>0</v>
      </c>
      <c r="AU5" s="36">
        <f>+'23'!C4</f>
        <v>0</v>
      </c>
      <c r="AV5" s="36">
        <f>+'23'!D4</f>
        <v>0</v>
      </c>
      <c r="AW5" s="36">
        <f>+'24'!C4</f>
        <v>0</v>
      </c>
      <c r="AX5" s="36">
        <f>+'24'!D4</f>
        <v>0</v>
      </c>
      <c r="AY5" s="36">
        <f>+'25'!C4</f>
        <v>0</v>
      </c>
      <c r="AZ5" s="36">
        <f>+'25'!D4</f>
        <v>0</v>
      </c>
      <c r="BA5" s="36">
        <f>+'26'!C4</f>
        <v>0</v>
      </c>
      <c r="BB5" s="36">
        <f>+'26'!D4</f>
        <v>0</v>
      </c>
      <c r="BC5" s="36">
        <f>+'27'!C4</f>
        <v>0</v>
      </c>
      <c r="BD5" s="36">
        <f>+'27'!D4</f>
        <v>0</v>
      </c>
      <c r="BE5" s="36">
        <f>+'28'!C4</f>
        <v>0</v>
      </c>
      <c r="BF5" s="36">
        <f>+'28'!D4</f>
        <v>0</v>
      </c>
      <c r="BG5" s="36">
        <f>+'29'!C4</f>
        <v>0</v>
      </c>
      <c r="BH5" s="36">
        <f>+'29'!D4</f>
        <v>0</v>
      </c>
      <c r="BI5" s="36">
        <f>+'30'!C4</f>
        <v>0</v>
      </c>
      <c r="BJ5" s="36">
        <f>+'30'!D4</f>
        <v>0</v>
      </c>
      <c r="BK5" s="36">
        <f>+'31'!C4</f>
        <v>0</v>
      </c>
      <c r="BL5" s="36">
        <f>+'31'!D4</f>
        <v>0</v>
      </c>
      <c r="BM5" s="36">
        <f>+C5+E5+G5+I5+K5+M5+O5+Q5+S5+U5+W5+Y5+AA5+AC5+AE5+AG5+AI5+AK5+AM5+AO5+AQ5+AS5+AU5+AW5+AY5+BA5+BC5+BE5+BG5+BI5+BK5</f>
        <v>0</v>
      </c>
      <c r="BN5" s="56">
        <f>+D5+F5+H5+J5+L5+N5+P5+R5+T5+V5+X5+Z5+AB5+AD5+AF5+AH5+AJ5+AL5+AN5+AP5+AR5+AT5+AV5+AX5+AZ5+BB5+BD5+BF5+BH5+BJ5+BL5</f>
        <v>0</v>
      </c>
    </row>
    <row r="6" spans="1:66">
      <c r="A6" s="4">
        <v>2</v>
      </c>
      <c r="B6" s="5" t="s">
        <v>6</v>
      </c>
      <c r="C6" s="36">
        <f>+'01'!C5</f>
        <v>0</v>
      </c>
      <c r="D6" s="56">
        <f>+'01'!D5</f>
        <v>0</v>
      </c>
      <c r="E6" s="36">
        <f>+'02'!C5</f>
        <v>0</v>
      </c>
      <c r="F6" s="7">
        <f>+'02'!D5</f>
        <v>0</v>
      </c>
      <c r="G6" s="36">
        <f>+'03'!C5</f>
        <v>0</v>
      </c>
      <c r="H6" s="7">
        <f>+'03'!D5</f>
        <v>0</v>
      </c>
      <c r="I6" s="36">
        <f>+'04'!C5</f>
        <v>0</v>
      </c>
      <c r="J6" s="7">
        <f>+'04'!D5</f>
        <v>0</v>
      </c>
      <c r="K6" s="36">
        <f>+'05'!C5</f>
        <v>0</v>
      </c>
      <c r="L6" s="7">
        <f>+'05'!D5</f>
        <v>0</v>
      </c>
      <c r="M6" s="36">
        <f>+'06'!C5</f>
        <v>0</v>
      </c>
      <c r="N6" s="7">
        <f>+'06'!D5</f>
        <v>0</v>
      </c>
      <c r="O6" s="36">
        <f>+'07'!C5</f>
        <v>0</v>
      </c>
      <c r="P6" s="7">
        <f>+'06'!D5</f>
        <v>0</v>
      </c>
      <c r="Q6" s="36">
        <f>+'08'!C5</f>
        <v>0</v>
      </c>
      <c r="R6" s="7">
        <f>+'08'!D5</f>
        <v>0</v>
      </c>
      <c r="S6" s="36">
        <f>+'09'!C5</f>
        <v>0</v>
      </c>
      <c r="T6" s="7">
        <f>+'09'!D5</f>
        <v>0</v>
      </c>
      <c r="U6" s="36">
        <f>+'10'!C5</f>
        <v>0</v>
      </c>
      <c r="V6" s="7">
        <f>+'10'!D5</f>
        <v>0</v>
      </c>
      <c r="W6" s="36">
        <f>+'11'!C5</f>
        <v>0</v>
      </c>
      <c r="X6" s="7">
        <f>+'11'!D5</f>
        <v>0</v>
      </c>
      <c r="Y6" s="36">
        <f>+'12'!C5</f>
        <v>0</v>
      </c>
      <c r="Z6" s="7">
        <f>+'12'!D5</f>
        <v>0</v>
      </c>
      <c r="AA6" s="36">
        <f>+'13'!C5</f>
        <v>0</v>
      </c>
      <c r="AB6" s="7">
        <f>+'13'!D5</f>
        <v>0</v>
      </c>
      <c r="AC6" s="36">
        <f>+'14'!C5</f>
        <v>0</v>
      </c>
      <c r="AD6" s="7">
        <f>+'14'!D5</f>
        <v>0</v>
      </c>
      <c r="AE6" s="36">
        <f>+'15'!C5</f>
        <v>0</v>
      </c>
      <c r="AF6" s="7">
        <f>+'15'!D5</f>
        <v>0</v>
      </c>
      <c r="AG6" s="36">
        <f>+'16'!C5</f>
        <v>0</v>
      </c>
      <c r="AH6" s="7">
        <f>+'16'!D5</f>
        <v>0</v>
      </c>
      <c r="AI6" s="36">
        <f>+'17'!C5</f>
        <v>0</v>
      </c>
      <c r="AJ6" s="7">
        <f>+'17'!D5</f>
        <v>0</v>
      </c>
      <c r="AK6" s="36">
        <f>+'18'!C5</f>
        <v>0</v>
      </c>
      <c r="AL6" s="7">
        <f>+'18'!D5</f>
        <v>0</v>
      </c>
      <c r="AM6" s="36">
        <f>+'19'!C5</f>
        <v>0</v>
      </c>
      <c r="AN6" s="36">
        <f>+'19'!D5</f>
        <v>0</v>
      </c>
      <c r="AO6" s="36">
        <f>+'20'!C5</f>
        <v>0</v>
      </c>
      <c r="AP6" s="36">
        <f>+'20'!D5</f>
        <v>0</v>
      </c>
      <c r="AQ6" s="36">
        <f>+'21'!C5</f>
        <v>0</v>
      </c>
      <c r="AR6" s="36">
        <f>+'21'!D5</f>
        <v>0</v>
      </c>
      <c r="AS6" s="36">
        <f>+'22'!C5</f>
        <v>0</v>
      </c>
      <c r="AT6" s="36">
        <f>+'22'!D5</f>
        <v>0</v>
      </c>
      <c r="AU6" s="36">
        <f>+'23'!C5</f>
        <v>0</v>
      </c>
      <c r="AV6" s="36">
        <f>+'23'!D5</f>
        <v>0</v>
      </c>
      <c r="AW6" s="36">
        <f>+'24'!C5</f>
        <v>0</v>
      </c>
      <c r="AX6" s="36">
        <f>+'24'!D5</f>
        <v>0</v>
      </c>
      <c r="AY6" s="36">
        <f>+'25'!C5</f>
        <v>0</v>
      </c>
      <c r="AZ6" s="36">
        <f>+'25'!D5</f>
        <v>0</v>
      </c>
      <c r="BA6" s="36">
        <f>+'26'!C5</f>
        <v>0</v>
      </c>
      <c r="BB6" s="36">
        <f>+'26'!D5</f>
        <v>0</v>
      </c>
      <c r="BC6" s="36">
        <f>+'27'!C5</f>
        <v>0</v>
      </c>
      <c r="BD6" s="36">
        <f>+'27'!D5</f>
        <v>0</v>
      </c>
      <c r="BE6" s="36">
        <f>+'28'!C5</f>
        <v>0</v>
      </c>
      <c r="BF6" s="36">
        <f>+'28'!D5</f>
        <v>0</v>
      </c>
      <c r="BG6" s="36">
        <f>+'29'!C5</f>
        <v>0</v>
      </c>
      <c r="BH6" s="36">
        <f>+'29'!D5</f>
        <v>0</v>
      </c>
      <c r="BI6" s="36">
        <f>+'30'!C5</f>
        <v>0</v>
      </c>
      <c r="BJ6" s="36">
        <f>+'30'!D5</f>
        <v>0</v>
      </c>
      <c r="BK6" s="36">
        <f>+'31'!C5</f>
        <v>0</v>
      </c>
      <c r="BL6" s="36">
        <f>+'31'!D5</f>
        <v>0</v>
      </c>
      <c r="BM6" s="36">
        <f t="shared" ref="BM6:BM47" si="0">+C6+E6+G6+I6+K6+M6+O6+Q6+S6+U6+W6+Y6+AA6+AC6+AE6+AG6+AI6+AK6+AM6+AO6+AQ6+AS6+AU6+AW6+AY6+BA6+BC6+BE6+BG6+BI6+BK6</f>
        <v>0</v>
      </c>
      <c r="BN6" s="56">
        <f t="shared" ref="BN6:BN47" si="1">+D6+F6+H6+J6+L6+N6+P6+R6+T6+V6+X6+Z6+AB6+AD6+AF6+AH6+AJ6+AL6+AN6+AP6+AR6+AT6+AV6+AX6+AZ6+BB6+BD6+BF6+BH6+BJ6+BL6</f>
        <v>0</v>
      </c>
    </row>
    <row r="7" spans="1:66" s="65" customFormat="1" ht="20.25">
      <c r="A7" s="32">
        <v>3</v>
      </c>
      <c r="B7" s="64" t="s">
        <v>7</v>
      </c>
      <c r="C7" s="38">
        <f>+'01'!C6</f>
        <v>354</v>
      </c>
      <c r="D7" s="60">
        <f>+'01'!D6</f>
        <v>1196065.3500000001</v>
      </c>
      <c r="E7" s="38">
        <f>+'02'!C6</f>
        <v>351</v>
      </c>
      <c r="F7" s="33">
        <f>+'02'!D6</f>
        <v>991915.36</v>
      </c>
      <c r="G7" s="38">
        <f>+'03'!C6</f>
        <v>21</v>
      </c>
      <c r="H7" s="33">
        <f>+'03'!D6</f>
        <v>1013029.39</v>
      </c>
      <c r="I7" s="38">
        <f>+'04'!C6</f>
        <v>285</v>
      </c>
      <c r="J7" s="33">
        <f>+'04'!D6</f>
        <v>1091659.6100000001</v>
      </c>
      <c r="K7" s="38">
        <f>+'05'!C6</f>
        <v>46</v>
      </c>
      <c r="L7" s="33">
        <f>+'05'!D6</f>
        <v>201880</v>
      </c>
      <c r="M7" s="38">
        <f>+'06'!C6</f>
        <v>127</v>
      </c>
      <c r="N7" s="33">
        <f>+'06'!D6</f>
        <v>258386.09</v>
      </c>
      <c r="O7" s="38">
        <f>+'07'!C6</f>
        <v>384</v>
      </c>
      <c r="P7" s="33">
        <f>+'07'!D6</f>
        <v>1297943.49</v>
      </c>
      <c r="Q7" s="38">
        <f>+'08'!C6</f>
        <v>401</v>
      </c>
      <c r="R7" s="33">
        <f>+'08'!D6</f>
        <v>996194.45</v>
      </c>
      <c r="S7" s="38">
        <f>+'09'!C6</f>
        <v>344</v>
      </c>
      <c r="T7" s="33">
        <f>+'09'!D6</f>
        <v>1017542.35</v>
      </c>
      <c r="U7" s="38">
        <f>+'10'!C6</f>
        <v>386</v>
      </c>
      <c r="V7" s="33">
        <f>+'10'!D6</f>
        <v>1108876.3500000001</v>
      </c>
      <c r="W7" s="38">
        <f>+'11'!C6</f>
        <v>389</v>
      </c>
      <c r="X7" s="33">
        <f>+'11'!D6</f>
        <v>986978.24</v>
      </c>
      <c r="Y7" s="38">
        <f>+'12'!C6</f>
        <v>30</v>
      </c>
      <c r="Z7" s="33">
        <f>+'12'!D6</f>
        <v>110870.75</v>
      </c>
      <c r="AA7" s="38">
        <f>+'13'!C6</f>
        <v>130</v>
      </c>
      <c r="AB7" s="33">
        <f>+'13'!D6</f>
        <v>170846.61</v>
      </c>
      <c r="AC7" s="38">
        <f>+'14'!C6</f>
        <v>263</v>
      </c>
      <c r="AD7" s="33">
        <f>+'14'!D6</f>
        <v>1018355.86</v>
      </c>
      <c r="AE7" s="38">
        <f>+'15'!C6</f>
        <v>409</v>
      </c>
      <c r="AF7" s="33">
        <f>+'15'!D6</f>
        <v>1274832.07</v>
      </c>
      <c r="AG7" s="38">
        <f>+'16'!C6</f>
        <v>355</v>
      </c>
      <c r="AH7" s="33">
        <f>+'16'!D6</f>
        <v>1008976.24</v>
      </c>
      <c r="AI7" s="38">
        <f>+'17'!C6</f>
        <v>374</v>
      </c>
      <c r="AJ7" s="33">
        <f>+'17'!D6</f>
        <v>839863.98</v>
      </c>
      <c r="AK7" s="38">
        <f>+'18'!C6</f>
        <v>386</v>
      </c>
      <c r="AL7" s="33">
        <f>+'18'!D6</f>
        <v>1122239.24</v>
      </c>
      <c r="AM7" s="38">
        <f>+'19'!C6</f>
        <v>43</v>
      </c>
      <c r="AN7" s="38">
        <f>+'19'!D6</f>
        <v>193825.25</v>
      </c>
      <c r="AO7" s="38">
        <f>+'20'!C6</f>
        <v>121</v>
      </c>
      <c r="AP7" s="38">
        <f>+'20'!D6</f>
        <v>329834.84999999998</v>
      </c>
      <c r="AQ7" s="38">
        <f>+'21'!C6</f>
        <v>273</v>
      </c>
      <c r="AR7" s="38">
        <f>+'21'!D6</f>
        <v>913597.87</v>
      </c>
      <c r="AS7" s="38">
        <f>+'22'!C6</f>
        <v>415</v>
      </c>
      <c r="AT7" s="38">
        <f>+'22'!D6</f>
        <v>1218743.8400000001</v>
      </c>
      <c r="AU7" s="38">
        <f>+'23'!C6</f>
        <v>328</v>
      </c>
      <c r="AV7" s="38">
        <f>+'23'!D6</f>
        <v>913086.85</v>
      </c>
      <c r="AW7" s="38">
        <f>+'24'!C6</f>
        <v>377</v>
      </c>
      <c r="AX7" s="38">
        <f>+'24'!D6</f>
        <v>859308.97</v>
      </c>
      <c r="AY7" s="38">
        <f>+'25'!C6</f>
        <v>385</v>
      </c>
      <c r="AZ7" s="38">
        <f>+'25'!D6</f>
        <v>1081041.8500000001</v>
      </c>
      <c r="BA7" s="38">
        <f>+'26'!C6</f>
        <v>101</v>
      </c>
      <c r="BB7" s="38">
        <f>+'26'!D6</f>
        <v>355204.73</v>
      </c>
      <c r="BC7" s="38">
        <f>+'27'!C6</f>
        <v>64</v>
      </c>
      <c r="BD7" s="38">
        <f>+'27'!D6</f>
        <v>137010.5</v>
      </c>
      <c r="BE7" s="38">
        <f>+'28'!C6</f>
        <v>290</v>
      </c>
      <c r="BF7" s="38">
        <f>+'28'!D6</f>
        <v>1149593</v>
      </c>
      <c r="BG7" s="38">
        <f>+'29'!C6</f>
        <v>369</v>
      </c>
      <c r="BH7" s="38">
        <f>+'29'!D6</f>
        <v>1021933.09</v>
      </c>
      <c r="BI7" s="38">
        <f>+'30'!C6</f>
        <v>357</v>
      </c>
      <c r="BJ7" s="38">
        <f>+'30'!D6</f>
        <v>1282664</v>
      </c>
      <c r="BK7" s="38">
        <f>+'31'!C6</f>
        <v>0</v>
      </c>
      <c r="BL7" s="38">
        <f>+'31'!D6</f>
        <v>0</v>
      </c>
      <c r="BM7" s="38">
        <f t="shared" si="0"/>
        <v>8158</v>
      </c>
      <c r="BN7" s="60">
        <f t="shared" si="1"/>
        <v>25162300.23</v>
      </c>
    </row>
    <row r="8" spans="1:66" s="65" customFormat="1" ht="20.25">
      <c r="A8" s="32"/>
      <c r="B8" s="64" t="s">
        <v>8</v>
      </c>
      <c r="C8" s="38">
        <f>+'01'!C8</f>
        <v>0</v>
      </c>
      <c r="D8" s="60">
        <f>+'01'!D8</f>
        <v>0</v>
      </c>
      <c r="E8" s="38">
        <f>+'02'!C8</f>
        <v>0</v>
      </c>
      <c r="F8" s="33">
        <f>+'02'!D8</f>
        <v>0</v>
      </c>
      <c r="G8" s="38">
        <f>+'03'!C8</f>
        <v>0</v>
      </c>
      <c r="H8" s="33">
        <f>+'03'!D8</f>
        <v>0</v>
      </c>
      <c r="I8" s="38">
        <f>+'04'!C8</f>
        <v>0</v>
      </c>
      <c r="J8" s="33">
        <f>+'04'!D8</f>
        <v>0</v>
      </c>
      <c r="K8" s="38">
        <f>+'05'!C8</f>
        <v>0</v>
      </c>
      <c r="L8" s="33">
        <f>+'05'!D8</f>
        <v>0</v>
      </c>
      <c r="M8" s="38">
        <f>+'06'!C8</f>
        <v>0</v>
      </c>
      <c r="N8" s="33">
        <f>+'06'!D8</f>
        <v>0</v>
      </c>
      <c r="O8" s="38">
        <f>+'07'!C8</f>
        <v>0</v>
      </c>
      <c r="P8" s="33">
        <f>+'07'!D8</f>
        <v>0</v>
      </c>
      <c r="Q8" s="38">
        <f>+'08'!C8</f>
        <v>0</v>
      </c>
      <c r="R8" s="33">
        <f>+'08'!D8</f>
        <v>0</v>
      </c>
      <c r="S8" s="38">
        <f>+'09'!C8</f>
        <v>0</v>
      </c>
      <c r="T8" s="33">
        <f>+'09'!D8</f>
        <v>0</v>
      </c>
      <c r="U8" s="38">
        <f>+'10'!C8</f>
        <v>0</v>
      </c>
      <c r="V8" s="33">
        <f>+'10'!D8</f>
        <v>0</v>
      </c>
      <c r="W8" s="38">
        <f>+'11'!C8</f>
        <v>0</v>
      </c>
      <c r="X8" s="33">
        <f>+'11'!D8</f>
        <v>0</v>
      </c>
      <c r="Y8" s="38">
        <f>+'12'!C8</f>
        <v>0</v>
      </c>
      <c r="Z8" s="33">
        <f>+'12'!D8</f>
        <v>0</v>
      </c>
      <c r="AA8" s="38">
        <f>+'13'!C8</f>
        <v>0</v>
      </c>
      <c r="AB8" s="33">
        <f>+'13'!D8</f>
        <v>0</v>
      </c>
      <c r="AC8" s="38">
        <f>+'14'!C8</f>
        <v>0</v>
      </c>
      <c r="AD8" s="33">
        <f>+'14'!D8</f>
        <v>0</v>
      </c>
      <c r="AE8" s="38">
        <f>+'15'!C8</f>
        <v>0</v>
      </c>
      <c r="AF8" s="33">
        <f>+'15'!D8</f>
        <v>0</v>
      </c>
      <c r="AG8" s="38">
        <f>+'16'!C8</f>
        <v>0</v>
      </c>
      <c r="AH8" s="33">
        <f>+'16'!D8</f>
        <v>0</v>
      </c>
      <c r="AI8" s="38">
        <f>+'17'!C8</f>
        <v>0</v>
      </c>
      <c r="AJ8" s="33">
        <f>+'17'!D8</f>
        <v>0</v>
      </c>
      <c r="AK8" s="38">
        <f>+'18'!C8</f>
        <v>0</v>
      </c>
      <c r="AL8" s="33">
        <f>+'18'!D8</f>
        <v>0</v>
      </c>
      <c r="AM8" s="38">
        <f>+'19'!C8</f>
        <v>0</v>
      </c>
      <c r="AN8" s="38">
        <f>+'19'!D8</f>
        <v>0</v>
      </c>
      <c r="AO8" s="38">
        <f>+'20'!C8</f>
        <v>0</v>
      </c>
      <c r="AP8" s="38">
        <f>+'20'!D8</f>
        <v>0</v>
      </c>
      <c r="AQ8" s="38">
        <f>+'21'!C8</f>
        <v>0</v>
      </c>
      <c r="AR8" s="38">
        <f>+'21'!D8</f>
        <v>0</v>
      </c>
      <c r="AS8" s="38">
        <f>+'22'!C8</f>
        <v>0</v>
      </c>
      <c r="AT8" s="38">
        <f>+'22'!D8</f>
        <v>0</v>
      </c>
      <c r="AU8" s="38">
        <f>+'23'!C8</f>
        <v>0</v>
      </c>
      <c r="AV8" s="38">
        <f>+'23'!D8</f>
        <v>0</v>
      </c>
      <c r="AW8" s="38">
        <f>+'24'!C8</f>
        <v>0</v>
      </c>
      <c r="AX8" s="38">
        <f>+'24'!D8</f>
        <v>0</v>
      </c>
      <c r="AY8" s="38">
        <f>+'25'!C8</f>
        <v>0</v>
      </c>
      <c r="AZ8" s="38">
        <f>+'25'!D8</f>
        <v>0</v>
      </c>
      <c r="BA8" s="38">
        <f>+'26'!C8</f>
        <v>0</v>
      </c>
      <c r="BB8" s="38">
        <f>+'26'!D8</f>
        <v>0</v>
      </c>
      <c r="BC8" s="38">
        <f>+'27'!C8</f>
        <v>0</v>
      </c>
      <c r="BD8" s="38">
        <f>+'27'!D8</f>
        <v>0</v>
      </c>
      <c r="BE8" s="38">
        <f>+'28'!C8</f>
        <v>0</v>
      </c>
      <c r="BF8" s="38">
        <f>+'28'!D8</f>
        <v>0</v>
      </c>
      <c r="BG8" s="38">
        <f>+'29'!C8</f>
        <v>0</v>
      </c>
      <c r="BH8" s="38">
        <f>+'29'!D8</f>
        <v>0</v>
      </c>
      <c r="BI8" s="38">
        <f>+'30'!C8</f>
        <v>0</v>
      </c>
      <c r="BJ8" s="38">
        <f>+'30'!D8</f>
        <v>0</v>
      </c>
      <c r="BK8" s="38">
        <f>+'31'!C8</f>
        <v>0</v>
      </c>
      <c r="BL8" s="38">
        <f>+'31'!D8</f>
        <v>0</v>
      </c>
      <c r="BM8" s="38">
        <f t="shared" si="0"/>
        <v>0</v>
      </c>
      <c r="BN8" s="60">
        <f t="shared" si="1"/>
        <v>0</v>
      </c>
    </row>
    <row r="9" spans="1:66" s="65" customFormat="1" ht="20.25">
      <c r="A9" s="32">
        <v>4</v>
      </c>
      <c r="B9" s="64" t="s">
        <v>9</v>
      </c>
      <c r="C9" s="38">
        <f>+'01'!C9</f>
        <v>1</v>
      </c>
      <c r="D9" s="60">
        <f>+'01'!D9</f>
        <v>14625.57</v>
      </c>
      <c r="E9" s="38">
        <f>+'02'!C9</f>
        <v>1</v>
      </c>
      <c r="F9" s="33">
        <f>+'02'!D9</f>
        <v>10241.75</v>
      </c>
      <c r="G9" s="38">
        <f>+'03'!C9</f>
        <v>5</v>
      </c>
      <c r="H9" s="33">
        <f>+'03'!D9</f>
        <v>1002440.27</v>
      </c>
      <c r="I9" s="38">
        <f>+'04'!C9</f>
        <v>8</v>
      </c>
      <c r="J9" s="33">
        <f>+'04'!D9</f>
        <v>301960.53999999998</v>
      </c>
      <c r="K9" s="38">
        <f>+'05'!C9</f>
        <v>13</v>
      </c>
      <c r="L9" s="33">
        <f>+'05'!D9</f>
        <v>2011182.78</v>
      </c>
      <c r="M9" s="38">
        <f>+'06'!C9</f>
        <v>4</v>
      </c>
      <c r="N9" s="33">
        <f>+'06'!D9</f>
        <v>119707.28</v>
      </c>
      <c r="O9" s="38">
        <f>+'07'!C9</f>
        <v>6</v>
      </c>
      <c r="P9" s="33">
        <f>+'07'!D9</f>
        <v>395076.87</v>
      </c>
      <c r="Q9" s="38">
        <f>+'08'!C9</f>
        <v>2</v>
      </c>
      <c r="R9" s="33">
        <f>+'08'!D9</f>
        <v>39275.5</v>
      </c>
      <c r="S9" s="38">
        <f>+'09'!C9</f>
        <v>18</v>
      </c>
      <c r="T9" s="33">
        <f>+'09'!D9</f>
        <v>606366.98</v>
      </c>
      <c r="U9" s="38">
        <f>+'10'!C9</f>
        <v>16</v>
      </c>
      <c r="V9" s="33">
        <f>+'10'!D9</f>
        <v>520167.66</v>
      </c>
      <c r="W9" s="38">
        <f>+'11'!C9</f>
        <v>11</v>
      </c>
      <c r="X9" s="33">
        <f>+'11'!D9</f>
        <v>511836.05</v>
      </c>
      <c r="Y9" s="38">
        <f>+'12'!C9</f>
        <v>4</v>
      </c>
      <c r="Z9" s="33">
        <f>+'12'!D9</f>
        <v>97675.5</v>
      </c>
      <c r="AA9" s="38">
        <f>+'13'!C9</f>
        <v>5</v>
      </c>
      <c r="AB9" s="33">
        <f>+'13'!D9</f>
        <v>355525.54</v>
      </c>
      <c r="AC9" s="38">
        <f>+'14'!C9</f>
        <v>6</v>
      </c>
      <c r="AD9" s="33">
        <f>+'14'!D9</f>
        <v>601392.47</v>
      </c>
      <c r="AE9" s="38">
        <f>+'15'!C9</f>
        <v>9</v>
      </c>
      <c r="AF9" s="33">
        <f>+'15'!D9</f>
        <v>274115</v>
      </c>
      <c r="AG9" s="38">
        <f>+'16'!C9</f>
        <v>11</v>
      </c>
      <c r="AH9" s="33">
        <f>+'16'!D9</f>
        <v>679335.82</v>
      </c>
      <c r="AI9" s="38">
        <f>+'17'!C9</f>
        <v>17</v>
      </c>
      <c r="AJ9" s="33">
        <f>+'17'!D9</f>
        <v>745840.03</v>
      </c>
      <c r="AK9" s="38">
        <f>+'18'!C9</f>
        <v>9</v>
      </c>
      <c r="AL9" s="33">
        <f>+'18'!D9</f>
        <v>624372.93999999994</v>
      </c>
      <c r="AM9" s="38">
        <f>+'19'!C9</f>
        <v>12</v>
      </c>
      <c r="AN9" s="38">
        <f>+'19'!D9</f>
        <v>318129</v>
      </c>
      <c r="AO9" s="38">
        <f>+'20'!C9</f>
        <v>7</v>
      </c>
      <c r="AP9" s="38">
        <f>+'20'!D9</f>
        <v>241412.25</v>
      </c>
      <c r="AQ9" s="38">
        <f>+'21'!C9</f>
        <v>6</v>
      </c>
      <c r="AR9" s="38">
        <f>+'21'!D9</f>
        <v>227948.23</v>
      </c>
      <c r="AS9" s="38">
        <f>+'22'!C9</f>
        <v>8</v>
      </c>
      <c r="AT9" s="38">
        <f>+'22'!D9</f>
        <v>506953.09</v>
      </c>
      <c r="AU9" s="38">
        <f>+'23'!C9</f>
        <v>11</v>
      </c>
      <c r="AV9" s="38">
        <f>+'23'!D9</f>
        <v>263419.78999999998</v>
      </c>
      <c r="AW9" s="38">
        <f>+'24'!C9</f>
        <v>12</v>
      </c>
      <c r="AX9" s="38">
        <f>+'24'!D9</f>
        <v>1076649.96</v>
      </c>
      <c r="AY9" s="38">
        <f>+'25'!C9</f>
        <v>15</v>
      </c>
      <c r="AZ9" s="38">
        <f>+'25'!D9</f>
        <v>378301.64</v>
      </c>
      <c r="BA9" s="38">
        <f>+'26'!C9</f>
        <v>14</v>
      </c>
      <c r="BB9" s="38">
        <f>+'26'!D9</f>
        <v>652944.31000000006</v>
      </c>
      <c r="BC9" s="38">
        <f>+'27'!C9</f>
        <v>5</v>
      </c>
      <c r="BD9" s="38">
        <f>+'27'!D9</f>
        <v>242887.03</v>
      </c>
      <c r="BE9" s="38">
        <f>+'28'!C9</f>
        <v>8</v>
      </c>
      <c r="BF9" s="38">
        <f>+'28'!D9</f>
        <v>403418.64</v>
      </c>
      <c r="BG9" s="38">
        <f>+'29'!C9</f>
        <v>12</v>
      </c>
      <c r="BH9" s="38">
        <f>+'29'!D9</f>
        <v>198262.26</v>
      </c>
      <c r="BI9" s="38">
        <f>+'30'!C9</f>
        <v>10</v>
      </c>
      <c r="BJ9" s="38">
        <f>+'30'!D9</f>
        <v>314636.63</v>
      </c>
      <c r="BK9" s="38">
        <f>+'31'!C9</f>
        <v>0</v>
      </c>
      <c r="BL9" s="38">
        <f>+'31'!D9</f>
        <v>0</v>
      </c>
      <c r="BM9" s="38">
        <f t="shared" si="0"/>
        <v>266</v>
      </c>
      <c r="BN9" s="60">
        <f t="shared" si="1"/>
        <v>13736101.380000003</v>
      </c>
    </row>
    <row r="10" spans="1:66" s="65" customFormat="1" ht="20.25">
      <c r="A10" s="32"/>
      <c r="B10" s="64" t="s">
        <v>10</v>
      </c>
      <c r="C10" s="38">
        <f>+'01'!C11</f>
        <v>0</v>
      </c>
      <c r="D10" s="60">
        <f>+'01'!D11</f>
        <v>0</v>
      </c>
      <c r="E10" s="38">
        <f>+'02'!C11</f>
        <v>0</v>
      </c>
      <c r="F10" s="33">
        <f>+'02'!D11</f>
        <v>0</v>
      </c>
      <c r="G10" s="38">
        <f>+'03'!C11</f>
        <v>0</v>
      </c>
      <c r="H10" s="33">
        <f>+'03'!D11</f>
        <v>0</v>
      </c>
      <c r="I10" s="38">
        <f>+'04'!C11</f>
        <v>0</v>
      </c>
      <c r="J10" s="33">
        <f>+'04'!D11</f>
        <v>0</v>
      </c>
      <c r="K10" s="38">
        <f>+'05'!C11</f>
        <v>0</v>
      </c>
      <c r="L10" s="33">
        <f>+'05'!D11</f>
        <v>0</v>
      </c>
      <c r="M10" s="38">
        <f>+'06'!C11</f>
        <v>0</v>
      </c>
      <c r="N10" s="33">
        <f>+'06'!D11</f>
        <v>0</v>
      </c>
      <c r="O10" s="38">
        <f>+'07'!C11</f>
        <v>0</v>
      </c>
      <c r="P10" s="33">
        <f>+'07'!D11</f>
        <v>0</v>
      </c>
      <c r="Q10" s="38">
        <f>+'08'!C11</f>
        <v>0</v>
      </c>
      <c r="R10" s="33">
        <f>+'08'!D11</f>
        <v>0</v>
      </c>
      <c r="S10" s="38">
        <f>+'09'!C11</f>
        <v>0</v>
      </c>
      <c r="T10" s="33">
        <f>+'09'!D11</f>
        <v>0</v>
      </c>
      <c r="U10" s="38">
        <f>+'10'!C11</f>
        <v>0</v>
      </c>
      <c r="V10" s="33">
        <f>+'10'!D11</f>
        <v>0</v>
      </c>
      <c r="W10" s="38">
        <f>+'11'!C11</f>
        <v>0</v>
      </c>
      <c r="X10" s="33">
        <f>+'11'!D11</f>
        <v>0</v>
      </c>
      <c r="Y10" s="38">
        <f>+'12'!C11</f>
        <v>0</v>
      </c>
      <c r="Z10" s="33">
        <f>+'12'!D11</f>
        <v>0</v>
      </c>
      <c r="AA10" s="38">
        <f>+'13'!C11</f>
        <v>0</v>
      </c>
      <c r="AB10" s="33">
        <f>+'13'!D11</f>
        <v>0</v>
      </c>
      <c r="AC10" s="38">
        <f>+'14'!C11</f>
        <v>0</v>
      </c>
      <c r="AD10" s="33">
        <f>+'14'!D11</f>
        <v>0</v>
      </c>
      <c r="AE10" s="38">
        <f>+'15'!C11</f>
        <v>0</v>
      </c>
      <c r="AF10" s="33">
        <f>+'15'!D11</f>
        <v>0</v>
      </c>
      <c r="AG10" s="38">
        <f>+'16'!C11</f>
        <v>0</v>
      </c>
      <c r="AH10" s="33">
        <f>+'16'!D11</f>
        <v>0</v>
      </c>
      <c r="AI10" s="38">
        <f>+'17'!C11</f>
        <v>0</v>
      </c>
      <c r="AJ10" s="33">
        <f>+'17'!D11</f>
        <v>0</v>
      </c>
      <c r="AK10" s="38">
        <f>+'18'!C11</f>
        <v>0</v>
      </c>
      <c r="AL10" s="33">
        <f>+'18'!D11</f>
        <v>0</v>
      </c>
      <c r="AM10" s="38">
        <f>+'19'!C11</f>
        <v>1</v>
      </c>
      <c r="AN10" s="38">
        <f>+'19'!D11</f>
        <v>24110</v>
      </c>
      <c r="AO10" s="38">
        <f>+'20'!C11</f>
        <v>0</v>
      </c>
      <c r="AP10" s="38">
        <f>+'20'!D11</f>
        <v>0</v>
      </c>
      <c r="AQ10" s="38">
        <f>+'21'!C11</f>
        <v>0</v>
      </c>
      <c r="AR10" s="38">
        <f>+'21'!D11</f>
        <v>0</v>
      </c>
      <c r="AS10" s="38">
        <f>+'22'!C11</f>
        <v>0</v>
      </c>
      <c r="AT10" s="38">
        <f>+'22'!D11</f>
        <v>0</v>
      </c>
      <c r="AU10" s="38">
        <f>+'23'!C11</f>
        <v>0</v>
      </c>
      <c r="AV10" s="38">
        <f>+'23'!D11</f>
        <v>0</v>
      </c>
      <c r="AW10" s="38">
        <f>+'24'!C11</f>
        <v>1</v>
      </c>
      <c r="AX10" s="38">
        <f>+'24'!D11</f>
        <v>33072</v>
      </c>
      <c r="AY10" s="38">
        <f>+'25'!C11</f>
        <v>1</v>
      </c>
      <c r="AZ10" s="38">
        <f>+'25'!D11</f>
        <v>8392</v>
      </c>
      <c r="BA10" s="38">
        <f>+'26'!C11</f>
        <v>0</v>
      </c>
      <c r="BB10" s="38">
        <f>+'26'!D11</f>
        <v>0</v>
      </c>
      <c r="BC10" s="38">
        <f>+'27'!C11</f>
        <v>1</v>
      </c>
      <c r="BD10" s="38">
        <f>+'27'!D11</f>
        <v>18548</v>
      </c>
      <c r="BE10" s="38">
        <f>+'28'!C11</f>
        <v>0</v>
      </c>
      <c r="BF10" s="38">
        <f>+'28'!D11</f>
        <v>0</v>
      </c>
      <c r="BG10" s="38">
        <f>+'29'!C11</f>
        <v>0</v>
      </c>
      <c r="BH10" s="38">
        <f>+'29'!D11</f>
        <v>0</v>
      </c>
      <c r="BI10" s="38">
        <f>+'30'!C11</f>
        <v>0</v>
      </c>
      <c r="BJ10" s="38">
        <f>+'30'!D11</f>
        <v>0</v>
      </c>
      <c r="BK10" s="38">
        <f>+'31'!C11</f>
        <v>0</v>
      </c>
      <c r="BL10" s="38">
        <f>+'31'!D11</f>
        <v>0</v>
      </c>
      <c r="BM10" s="38">
        <f t="shared" si="0"/>
        <v>4</v>
      </c>
      <c r="BN10" s="60">
        <f t="shared" si="1"/>
        <v>84122</v>
      </c>
    </row>
    <row r="11" spans="1:66" s="65" customFormat="1" ht="20.25">
      <c r="A11" s="32">
        <v>5</v>
      </c>
      <c r="B11" s="64" t="s">
        <v>41</v>
      </c>
      <c r="C11" s="38">
        <f>+'01'!C12</f>
        <v>76</v>
      </c>
      <c r="D11" s="60">
        <f>+'01'!D12</f>
        <v>250757</v>
      </c>
      <c r="E11" s="38">
        <f>+'02'!C12</f>
        <v>56</v>
      </c>
      <c r="F11" s="33">
        <f>+'02'!D12</f>
        <v>204218.5</v>
      </c>
      <c r="G11" s="38">
        <f>+'03'!C12</f>
        <v>55</v>
      </c>
      <c r="H11" s="33">
        <f>+'03'!D12</f>
        <v>99684.5</v>
      </c>
      <c r="I11" s="38">
        <f>+'04'!C12</f>
        <v>59</v>
      </c>
      <c r="J11" s="33">
        <f>+'04'!D12</f>
        <v>173171.75</v>
      </c>
      <c r="K11" s="38">
        <f>+'05'!C12</f>
        <v>11</v>
      </c>
      <c r="L11" s="33">
        <f>+'05'!D12</f>
        <v>8111.5</v>
      </c>
      <c r="M11" s="38">
        <f>+'06'!C12</f>
        <v>3</v>
      </c>
      <c r="N11" s="33">
        <f>+'06'!D12</f>
        <v>2595</v>
      </c>
      <c r="O11" s="38">
        <f>+'07'!C12</f>
        <v>57</v>
      </c>
      <c r="P11" s="33">
        <f>+'07'!D12</f>
        <v>194220.5</v>
      </c>
      <c r="Q11" s="38">
        <f>+'08'!C12</f>
        <v>47</v>
      </c>
      <c r="R11" s="33">
        <f>+'08'!D12</f>
        <v>148808.5</v>
      </c>
      <c r="S11" s="38">
        <f>+'09'!C12</f>
        <v>59</v>
      </c>
      <c r="T11" s="33">
        <f>+'09'!D12</f>
        <v>221222.5</v>
      </c>
      <c r="U11" s="38">
        <f>+'10'!C12</f>
        <v>62</v>
      </c>
      <c r="V11" s="33">
        <f>+'10'!D12</f>
        <v>98994.25</v>
      </c>
      <c r="W11" s="38">
        <f>+'11'!C12</f>
        <v>43</v>
      </c>
      <c r="X11" s="33">
        <f>+'11'!D12</f>
        <v>101994.75</v>
      </c>
      <c r="Y11" s="38">
        <f>+'12'!C12</f>
        <v>8</v>
      </c>
      <c r="Z11" s="33">
        <f>+'12'!D12</f>
        <v>11465.25</v>
      </c>
      <c r="AA11" s="38">
        <f>+'13'!C12</f>
        <v>3</v>
      </c>
      <c r="AB11" s="33">
        <f>+'13'!D12</f>
        <v>1080</v>
      </c>
      <c r="AC11" s="38">
        <f>+'14'!C12</f>
        <v>47</v>
      </c>
      <c r="AD11" s="33">
        <f>+'14'!D12</f>
        <v>99846.75</v>
      </c>
      <c r="AE11" s="38">
        <f>+'15'!C12</f>
        <v>63</v>
      </c>
      <c r="AF11" s="33">
        <f>+'15'!D12</f>
        <v>152161</v>
      </c>
      <c r="AG11" s="38">
        <f>+'16'!C12</f>
        <v>55</v>
      </c>
      <c r="AH11" s="33">
        <f>+'16'!D12</f>
        <v>206032</v>
      </c>
      <c r="AI11" s="38">
        <f>+'17'!C12</f>
        <v>59</v>
      </c>
      <c r="AJ11" s="33">
        <f>+'17'!D12</f>
        <v>116098.5</v>
      </c>
      <c r="AK11" s="38">
        <f>+'18'!C12</f>
        <v>59</v>
      </c>
      <c r="AL11" s="33">
        <f>+'18'!D12</f>
        <v>152679.75</v>
      </c>
      <c r="AM11" s="38">
        <f>+'19'!C12</f>
        <v>9</v>
      </c>
      <c r="AN11" s="38">
        <f>+'19'!D12</f>
        <v>31056</v>
      </c>
      <c r="AO11" s="38">
        <f>+'20'!C12</f>
        <v>3</v>
      </c>
      <c r="AP11" s="38">
        <f>+'20'!D12</f>
        <v>1965</v>
      </c>
      <c r="AQ11" s="38">
        <f>+'21'!C12</f>
        <v>40</v>
      </c>
      <c r="AR11" s="38">
        <f>+'21'!D12</f>
        <v>135374.75</v>
      </c>
      <c r="AS11" s="38">
        <f>+'22'!C12</f>
        <v>67</v>
      </c>
      <c r="AT11" s="38">
        <f>+'22'!D12</f>
        <v>189018</v>
      </c>
      <c r="AU11" s="38">
        <f>+'23'!C12</f>
        <v>48</v>
      </c>
      <c r="AV11" s="38">
        <f>+'23'!D12</f>
        <v>114224.25</v>
      </c>
      <c r="AW11" s="38">
        <f>+'24'!C12</f>
        <v>42</v>
      </c>
      <c r="AX11" s="38">
        <f>+'24'!D12</f>
        <v>84758.25</v>
      </c>
      <c r="AY11" s="38">
        <f>+'25'!C12</f>
        <v>45</v>
      </c>
      <c r="AZ11" s="38">
        <f>+'25'!D12</f>
        <v>98683.24</v>
      </c>
      <c r="BA11" s="38">
        <f>+'26'!C12</f>
        <v>8</v>
      </c>
      <c r="BB11" s="38">
        <f>+'26'!D12</f>
        <v>31477.75</v>
      </c>
      <c r="BC11" s="38">
        <f>+'27'!C12</f>
        <v>3</v>
      </c>
      <c r="BD11" s="38">
        <f>+'27'!D12</f>
        <v>990</v>
      </c>
      <c r="BE11" s="38">
        <f>+'28'!C12</f>
        <v>60</v>
      </c>
      <c r="BF11" s="38">
        <f>+'28'!D12</f>
        <v>184521</v>
      </c>
      <c r="BG11" s="38">
        <f>+'29'!C12</f>
        <v>67</v>
      </c>
      <c r="BH11" s="38">
        <f>+'29'!D12</f>
        <v>160522.5</v>
      </c>
      <c r="BI11" s="38">
        <f>+'30'!C12</f>
        <v>48</v>
      </c>
      <c r="BJ11" s="38">
        <f>+'30'!D12</f>
        <v>235698.87</v>
      </c>
      <c r="BK11" s="38">
        <f>+'31'!C12</f>
        <v>0</v>
      </c>
      <c r="BL11" s="38">
        <f>+'31'!D12</f>
        <v>0</v>
      </c>
      <c r="BM11" s="38">
        <f t="shared" si="0"/>
        <v>1262</v>
      </c>
      <c r="BN11" s="60">
        <f t="shared" si="1"/>
        <v>3511431.6100000003</v>
      </c>
    </row>
    <row r="12" spans="1:66" s="65" customFormat="1" ht="20.25">
      <c r="A12" s="32"/>
      <c r="B12" s="64" t="s">
        <v>42</v>
      </c>
      <c r="C12" s="38">
        <f>+'01'!C13</f>
        <v>0</v>
      </c>
      <c r="D12" s="60">
        <f>+'01'!D13</f>
        <v>0</v>
      </c>
      <c r="E12" s="38">
        <f>+'02'!C13</f>
        <v>0</v>
      </c>
      <c r="F12" s="33">
        <f>+'02'!D13</f>
        <v>0</v>
      </c>
      <c r="G12" s="38">
        <f>+'03'!C13</f>
        <v>0</v>
      </c>
      <c r="H12" s="33">
        <f>+'03'!D13</f>
        <v>0</v>
      </c>
      <c r="I12" s="38">
        <f>+'04'!C13</f>
        <v>0</v>
      </c>
      <c r="J12" s="33">
        <f>+'04'!D13</f>
        <v>0</v>
      </c>
      <c r="K12" s="38">
        <f>+'05'!C13</f>
        <v>0</v>
      </c>
      <c r="L12" s="33">
        <f>+'05'!D13</f>
        <v>0</v>
      </c>
      <c r="M12" s="38">
        <f>+'06'!C13</f>
        <v>0</v>
      </c>
      <c r="N12" s="33">
        <f>+'06'!D13</f>
        <v>0</v>
      </c>
      <c r="O12" s="38">
        <f>+'07'!C13</f>
        <v>0</v>
      </c>
      <c r="P12" s="33">
        <f>+'07'!D13</f>
        <v>0</v>
      </c>
      <c r="Q12" s="38">
        <f>+'08'!C13</f>
        <v>0</v>
      </c>
      <c r="R12" s="33">
        <f>+'08'!D13</f>
        <v>0</v>
      </c>
      <c r="S12" s="38">
        <f>+'09'!C13</f>
        <v>0</v>
      </c>
      <c r="T12" s="33">
        <f>+'09'!D13</f>
        <v>0</v>
      </c>
      <c r="U12" s="38">
        <f>+'10'!C13</f>
        <v>0</v>
      </c>
      <c r="V12" s="33">
        <f>+'10'!D13</f>
        <v>0</v>
      </c>
      <c r="W12" s="38">
        <f>+'11'!C13</f>
        <v>0</v>
      </c>
      <c r="X12" s="33">
        <f>+'11'!D13</f>
        <v>0</v>
      </c>
      <c r="Y12" s="38">
        <f>+'12'!C13</f>
        <v>0</v>
      </c>
      <c r="Z12" s="33">
        <f>+'12'!D13</f>
        <v>0</v>
      </c>
      <c r="AA12" s="38">
        <f>+'13'!C13</f>
        <v>0</v>
      </c>
      <c r="AB12" s="33">
        <f>+'13'!D13</f>
        <v>0</v>
      </c>
      <c r="AC12" s="38">
        <f>+'14'!C13</f>
        <v>0</v>
      </c>
      <c r="AD12" s="33">
        <f>+'14'!D13</f>
        <v>0</v>
      </c>
      <c r="AE12" s="38">
        <f>+'15'!C13</f>
        <v>0</v>
      </c>
      <c r="AF12" s="33">
        <f>+'15'!D13</f>
        <v>0</v>
      </c>
      <c r="AG12" s="38">
        <f>+'16'!C13</f>
        <v>0</v>
      </c>
      <c r="AH12" s="33">
        <f>+'16'!D13</f>
        <v>0</v>
      </c>
      <c r="AI12" s="38">
        <f>+'17'!C13</f>
        <v>0</v>
      </c>
      <c r="AJ12" s="33">
        <f>+'17'!D13</f>
        <v>0</v>
      </c>
      <c r="AK12" s="38">
        <f>+'18'!C13</f>
        <v>0</v>
      </c>
      <c r="AL12" s="33">
        <f>+'18'!D13</f>
        <v>0</v>
      </c>
      <c r="AM12" s="38">
        <f>+'19'!C13</f>
        <v>0</v>
      </c>
      <c r="AN12" s="38">
        <f>+'19'!D13</f>
        <v>0</v>
      </c>
      <c r="AO12" s="38">
        <f>+'20'!C13</f>
        <v>0</v>
      </c>
      <c r="AP12" s="38">
        <f>+'20'!D13</f>
        <v>0</v>
      </c>
      <c r="AQ12" s="38">
        <f>+'21'!C13</f>
        <v>0</v>
      </c>
      <c r="AR12" s="38">
        <f>+'21'!D13</f>
        <v>0</v>
      </c>
      <c r="AS12" s="38">
        <f>+'22'!C13</f>
        <v>0</v>
      </c>
      <c r="AT12" s="38">
        <f>+'22'!D13</f>
        <v>0</v>
      </c>
      <c r="AU12" s="38">
        <f>+'23'!C13</f>
        <v>0</v>
      </c>
      <c r="AV12" s="38">
        <f>+'23'!D13</f>
        <v>0</v>
      </c>
      <c r="AW12" s="38">
        <f>+'24'!C13</f>
        <v>0</v>
      </c>
      <c r="AX12" s="38">
        <f>+'24'!D13</f>
        <v>0</v>
      </c>
      <c r="AY12" s="38">
        <f>+'25'!C13</f>
        <v>0</v>
      </c>
      <c r="AZ12" s="38">
        <f>+'25'!D13</f>
        <v>0</v>
      </c>
      <c r="BA12" s="38">
        <f>+'26'!C13</f>
        <v>0</v>
      </c>
      <c r="BB12" s="38">
        <f>+'26'!D13</f>
        <v>0</v>
      </c>
      <c r="BC12" s="38">
        <f>+'27'!C13</f>
        <v>0</v>
      </c>
      <c r="BD12" s="38">
        <f>+'27'!D13</f>
        <v>0</v>
      </c>
      <c r="BE12" s="38">
        <f>+'28'!C13</f>
        <v>0</v>
      </c>
      <c r="BF12" s="38">
        <f>+'28'!D13</f>
        <v>0</v>
      </c>
      <c r="BG12" s="38">
        <f>+'29'!C13</f>
        <v>0</v>
      </c>
      <c r="BH12" s="38">
        <f>+'29'!D13</f>
        <v>0</v>
      </c>
      <c r="BI12" s="38">
        <f>+'30'!C13</f>
        <v>0</v>
      </c>
      <c r="BJ12" s="38">
        <f>+'30'!D13</f>
        <v>0</v>
      </c>
      <c r="BK12" s="38">
        <f>+'31'!C13</f>
        <v>0</v>
      </c>
      <c r="BL12" s="38">
        <f>+'31'!D13</f>
        <v>0</v>
      </c>
      <c r="BM12" s="38">
        <f t="shared" si="0"/>
        <v>0</v>
      </c>
      <c r="BN12" s="60">
        <f t="shared" si="1"/>
        <v>0</v>
      </c>
    </row>
    <row r="13" spans="1:66" s="65" customFormat="1" ht="20.25">
      <c r="A13" s="32">
        <v>6</v>
      </c>
      <c r="B13" s="64" t="s">
        <v>43</v>
      </c>
      <c r="C13" s="38">
        <f>+'01'!C14</f>
        <v>0</v>
      </c>
      <c r="D13" s="60">
        <f>+'01'!D14</f>
        <v>0</v>
      </c>
      <c r="E13" s="38">
        <f>+'02'!C14</f>
        <v>0</v>
      </c>
      <c r="F13" s="33">
        <f>+'02'!D14</f>
        <v>0</v>
      </c>
      <c r="G13" s="38">
        <f>+'03'!C14</f>
        <v>1</v>
      </c>
      <c r="H13" s="33">
        <f>+'03'!D14</f>
        <v>251744.69</v>
      </c>
      <c r="I13" s="38">
        <f>+'04'!C14</f>
        <v>1</v>
      </c>
      <c r="J13" s="33">
        <f>+'04'!D14</f>
        <v>28292.75</v>
      </c>
      <c r="K13" s="38">
        <f>+'05'!C14</f>
        <v>2</v>
      </c>
      <c r="L13" s="33">
        <f>+'05'!D14</f>
        <v>97963</v>
      </c>
      <c r="M13" s="38">
        <f>+'06'!C14</f>
        <v>1</v>
      </c>
      <c r="N13" s="33">
        <f>+'06'!D14</f>
        <v>18868.54</v>
      </c>
      <c r="O13" s="38">
        <f>+'07'!C14</f>
        <v>2</v>
      </c>
      <c r="P13" s="33">
        <f>+'07'!D14</f>
        <v>19090</v>
      </c>
      <c r="Q13" s="38">
        <f>+'08'!C14</f>
        <v>0</v>
      </c>
      <c r="R13" s="33">
        <f>+'08'!D14</f>
        <v>0</v>
      </c>
      <c r="S13" s="38">
        <f>+'09'!C14</f>
        <v>3</v>
      </c>
      <c r="T13" s="33">
        <f>+'09'!D14</f>
        <v>29935.54</v>
      </c>
      <c r="U13" s="38">
        <f>+'10'!C14</f>
        <v>2</v>
      </c>
      <c r="V13" s="33">
        <f>+'10'!D14</f>
        <v>27436.75</v>
      </c>
      <c r="W13" s="38">
        <f>+'11'!C14</f>
        <v>2</v>
      </c>
      <c r="X13" s="33">
        <f>+'11'!D14</f>
        <v>27597.75</v>
      </c>
      <c r="Y13" s="38">
        <f>+'12'!C14</f>
        <v>2</v>
      </c>
      <c r="Z13" s="33">
        <f>+'12'!D14</f>
        <v>18074.75</v>
      </c>
      <c r="AA13" s="38">
        <f>+'13'!C14</f>
        <v>3</v>
      </c>
      <c r="AB13" s="33">
        <f>+'13'!D14</f>
        <v>211667.87</v>
      </c>
      <c r="AC13" s="38">
        <f>+'14'!C14</f>
        <v>1</v>
      </c>
      <c r="AD13" s="33">
        <f>+'14'!D14</f>
        <v>13183.5</v>
      </c>
      <c r="AE13" s="38">
        <f>+'15'!C14</f>
        <v>2</v>
      </c>
      <c r="AF13" s="33">
        <f>+'15'!D14</f>
        <v>710974</v>
      </c>
      <c r="AG13" s="38">
        <f>+'16'!C14</f>
        <v>0</v>
      </c>
      <c r="AH13" s="33">
        <f>+'16'!D14</f>
        <v>0</v>
      </c>
      <c r="AI13" s="38">
        <f>+'17'!C14</f>
        <v>1</v>
      </c>
      <c r="AJ13" s="33">
        <f>+'17'!D14</f>
        <v>47681.81</v>
      </c>
      <c r="AK13" s="38">
        <f>+'18'!C14</f>
        <v>0</v>
      </c>
      <c r="AL13" s="33">
        <f>+'18'!D14</f>
        <v>0</v>
      </c>
      <c r="AM13" s="38">
        <f>+'19'!C14</f>
        <v>0</v>
      </c>
      <c r="AN13" s="38">
        <f>+'19'!D14</f>
        <v>0</v>
      </c>
      <c r="AO13" s="38">
        <f>+'20'!C14</f>
        <v>1</v>
      </c>
      <c r="AP13" s="38">
        <f>+'20'!D14</f>
        <v>5160.25</v>
      </c>
      <c r="AQ13" s="38">
        <f>+'21'!C14</f>
        <v>1</v>
      </c>
      <c r="AR13" s="38">
        <f>+'21'!D14</f>
        <v>62977.3</v>
      </c>
      <c r="AS13" s="38">
        <f>+'22'!C14</f>
        <v>4</v>
      </c>
      <c r="AT13" s="38">
        <f>+'22'!D14</f>
        <v>74546.17</v>
      </c>
      <c r="AU13" s="38">
        <f>+'23'!C14</f>
        <v>0</v>
      </c>
      <c r="AV13" s="38">
        <f>+'23'!D14</f>
        <v>0</v>
      </c>
      <c r="AW13" s="38">
        <f>+'24'!C14</f>
        <v>1</v>
      </c>
      <c r="AX13" s="38">
        <f>+'24'!D14</f>
        <v>17331</v>
      </c>
      <c r="AY13" s="38">
        <f>+'25'!C14</f>
        <v>3</v>
      </c>
      <c r="AZ13" s="38">
        <f>+'25'!D14</f>
        <v>114142</v>
      </c>
      <c r="BA13" s="38">
        <f>+'26'!C14</f>
        <v>1</v>
      </c>
      <c r="BB13" s="38">
        <f>+'26'!D14</f>
        <v>76135.259999999995</v>
      </c>
      <c r="BC13" s="38">
        <f>+'27'!C14</f>
        <v>0</v>
      </c>
      <c r="BD13" s="38">
        <f>+'27'!D14</f>
        <v>0</v>
      </c>
      <c r="BE13" s="38">
        <f>+'28'!C14</f>
        <v>0</v>
      </c>
      <c r="BF13" s="38">
        <f>+'28'!D14</f>
        <v>0</v>
      </c>
      <c r="BG13" s="38">
        <f>+'29'!C14</f>
        <v>2</v>
      </c>
      <c r="BH13" s="38">
        <f>+'29'!D14</f>
        <v>105573.14</v>
      </c>
      <c r="BI13" s="38">
        <f>+'30'!C14</f>
        <v>4</v>
      </c>
      <c r="BJ13" s="38">
        <f>+'30'!D14</f>
        <v>422763.02</v>
      </c>
      <c r="BK13" s="38">
        <f>+'31'!C14</f>
        <v>0</v>
      </c>
      <c r="BL13" s="38">
        <f>+'31'!D14</f>
        <v>0</v>
      </c>
      <c r="BM13" s="38">
        <f t="shared" si="0"/>
        <v>40</v>
      </c>
      <c r="BN13" s="60">
        <f t="shared" si="1"/>
        <v>2381139.09</v>
      </c>
    </row>
    <row r="14" spans="1:66" s="65" customFormat="1" ht="20.25">
      <c r="A14" s="32"/>
      <c r="B14" s="64" t="s">
        <v>44</v>
      </c>
      <c r="C14" s="38">
        <f>+'01'!C15</f>
        <v>0</v>
      </c>
      <c r="D14" s="60">
        <f>+'01'!D15</f>
        <v>0</v>
      </c>
      <c r="E14" s="38">
        <f>+'02'!C15</f>
        <v>0</v>
      </c>
      <c r="F14" s="33">
        <f>+'02'!D15</f>
        <v>0</v>
      </c>
      <c r="G14" s="38">
        <f>+'03'!C15</f>
        <v>0</v>
      </c>
      <c r="H14" s="33">
        <f>+'03'!D15</f>
        <v>0</v>
      </c>
      <c r="I14" s="38">
        <f>+'04'!C15</f>
        <v>0</v>
      </c>
      <c r="J14" s="33">
        <f>+'04'!D15</f>
        <v>0</v>
      </c>
      <c r="K14" s="38">
        <f>+'05'!C15</f>
        <v>0</v>
      </c>
      <c r="L14" s="33">
        <f>+'05'!D15</f>
        <v>0</v>
      </c>
      <c r="M14" s="38">
        <f>+'06'!C15</f>
        <v>0</v>
      </c>
      <c r="N14" s="33">
        <f>+'06'!D15</f>
        <v>0</v>
      </c>
      <c r="O14" s="38">
        <f>+'07'!C15</f>
        <v>0</v>
      </c>
      <c r="P14" s="33">
        <f>+'07'!D15</f>
        <v>0</v>
      </c>
      <c r="Q14" s="38">
        <f>+'08'!C15</f>
        <v>0</v>
      </c>
      <c r="R14" s="33">
        <f>+'08'!D15</f>
        <v>0</v>
      </c>
      <c r="S14" s="38">
        <f>+'09'!C15</f>
        <v>0</v>
      </c>
      <c r="T14" s="33">
        <f>+'09'!D15</f>
        <v>0</v>
      </c>
      <c r="U14" s="38">
        <f>+'10'!C15</f>
        <v>2</v>
      </c>
      <c r="V14" s="33">
        <f>+'10'!D15</f>
        <v>12192</v>
      </c>
      <c r="W14" s="38" t="e">
        <f>+'11'!#REF!</f>
        <v>#REF!</v>
      </c>
      <c r="X14" s="33" t="e">
        <f>+'11'!#REF!</f>
        <v>#REF!</v>
      </c>
      <c r="Y14" s="38">
        <f>+'12'!C15</f>
        <v>0</v>
      </c>
      <c r="Z14" s="33">
        <f>+'12'!D15</f>
        <v>0</v>
      </c>
      <c r="AA14" s="38">
        <f>+'13'!C15</f>
        <v>0</v>
      </c>
      <c r="AB14" s="33">
        <f>+'13'!D15</f>
        <v>0</v>
      </c>
      <c r="AC14" s="38">
        <f>+'14'!C15</f>
        <v>0</v>
      </c>
      <c r="AD14" s="33">
        <f>+'14'!D15</f>
        <v>0</v>
      </c>
      <c r="AE14" s="38">
        <f>+'15'!C15</f>
        <v>0</v>
      </c>
      <c r="AF14" s="33">
        <f>+'15'!D15</f>
        <v>0</v>
      </c>
      <c r="AG14" s="38">
        <f>+'16'!C15</f>
        <v>0</v>
      </c>
      <c r="AH14" s="33">
        <f>+'16'!D15</f>
        <v>0</v>
      </c>
      <c r="AI14" s="38">
        <f>+'17'!C15</f>
        <v>0</v>
      </c>
      <c r="AJ14" s="33">
        <f>+'17'!D15</f>
        <v>0</v>
      </c>
      <c r="AK14" s="38">
        <f>+'18'!C15</f>
        <v>0</v>
      </c>
      <c r="AL14" s="33">
        <f>+'18'!D15</f>
        <v>0</v>
      </c>
      <c r="AM14" s="38">
        <f>+'19'!C15</f>
        <v>0</v>
      </c>
      <c r="AN14" s="38">
        <f>+'19'!D15</f>
        <v>0</v>
      </c>
      <c r="AO14" s="38">
        <f>+'20'!C15</f>
        <v>0</v>
      </c>
      <c r="AP14" s="38">
        <f>+'20'!D15</f>
        <v>0</v>
      </c>
      <c r="AQ14" s="38">
        <f>+'21'!C15</f>
        <v>1</v>
      </c>
      <c r="AR14" s="38">
        <f>+'21'!D15</f>
        <v>8624</v>
      </c>
      <c r="AS14" s="38">
        <f>+'22'!C15</f>
        <v>0</v>
      </c>
      <c r="AT14" s="38">
        <f>+'22'!D15</f>
        <v>0</v>
      </c>
      <c r="AU14" s="38">
        <f>+'23'!C15</f>
        <v>0</v>
      </c>
      <c r="AV14" s="38">
        <f>+'23'!D15</f>
        <v>0</v>
      </c>
      <c r="AW14" s="38">
        <f>+'24'!C15</f>
        <v>0</v>
      </c>
      <c r="AX14" s="38">
        <f>+'24'!D15</f>
        <v>0</v>
      </c>
      <c r="AY14" s="38">
        <f>+'25'!C15</f>
        <v>0</v>
      </c>
      <c r="AZ14" s="38">
        <f>+'25'!D15</f>
        <v>0</v>
      </c>
      <c r="BA14" s="38">
        <f>+'26'!C15</f>
        <v>0</v>
      </c>
      <c r="BB14" s="38">
        <f>+'26'!D15</f>
        <v>0</v>
      </c>
      <c r="BC14" s="38">
        <f>+'27'!C15</f>
        <v>0</v>
      </c>
      <c r="BD14" s="38">
        <f>+'27'!D15</f>
        <v>0</v>
      </c>
      <c r="BE14" s="38">
        <f>+'28'!C15</f>
        <v>0</v>
      </c>
      <c r="BF14" s="38">
        <f>+'28'!D15</f>
        <v>0</v>
      </c>
      <c r="BG14" s="38">
        <f>+'29'!C15</f>
        <v>0</v>
      </c>
      <c r="BH14" s="38">
        <f>+'29'!D15</f>
        <v>0</v>
      </c>
      <c r="BI14" s="38">
        <f>+'30'!C15</f>
        <v>0</v>
      </c>
      <c r="BJ14" s="38">
        <f>+'30'!D15</f>
        <v>0</v>
      </c>
      <c r="BK14" s="38">
        <f>+'31'!C15</f>
        <v>0</v>
      </c>
      <c r="BL14" s="38">
        <f>+'31'!D15</f>
        <v>0</v>
      </c>
      <c r="BM14" s="38" t="e">
        <f t="shared" si="0"/>
        <v>#REF!</v>
      </c>
      <c r="BN14" s="60" t="e">
        <f t="shared" si="1"/>
        <v>#REF!</v>
      </c>
    </row>
    <row r="15" spans="1:66" s="65" customFormat="1" ht="20.25">
      <c r="A15" s="32">
        <v>7</v>
      </c>
      <c r="B15" s="64" t="s">
        <v>15</v>
      </c>
      <c r="C15" s="38">
        <f>+'01'!C16</f>
        <v>9</v>
      </c>
      <c r="D15" s="60">
        <f>+'01'!D16</f>
        <v>7239</v>
      </c>
      <c r="E15" s="38">
        <f>+'02'!C16</f>
        <v>12</v>
      </c>
      <c r="F15" s="33">
        <f>+'02'!D16</f>
        <v>30121</v>
      </c>
      <c r="G15" s="38">
        <f>+'03'!C16</f>
        <v>19</v>
      </c>
      <c r="H15" s="33">
        <f>+'03'!D16</f>
        <v>58020</v>
      </c>
      <c r="I15" s="38">
        <f>+'04'!C16</f>
        <v>19</v>
      </c>
      <c r="J15" s="33">
        <f>+'04'!D16</f>
        <v>19277.5</v>
      </c>
      <c r="K15" s="38">
        <f>+'05'!C16</f>
        <v>15</v>
      </c>
      <c r="L15" s="33">
        <f>+'05'!D16</f>
        <v>23759.75</v>
      </c>
      <c r="M15" s="38">
        <f>+'06'!C16</f>
        <v>10</v>
      </c>
      <c r="N15" s="33">
        <f>+'06'!D16</f>
        <v>10755</v>
      </c>
      <c r="O15" s="38">
        <f>+'07'!C16</f>
        <v>23</v>
      </c>
      <c r="P15" s="33">
        <f>+'07'!D16</f>
        <v>20087</v>
      </c>
      <c r="Q15" s="38">
        <f>+'08'!C16</f>
        <v>10</v>
      </c>
      <c r="R15" s="33">
        <f>+'08'!D16</f>
        <v>24517.75</v>
      </c>
      <c r="S15" s="38">
        <f>+'09'!C16</f>
        <v>13</v>
      </c>
      <c r="T15" s="33">
        <f>+'09'!D16</f>
        <v>24679.25</v>
      </c>
      <c r="U15" s="38">
        <f>+'10'!C16</f>
        <v>10</v>
      </c>
      <c r="V15" s="33">
        <f>+'10'!D16</f>
        <v>12590.25</v>
      </c>
      <c r="W15" s="38">
        <f>+'11'!C16</f>
        <v>24</v>
      </c>
      <c r="X15" s="33">
        <f>+'11'!D16</f>
        <v>31367.5</v>
      </c>
      <c r="Y15" s="38">
        <f>+'12'!C16</f>
        <v>11</v>
      </c>
      <c r="Z15" s="33">
        <f>+'12'!D16</f>
        <v>33764.199999999997</v>
      </c>
      <c r="AA15" s="38">
        <f>+'13'!C16</f>
        <v>8</v>
      </c>
      <c r="AB15" s="33">
        <f>+'13'!D16</f>
        <v>10921.75</v>
      </c>
      <c r="AC15" s="38">
        <f>+'14'!C16</f>
        <v>11</v>
      </c>
      <c r="AD15" s="33">
        <f>+'14'!D16</f>
        <v>28001.25</v>
      </c>
      <c r="AE15" s="115">
        <f>+'15'!C16</f>
        <v>10</v>
      </c>
      <c r="AF15" s="39">
        <f>+'15'!D16</f>
        <v>25006.5</v>
      </c>
      <c r="AG15" s="38">
        <f>+'16'!C16</f>
        <v>10</v>
      </c>
      <c r="AH15" s="33">
        <f>+'16'!D16</f>
        <v>21258.75</v>
      </c>
      <c r="AI15" s="38">
        <f>+'17'!C16</f>
        <v>13</v>
      </c>
      <c r="AJ15" s="33">
        <f>+'17'!D16</f>
        <v>38196.5</v>
      </c>
      <c r="AK15" s="38">
        <f>+'18'!C16</f>
        <v>7</v>
      </c>
      <c r="AL15" s="33">
        <f>+'18'!D16</f>
        <v>6652.5</v>
      </c>
      <c r="AM15" s="38">
        <f>+'19'!C16</f>
        <v>14</v>
      </c>
      <c r="AN15" s="38">
        <f>+'19'!D16</f>
        <v>18016.46</v>
      </c>
      <c r="AO15" s="38">
        <f>+'20'!C16</f>
        <v>10</v>
      </c>
      <c r="AP15" s="38">
        <f>+'20'!D16</f>
        <v>6330.5</v>
      </c>
      <c r="AQ15" s="38">
        <f>+'21'!C16</f>
        <v>5</v>
      </c>
      <c r="AR15" s="38">
        <f>+'21'!D16</f>
        <v>5960</v>
      </c>
      <c r="AS15" s="38">
        <f>+'22'!C16</f>
        <v>5</v>
      </c>
      <c r="AT15" s="38">
        <f>+'22'!D16</f>
        <v>8498</v>
      </c>
      <c r="AU15" s="38">
        <f>+'23'!C16</f>
        <v>9</v>
      </c>
      <c r="AV15" s="38">
        <f>+'23'!D16</f>
        <v>24203.46</v>
      </c>
      <c r="AW15" s="38">
        <f>+'24'!C16</f>
        <v>10</v>
      </c>
      <c r="AX15" s="38">
        <f>+'24'!D16</f>
        <v>7886.75</v>
      </c>
      <c r="AY15" s="38">
        <f>+'25'!C16</f>
        <v>7</v>
      </c>
      <c r="AZ15" s="38">
        <f>+'25'!D16</f>
        <v>7619</v>
      </c>
      <c r="BA15" s="38">
        <f>+'26'!C16</f>
        <v>8</v>
      </c>
      <c r="BB15" s="38">
        <f>+'26'!D16</f>
        <v>21004.5</v>
      </c>
      <c r="BC15" s="38">
        <f>+'27'!C16</f>
        <v>7</v>
      </c>
      <c r="BD15" s="38">
        <f>+'27'!D16</f>
        <v>14450</v>
      </c>
      <c r="BE15" s="38">
        <f>+'28'!C16</f>
        <v>14</v>
      </c>
      <c r="BF15" s="38">
        <f>+'28'!D16</f>
        <v>36037</v>
      </c>
      <c r="BG15" s="38">
        <f>+'29'!C16</f>
        <v>27</v>
      </c>
      <c r="BH15" s="38">
        <f>+'29'!D16</f>
        <v>16403.25</v>
      </c>
      <c r="BI15" s="38">
        <f>+'30'!C16</f>
        <v>10</v>
      </c>
      <c r="BJ15" s="38">
        <f>+'30'!D16</f>
        <v>26170.25</v>
      </c>
      <c r="BK15" s="38">
        <f>+'31'!C16</f>
        <v>0</v>
      </c>
      <c r="BL15" s="38">
        <f>+'31'!D16</f>
        <v>0</v>
      </c>
      <c r="BM15" s="38">
        <f t="shared" si="0"/>
        <v>360</v>
      </c>
      <c r="BN15" s="60">
        <f>+D15+F15+H15+J15+L15+N15+P15+R15+T15+V15+X15+Z15+AB15+AD15+AF15+AH15+AJ15+AL15+AN15+AP15+AR15+AT15+AV15+AX15+AZ15+BB15+BD15+BF15+BH15+BJ15+BL15</f>
        <v>618794.62000000011</v>
      </c>
    </row>
    <row r="16" spans="1:66" s="65" customFormat="1" ht="20.25">
      <c r="A16" s="32"/>
      <c r="B16" s="64" t="s">
        <v>16</v>
      </c>
      <c r="C16" s="38">
        <f>+'01'!C17</f>
        <v>4</v>
      </c>
      <c r="D16" s="60">
        <f>+'01'!D17</f>
        <v>127214</v>
      </c>
      <c r="E16" s="38">
        <f>+'02'!C17</f>
        <v>1</v>
      </c>
      <c r="F16" s="33">
        <f>+'02'!D17</f>
        <v>11539</v>
      </c>
      <c r="G16" s="38">
        <f>+'03'!C17</f>
        <v>5</v>
      </c>
      <c r="H16" s="33">
        <f>+'03'!D17</f>
        <v>154651.5</v>
      </c>
      <c r="I16" s="38">
        <f>+'04'!C17</f>
        <v>8</v>
      </c>
      <c r="J16" s="33">
        <f>+'04'!D17</f>
        <v>205807.5</v>
      </c>
      <c r="K16" s="38">
        <f>+'05'!C17</f>
        <v>2</v>
      </c>
      <c r="L16" s="33">
        <f>+'05'!D17</f>
        <v>50020.05</v>
      </c>
      <c r="M16" s="38">
        <f>+'06'!C17</f>
        <v>3</v>
      </c>
      <c r="N16" s="33">
        <f>+'06'!D17</f>
        <v>61025.29</v>
      </c>
      <c r="O16" s="38">
        <f>+'07'!C17</f>
        <v>2</v>
      </c>
      <c r="P16" s="33">
        <f>+'07'!D17</f>
        <v>36617.5</v>
      </c>
      <c r="Q16" s="38">
        <f>+'08'!C17</f>
        <v>3</v>
      </c>
      <c r="R16" s="33">
        <f>+'08'!D17</f>
        <v>110000</v>
      </c>
      <c r="S16" s="38">
        <f>+'09'!C17</f>
        <v>3</v>
      </c>
      <c r="T16" s="33">
        <f>+'09'!D17</f>
        <v>118398.25</v>
      </c>
      <c r="U16" s="38">
        <f>+'10'!C17</f>
        <v>3</v>
      </c>
      <c r="V16" s="33">
        <f>+'10'!D17</f>
        <v>68207</v>
      </c>
      <c r="W16" s="38">
        <f>+'11'!C17</f>
        <v>3</v>
      </c>
      <c r="X16" s="33">
        <f>+'11'!D17</f>
        <v>52150</v>
      </c>
      <c r="Y16" s="38">
        <f>+'12'!C17</f>
        <v>1</v>
      </c>
      <c r="Z16" s="33">
        <f>+'12'!D17</f>
        <v>18635</v>
      </c>
      <c r="AA16" s="38">
        <f>+'13'!C17</f>
        <v>2</v>
      </c>
      <c r="AB16" s="33">
        <f>+'13'!D17</f>
        <v>36471.75</v>
      </c>
      <c r="AC16" s="38">
        <f>+'14'!C17</f>
        <v>4</v>
      </c>
      <c r="AD16" s="33">
        <f>+'14'!D17</f>
        <v>151340</v>
      </c>
      <c r="AE16" s="38">
        <f>+'15'!C17</f>
        <v>2</v>
      </c>
      <c r="AF16" s="33">
        <f>+'15'!D17</f>
        <v>60000</v>
      </c>
      <c r="AG16" s="38">
        <f>+'16'!C17</f>
        <v>7</v>
      </c>
      <c r="AH16" s="33">
        <f>+'16'!D17</f>
        <v>173062.25</v>
      </c>
      <c r="AI16" s="38">
        <f>+'17'!C17</f>
        <v>5</v>
      </c>
      <c r="AJ16" s="33">
        <f>+'17'!D17</f>
        <v>109589</v>
      </c>
      <c r="AK16" s="38">
        <f>+'18'!C17</f>
        <v>4</v>
      </c>
      <c r="AL16" s="33">
        <f>+'18'!D17</f>
        <v>93704.5</v>
      </c>
      <c r="AM16" s="38">
        <f>+'19'!C17</f>
        <v>3</v>
      </c>
      <c r="AN16" s="38">
        <f>+'19'!D17</f>
        <v>121843.55</v>
      </c>
      <c r="AO16" s="38">
        <f>+'20'!C17</f>
        <v>0</v>
      </c>
      <c r="AP16" s="38">
        <f>+'20'!D17</f>
        <v>0</v>
      </c>
      <c r="AQ16" s="38">
        <f>+'21'!C17</f>
        <v>5</v>
      </c>
      <c r="AR16" s="38">
        <f>+'21'!D17</f>
        <v>112645</v>
      </c>
      <c r="AS16" s="38">
        <f>+'22'!C17</f>
        <v>0</v>
      </c>
      <c r="AT16" s="38">
        <f>+'22'!D17</f>
        <v>0</v>
      </c>
      <c r="AU16" s="38">
        <f>+'23'!C17</f>
        <v>2</v>
      </c>
      <c r="AV16" s="38">
        <f>+'23'!D17</f>
        <v>51607.25</v>
      </c>
      <c r="AW16" s="38">
        <f>+'24'!C17</f>
        <v>3</v>
      </c>
      <c r="AX16" s="38">
        <f>+'24'!D17</f>
        <v>63715</v>
      </c>
      <c r="AY16" s="38">
        <f>+'25'!C17</f>
        <v>1</v>
      </c>
      <c r="AZ16" s="38">
        <f>+'25'!D17</f>
        <v>30000</v>
      </c>
      <c r="BA16" s="38">
        <f>+'26'!C17</f>
        <v>1</v>
      </c>
      <c r="BB16" s="38">
        <f>+'26'!D17</f>
        <v>30000</v>
      </c>
      <c r="BC16" s="38">
        <f>+'27'!C17</f>
        <v>0</v>
      </c>
      <c r="BD16" s="38">
        <f>+'27'!D17</f>
        <v>0</v>
      </c>
      <c r="BE16" s="38">
        <f>+'28'!C17</f>
        <v>3</v>
      </c>
      <c r="BF16" s="38">
        <f>+'28'!D17</f>
        <v>79461.75</v>
      </c>
      <c r="BG16" s="38">
        <f>+'29'!C17</f>
        <v>7</v>
      </c>
      <c r="BH16" s="38">
        <f>+'29'!D17</f>
        <v>131655.75</v>
      </c>
      <c r="BI16" s="38">
        <f>+'30'!C17</f>
        <v>0</v>
      </c>
      <c r="BJ16" s="38">
        <f>+'30'!D17</f>
        <v>0</v>
      </c>
      <c r="BK16" s="38">
        <f>+'31'!C17</f>
        <v>0</v>
      </c>
      <c r="BL16" s="38">
        <f>+'31'!D17</f>
        <v>0</v>
      </c>
      <c r="BM16" s="38">
        <f t="shared" si="0"/>
        <v>87</v>
      </c>
      <c r="BN16" s="60">
        <f t="shared" si="1"/>
        <v>2259360.89</v>
      </c>
    </row>
    <row r="17" spans="1:66" s="69" customFormat="1" ht="20.25">
      <c r="A17" s="26">
        <v>8</v>
      </c>
      <c r="B17" s="25" t="s">
        <v>17</v>
      </c>
      <c r="C17" s="66">
        <f>+'01'!C18</f>
        <v>7</v>
      </c>
      <c r="D17" s="67">
        <f>+'01'!D18</f>
        <v>25213.75</v>
      </c>
      <c r="E17" s="66">
        <f>+'02'!C18</f>
        <v>2</v>
      </c>
      <c r="F17" s="68">
        <f>+'02'!D18</f>
        <v>27194.5</v>
      </c>
      <c r="G17" s="66">
        <f>+'03'!C18</f>
        <v>4</v>
      </c>
      <c r="H17" s="68">
        <f>+'03'!D18</f>
        <v>14609.61</v>
      </c>
      <c r="I17" s="66">
        <f>+'04'!C18</f>
        <v>5</v>
      </c>
      <c r="J17" s="68">
        <f>+'04'!D18</f>
        <v>5605.25</v>
      </c>
      <c r="K17" s="66">
        <f>+'05'!C18</f>
        <v>5</v>
      </c>
      <c r="L17" s="68">
        <f>+'05'!D18</f>
        <v>236441.60000000001</v>
      </c>
      <c r="M17" s="66">
        <f>+'06'!C18</f>
        <v>2</v>
      </c>
      <c r="N17" s="68">
        <f>+'06'!D18</f>
        <v>99126.25</v>
      </c>
      <c r="O17" s="66">
        <f>+'07'!C18</f>
        <v>0</v>
      </c>
      <c r="P17" s="68">
        <f>+'07'!D18</f>
        <v>0</v>
      </c>
      <c r="Q17" s="66">
        <f>+'08'!C18</f>
        <v>21</v>
      </c>
      <c r="R17" s="68">
        <f>+'08'!D18</f>
        <v>115636.25</v>
      </c>
      <c r="S17" s="66">
        <f>+'09'!C18</f>
        <v>2</v>
      </c>
      <c r="T17" s="68">
        <f>+'09'!D18</f>
        <v>1111</v>
      </c>
      <c r="U17" s="66">
        <f>+'10'!C18</f>
        <v>3</v>
      </c>
      <c r="V17" s="68">
        <f>+'10'!D18</f>
        <v>2200</v>
      </c>
      <c r="W17" s="66">
        <f>+'11'!C18</f>
        <v>6</v>
      </c>
      <c r="X17" s="68">
        <f>+'11'!D18</f>
        <v>15872.46</v>
      </c>
      <c r="Y17" s="66">
        <f>+'12'!C18</f>
        <v>4</v>
      </c>
      <c r="Z17" s="68">
        <f>+'12'!D18</f>
        <v>6342</v>
      </c>
      <c r="AA17" s="66">
        <f>+'13'!C18</f>
        <v>1</v>
      </c>
      <c r="AB17" s="68">
        <f>+'13'!D18</f>
        <v>1250</v>
      </c>
      <c r="AC17" s="66">
        <f>+'14'!C18</f>
        <v>4</v>
      </c>
      <c r="AD17" s="68">
        <f>+'14'!D18</f>
        <v>4080.5</v>
      </c>
      <c r="AE17" s="66">
        <f>+'15'!C18</f>
        <v>4</v>
      </c>
      <c r="AF17" s="68">
        <f>+'15'!D18</f>
        <v>6302</v>
      </c>
      <c r="AG17" s="66">
        <f>+'16'!C18</f>
        <v>2</v>
      </c>
      <c r="AH17" s="68">
        <f>+'16'!D18</f>
        <v>22713.5</v>
      </c>
      <c r="AI17" s="66">
        <f>+'17'!C18</f>
        <v>1</v>
      </c>
      <c r="AJ17" s="68">
        <f>+'17'!D18</f>
        <v>1603</v>
      </c>
      <c r="AK17" s="66">
        <f>+'18'!C18</f>
        <v>4</v>
      </c>
      <c r="AL17" s="68">
        <f>+'18'!D18</f>
        <v>5692</v>
      </c>
      <c r="AM17" s="66">
        <f>+'19'!C18</f>
        <v>1</v>
      </c>
      <c r="AN17" s="66">
        <f>+'19'!D18</f>
        <v>17971</v>
      </c>
      <c r="AO17" s="66">
        <f>+'20'!C18</f>
        <v>0</v>
      </c>
      <c r="AP17" s="66">
        <f>+'20'!D18</f>
        <v>0</v>
      </c>
      <c r="AQ17" s="66">
        <f>+'21'!C18</f>
        <v>3</v>
      </c>
      <c r="AR17" s="66">
        <f>+'21'!D18</f>
        <v>18079</v>
      </c>
      <c r="AS17" s="66">
        <f>+'22'!C18</f>
        <v>2</v>
      </c>
      <c r="AT17" s="66">
        <f>+'22'!D18</f>
        <v>114178.86</v>
      </c>
      <c r="AU17" s="66">
        <f>+'23'!C18</f>
        <v>3</v>
      </c>
      <c r="AV17" s="66">
        <f>+'23'!D18</f>
        <v>80981.960000000006</v>
      </c>
      <c r="AW17" s="66">
        <f>+'24'!C18</f>
        <v>5</v>
      </c>
      <c r="AX17" s="66">
        <f>+'24'!D18</f>
        <v>9672</v>
      </c>
      <c r="AY17" s="66">
        <f>+'25'!C18</f>
        <v>2</v>
      </c>
      <c r="AZ17" s="66">
        <f>+'25'!D18</f>
        <v>1959</v>
      </c>
      <c r="BA17" s="66">
        <f>+'26'!C18</f>
        <v>7</v>
      </c>
      <c r="BB17" s="66">
        <f>+'26'!D18</f>
        <v>32171</v>
      </c>
      <c r="BC17" s="66">
        <f>+'27'!C18</f>
        <v>2</v>
      </c>
      <c r="BD17" s="66">
        <f>+'27'!D18</f>
        <v>6170.2</v>
      </c>
      <c r="BE17" s="66">
        <f>+'28'!C18</f>
        <v>2</v>
      </c>
      <c r="BF17" s="66">
        <f>+'28'!D18</f>
        <v>3852</v>
      </c>
      <c r="BG17" s="66">
        <f>+'29'!C18</f>
        <v>4</v>
      </c>
      <c r="BH17" s="66">
        <f>+'29'!D18</f>
        <v>78532.52</v>
      </c>
      <c r="BI17" s="66">
        <f>+'30'!C18</f>
        <v>0</v>
      </c>
      <c r="BJ17" s="66">
        <f>+'30'!D18</f>
        <v>0</v>
      </c>
      <c r="BK17" s="66">
        <f>+'31'!C18</f>
        <v>0</v>
      </c>
      <c r="BL17" s="66">
        <f>+'31'!D18</f>
        <v>0</v>
      </c>
      <c r="BM17" s="66">
        <f t="shared" si="0"/>
        <v>108</v>
      </c>
      <c r="BN17" s="67">
        <f t="shared" si="1"/>
        <v>954561.20999999985</v>
      </c>
    </row>
    <row r="18" spans="1:66" s="69" customFormat="1" ht="20.25">
      <c r="A18" s="26"/>
      <c r="B18" s="25" t="s">
        <v>18</v>
      </c>
      <c r="C18" s="66">
        <f>+'01'!C19</f>
        <v>2</v>
      </c>
      <c r="D18" s="67">
        <f>+'01'!D19</f>
        <v>125498.75</v>
      </c>
      <c r="E18" s="66">
        <f>+'02'!C19</f>
        <v>2</v>
      </c>
      <c r="F18" s="68">
        <f>+'02'!D19</f>
        <v>132334.75</v>
      </c>
      <c r="G18" s="66">
        <f>+'03'!C19</f>
        <v>2</v>
      </c>
      <c r="H18" s="68">
        <f>+'03'!D19</f>
        <v>192659.1</v>
      </c>
      <c r="I18" s="66">
        <f>+'04'!C19</f>
        <v>2</v>
      </c>
      <c r="J18" s="68">
        <f>+'04'!D19</f>
        <v>194130.65</v>
      </c>
      <c r="K18" s="66">
        <f>+'05'!C19</f>
        <v>5</v>
      </c>
      <c r="L18" s="68">
        <f>+'05'!D19</f>
        <v>89096</v>
      </c>
      <c r="M18" s="66">
        <f>+'06'!C19</f>
        <v>0</v>
      </c>
      <c r="N18" s="68">
        <f>+'06'!D19</f>
        <v>0</v>
      </c>
      <c r="O18" s="66">
        <f>+'07'!C19</f>
        <v>4</v>
      </c>
      <c r="P18" s="68">
        <f>+'07'!D19</f>
        <v>3809.75</v>
      </c>
      <c r="Q18" s="66">
        <f>+'08'!C19</f>
        <v>8</v>
      </c>
      <c r="R18" s="68">
        <f>+'08'!D19</f>
        <v>1427767.17</v>
      </c>
      <c r="S18" s="66">
        <f>+'09'!C19</f>
        <v>2</v>
      </c>
      <c r="T18" s="68">
        <f>+'09'!D19</f>
        <v>128417.54</v>
      </c>
      <c r="U18" s="66">
        <f>+'10'!C19</f>
        <v>2</v>
      </c>
      <c r="V18" s="68">
        <f>+'10'!D19</f>
        <v>35649.25</v>
      </c>
      <c r="W18" s="66">
        <f>+'11'!C19</f>
        <v>3</v>
      </c>
      <c r="X18" s="68">
        <f>+'11'!D19</f>
        <v>263533.25</v>
      </c>
      <c r="Y18" s="66">
        <f>+'12'!C19</f>
        <v>1</v>
      </c>
      <c r="Z18" s="68">
        <f>+'12'!D19</f>
        <v>58909.97</v>
      </c>
      <c r="AA18" s="66">
        <f>+'13'!C19</f>
        <v>1</v>
      </c>
      <c r="AB18" s="68">
        <f>+'13'!D19</f>
        <v>42362.75</v>
      </c>
      <c r="AC18" s="66">
        <f>+'14'!C19</f>
        <v>0</v>
      </c>
      <c r="AD18" s="68">
        <f>+'14'!D19</f>
        <v>0</v>
      </c>
      <c r="AE18" s="66">
        <f>+'15'!C19</f>
        <v>4</v>
      </c>
      <c r="AF18" s="68">
        <f>+'15'!D19</f>
        <v>132534.75</v>
      </c>
      <c r="AG18" s="66">
        <f>+'16'!C19</f>
        <v>2</v>
      </c>
      <c r="AH18" s="68">
        <f>+'16'!D19</f>
        <v>130690</v>
      </c>
      <c r="AI18" s="66">
        <f>+'17'!C19</f>
        <v>5</v>
      </c>
      <c r="AJ18" s="68">
        <f>+'17'!D19</f>
        <v>245048</v>
      </c>
      <c r="AK18" s="66">
        <f>+'18'!C19</f>
        <v>8</v>
      </c>
      <c r="AL18" s="68">
        <f>+'18'!D19</f>
        <v>689861.06</v>
      </c>
      <c r="AM18" s="66">
        <f>+'19'!C19</f>
        <v>2</v>
      </c>
      <c r="AN18" s="66">
        <f>+'19'!D19</f>
        <v>57138.25</v>
      </c>
      <c r="AO18" s="66">
        <f>+'20'!C19</f>
        <v>3</v>
      </c>
      <c r="AP18" s="66">
        <f>+'20'!D19</f>
        <v>264527.03999999998</v>
      </c>
      <c r="AQ18" s="66">
        <f>+'21'!C19</f>
        <v>3</v>
      </c>
      <c r="AR18" s="66">
        <f>+'21'!D19</f>
        <v>317808.75</v>
      </c>
      <c r="AS18" s="66">
        <f>+'22'!C19</f>
        <v>1</v>
      </c>
      <c r="AT18" s="66">
        <f>+'22'!D19</f>
        <v>167039.26</v>
      </c>
      <c r="AU18" s="66">
        <f>+'23'!C19</f>
        <v>3</v>
      </c>
      <c r="AV18" s="66">
        <f>+'23'!D19</f>
        <v>139151.28</v>
      </c>
      <c r="AW18" s="66">
        <f>+'24'!C19</f>
        <v>9</v>
      </c>
      <c r="AX18" s="66">
        <f>+'24'!D19</f>
        <v>6263415.3200000003</v>
      </c>
      <c r="AY18" s="66">
        <f>+'25'!C19</f>
        <v>6</v>
      </c>
      <c r="AZ18" s="66">
        <f>+'25'!D19</f>
        <v>532900.28</v>
      </c>
      <c r="BA18" s="66">
        <f>+'26'!C19</f>
        <v>1</v>
      </c>
      <c r="BB18" s="66">
        <f>+'26'!D19</f>
        <v>6800</v>
      </c>
      <c r="BC18" s="66">
        <f>+'27'!C19</f>
        <v>0</v>
      </c>
      <c r="BD18" s="66">
        <f>+'27'!D19</f>
        <v>0</v>
      </c>
      <c r="BE18" s="66">
        <f>+'28'!C19</f>
        <v>2</v>
      </c>
      <c r="BF18" s="66">
        <f>+'28'!D19</f>
        <v>157130.75</v>
      </c>
      <c r="BG18" s="66">
        <f>+'29'!C19</f>
        <v>2</v>
      </c>
      <c r="BH18" s="66">
        <f>+'29'!D19</f>
        <v>5320</v>
      </c>
      <c r="BI18" s="66">
        <f>+'30'!C19</f>
        <v>0</v>
      </c>
      <c r="BJ18" s="66">
        <f>+'30'!D19</f>
        <v>0</v>
      </c>
      <c r="BK18" s="66">
        <f>+'31'!C19</f>
        <v>0</v>
      </c>
      <c r="BL18" s="66">
        <f>+'31'!D19</f>
        <v>0</v>
      </c>
      <c r="BM18" s="66">
        <f t="shared" si="0"/>
        <v>85</v>
      </c>
      <c r="BN18" s="67">
        <f t="shared" si="1"/>
        <v>11803533.67</v>
      </c>
    </row>
    <row r="19" spans="1:66" s="71" customFormat="1">
      <c r="A19" s="27">
        <v>9</v>
      </c>
      <c r="B19" s="70" t="s">
        <v>19</v>
      </c>
      <c r="C19" s="37">
        <f>+'01'!C20</f>
        <v>0</v>
      </c>
      <c r="D19" s="30">
        <f>+'01'!D20</f>
        <v>0</v>
      </c>
      <c r="E19" s="37">
        <f>+'02'!C20</f>
        <v>0</v>
      </c>
      <c r="F19" s="17">
        <f>+'02'!D20</f>
        <v>0</v>
      </c>
      <c r="G19" s="37">
        <f>+'03'!C20</f>
        <v>0</v>
      </c>
      <c r="H19" s="17">
        <f>+'03'!D20</f>
        <v>0</v>
      </c>
      <c r="I19" s="37">
        <f>+'04'!C20</f>
        <v>0</v>
      </c>
      <c r="J19" s="17">
        <f>+'04'!D20</f>
        <v>0</v>
      </c>
      <c r="K19" s="37">
        <f>+'05'!C20</f>
        <v>0</v>
      </c>
      <c r="L19" s="17">
        <f>+'05'!D20</f>
        <v>0</v>
      </c>
      <c r="M19" s="37">
        <f>+'06'!C20</f>
        <v>0</v>
      </c>
      <c r="N19" s="17">
        <f>+'06'!D20</f>
        <v>0</v>
      </c>
      <c r="O19" s="37">
        <f>+'07'!C20</f>
        <v>22</v>
      </c>
      <c r="P19" s="17">
        <f>+'07'!D20</f>
        <v>180409.49</v>
      </c>
      <c r="Q19" s="37">
        <f>+'08'!C20</f>
        <v>44</v>
      </c>
      <c r="R19" s="17">
        <f>+'08'!D20</f>
        <v>168326.84</v>
      </c>
      <c r="S19" s="37">
        <f>+'09'!C20</f>
        <v>6</v>
      </c>
      <c r="T19" s="17">
        <f>+'09'!D20</f>
        <v>41760</v>
      </c>
      <c r="U19" s="37">
        <f>+'10'!C20</f>
        <v>0</v>
      </c>
      <c r="V19" s="17">
        <f>+'10'!D20</f>
        <v>0</v>
      </c>
      <c r="W19" s="37">
        <f>+'11'!C20</f>
        <v>0</v>
      </c>
      <c r="X19" s="17">
        <f>+'11'!D20</f>
        <v>0</v>
      </c>
      <c r="Y19" s="37">
        <f>+'12'!C20</f>
        <v>0</v>
      </c>
      <c r="Z19" s="17">
        <f>+'12'!D20</f>
        <v>0</v>
      </c>
      <c r="AA19" s="37">
        <f>+'13'!C20</f>
        <v>0</v>
      </c>
      <c r="AB19" s="17">
        <f>+'13'!D20</f>
        <v>0</v>
      </c>
      <c r="AC19" s="37">
        <f>+'14'!C20</f>
        <v>23</v>
      </c>
      <c r="AD19" s="17">
        <f>+'14'!D20</f>
        <v>44650</v>
      </c>
      <c r="AE19" s="37">
        <f>+'15'!C20</f>
        <v>37</v>
      </c>
      <c r="AF19" s="17">
        <f>+'15'!D20</f>
        <v>619616.61</v>
      </c>
      <c r="AG19" s="37">
        <f>+'16'!C20</f>
        <v>0</v>
      </c>
      <c r="AH19" s="17">
        <f>+'16'!D20</f>
        <v>0</v>
      </c>
      <c r="AI19" s="37">
        <f>+'17'!C20</f>
        <v>25</v>
      </c>
      <c r="AJ19" s="17">
        <f>+'17'!D20</f>
        <v>268694.23</v>
      </c>
      <c r="AK19" s="37">
        <f>+'18'!C20</f>
        <v>45</v>
      </c>
      <c r="AL19" s="17">
        <f>+'18'!D20</f>
        <v>915081.36</v>
      </c>
      <c r="AM19" s="37">
        <f>+'19'!C20</f>
        <v>0</v>
      </c>
      <c r="AN19" s="37">
        <f>+'19'!D20</f>
        <v>0</v>
      </c>
      <c r="AO19" s="37">
        <f>+'20'!C20</f>
        <v>0</v>
      </c>
      <c r="AP19" s="37">
        <f>+'20'!D20</f>
        <v>0</v>
      </c>
      <c r="AQ19" s="37">
        <f>+'21'!C20</f>
        <v>22</v>
      </c>
      <c r="AR19" s="37">
        <f>+'21'!D20</f>
        <v>20210.61</v>
      </c>
      <c r="AS19" s="37">
        <f>+'22'!C20</f>
        <v>35</v>
      </c>
      <c r="AT19" s="37">
        <f>+'22'!D20</f>
        <v>51508.61</v>
      </c>
      <c r="AU19" s="37">
        <f>+'23'!C20</f>
        <v>0</v>
      </c>
      <c r="AV19" s="37">
        <f>+'23'!D20</f>
        <v>0</v>
      </c>
      <c r="AW19" s="37">
        <f>+'24'!C20</f>
        <v>0</v>
      </c>
      <c r="AX19" s="37">
        <f>+'24'!D20</f>
        <v>0</v>
      </c>
      <c r="AY19" s="37">
        <f>+'25'!C20</f>
        <v>0</v>
      </c>
      <c r="AZ19" s="37">
        <f>+'25'!D20</f>
        <v>0</v>
      </c>
      <c r="BA19" s="37">
        <f>+'26'!C20</f>
        <v>0</v>
      </c>
      <c r="BB19" s="37">
        <f>+'26'!D20</f>
        <v>0</v>
      </c>
      <c r="BC19" s="37">
        <f>+'27'!C20</f>
        <v>0</v>
      </c>
      <c r="BD19" s="37">
        <f>+'27'!D20</f>
        <v>0</v>
      </c>
      <c r="BE19" s="37">
        <f>+'28'!C20</f>
        <v>111</v>
      </c>
      <c r="BF19" s="37">
        <f>+'28'!D20</f>
        <v>704822.46</v>
      </c>
      <c r="BG19" s="37">
        <f>+'29'!C20</f>
        <v>39</v>
      </c>
      <c r="BH19" s="37">
        <f>+'29'!D20</f>
        <v>417100.36</v>
      </c>
      <c r="BI19" s="37">
        <f>+'30'!C20</f>
        <v>103</v>
      </c>
      <c r="BJ19" s="37">
        <f>+'30'!D20</f>
        <v>178015.82</v>
      </c>
      <c r="BK19" s="37">
        <f>+'31'!C20</f>
        <v>0</v>
      </c>
      <c r="BL19" s="37">
        <f>+'31'!D20</f>
        <v>0</v>
      </c>
      <c r="BM19" s="37">
        <f t="shared" si="0"/>
        <v>512</v>
      </c>
      <c r="BN19" s="30">
        <f t="shared" si="1"/>
        <v>3610196.3899999992</v>
      </c>
    </row>
    <row r="20" spans="1:66" s="71" customFormat="1">
      <c r="A20" s="27"/>
      <c r="B20" s="70" t="s">
        <v>20</v>
      </c>
      <c r="C20" s="37">
        <f>+'01'!C21</f>
        <v>0</v>
      </c>
      <c r="D20" s="30">
        <f>+'01'!D21</f>
        <v>0</v>
      </c>
      <c r="E20" s="37">
        <f>+'02'!C21</f>
        <v>0</v>
      </c>
      <c r="F20" s="17">
        <f>+'02'!D21</f>
        <v>0</v>
      </c>
      <c r="G20" s="37">
        <f>+'03'!C21</f>
        <v>0</v>
      </c>
      <c r="H20" s="17">
        <f>+'03'!D21</f>
        <v>0</v>
      </c>
      <c r="I20" s="37">
        <f>+'04'!C21</f>
        <v>0</v>
      </c>
      <c r="J20" s="17">
        <f>+'04'!D21</f>
        <v>0</v>
      </c>
      <c r="K20" s="37">
        <f>+'05'!C21</f>
        <v>0</v>
      </c>
      <c r="L20" s="17">
        <f>+'05'!D21</f>
        <v>0</v>
      </c>
      <c r="M20" s="37">
        <f>+'06'!C21</f>
        <v>0</v>
      </c>
      <c r="N20" s="17">
        <f>+'06'!D21</f>
        <v>0</v>
      </c>
      <c r="O20" s="37">
        <f>+'07'!C21</f>
        <v>0</v>
      </c>
      <c r="P20" s="17">
        <f>+'07'!D21</f>
        <v>0</v>
      </c>
      <c r="Q20" s="37">
        <f>+'08'!C21</f>
        <v>12</v>
      </c>
      <c r="R20" s="17">
        <f>+'08'!D21</f>
        <v>366945.81</v>
      </c>
      <c r="S20" s="37">
        <f>+'09'!C21</f>
        <v>0</v>
      </c>
      <c r="T20" s="17">
        <f>+'09'!D21</f>
        <v>0</v>
      </c>
      <c r="U20" s="37">
        <f>+'10'!C21</f>
        <v>0</v>
      </c>
      <c r="V20" s="17">
        <f>+'10'!D21</f>
        <v>0</v>
      </c>
      <c r="W20" s="37">
        <f>+'11'!C21</f>
        <v>0</v>
      </c>
      <c r="X20" s="17">
        <f>+'11'!D21</f>
        <v>0</v>
      </c>
      <c r="Y20" s="37">
        <f>+'12'!C21</f>
        <v>0</v>
      </c>
      <c r="Z20" s="17">
        <f>+'12'!D21</f>
        <v>0</v>
      </c>
      <c r="AA20" s="37">
        <f>+'13'!C21</f>
        <v>0</v>
      </c>
      <c r="AB20" s="17">
        <f>+'13'!D21</f>
        <v>0</v>
      </c>
      <c r="AC20" s="37">
        <f>+'14'!C21</f>
        <v>0</v>
      </c>
      <c r="AD20" s="17">
        <f>+'14'!D21</f>
        <v>0</v>
      </c>
      <c r="AE20" s="37">
        <f>+'15'!C21</f>
        <v>0</v>
      </c>
      <c r="AF20" s="17">
        <f>+'15'!D21</f>
        <v>0</v>
      </c>
      <c r="AG20" s="37">
        <f>+'16'!C21</f>
        <v>0</v>
      </c>
      <c r="AH20" s="17">
        <f>+'16'!D21</f>
        <v>0</v>
      </c>
      <c r="AI20" s="37">
        <f>+'17'!C21</f>
        <v>14</v>
      </c>
      <c r="AJ20" s="17">
        <f>+'17'!D21</f>
        <v>812100.79</v>
      </c>
      <c r="AK20" s="37">
        <f>+'18'!C21</f>
        <v>0</v>
      </c>
      <c r="AL20" s="17">
        <f>+'18'!D21</f>
        <v>0</v>
      </c>
      <c r="AM20" s="37">
        <f>+'19'!C21</f>
        <v>0</v>
      </c>
      <c r="AN20" s="37">
        <f>+'19'!D21</f>
        <v>0</v>
      </c>
      <c r="AO20" s="37">
        <f>+'20'!C21</f>
        <v>0</v>
      </c>
      <c r="AP20" s="37">
        <f>+'20'!D21</f>
        <v>0</v>
      </c>
      <c r="AQ20" s="37">
        <f>+'21'!C21</f>
        <v>0</v>
      </c>
      <c r="AR20" s="37">
        <f>+'21'!D21</f>
        <v>0</v>
      </c>
      <c r="AS20" s="37">
        <f>+'22'!C21</f>
        <v>10</v>
      </c>
      <c r="AT20" s="37">
        <f>+'22'!D21</f>
        <v>2737615.56</v>
      </c>
      <c r="AU20" s="37">
        <f>+'23'!C21</f>
        <v>0</v>
      </c>
      <c r="AV20" s="37">
        <f>+'23'!D21</f>
        <v>0</v>
      </c>
      <c r="AW20" s="37">
        <f>+'24'!C21</f>
        <v>0</v>
      </c>
      <c r="AX20" s="37">
        <f>+'24'!D21</f>
        <v>0</v>
      </c>
      <c r="AY20" s="37">
        <f>+'25'!C21</f>
        <v>0</v>
      </c>
      <c r="AZ20" s="37">
        <f>+'25'!D21</f>
        <v>0</v>
      </c>
      <c r="BA20" s="37">
        <f>+'26'!C21</f>
        <v>0</v>
      </c>
      <c r="BB20" s="37">
        <f>+'26'!D21</f>
        <v>0</v>
      </c>
      <c r="BC20" s="37">
        <f>+'27'!C21</f>
        <v>0</v>
      </c>
      <c r="BD20" s="37">
        <f>+'27'!D21</f>
        <v>0</v>
      </c>
      <c r="BE20" s="37">
        <f>+'28'!C21</f>
        <v>14</v>
      </c>
      <c r="BF20" s="37">
        <f>+'28'!D21</f>
        <v>1608995.74</v>
      </c>
      <c r="BG20" s="37">
        <f>+'29'!C21</f>
        <v>0</v>
      </c>
      <c r="BH20" s="37">
        <f>+'29'!D21</f>
        <v>0</v>
      </c>
      <c r="BI20" s="37">
        <f>+'30'!C21</f>
        <v>0</v>
      </c>
      <c r="BJ20" s="37">
        <f>+'30'!D21</f>
        <v>0</v>
      </c>
      <c r="BK20" s="37">
        <f>+'31'!C21</f>
        <v>0</v>
      </c>
      <c r="BL20" s="37">
        <f>+'31'!D21</f>
        <v>0</v>
      </c>
      <c r="BM20" s="37">
        <f t="shared" si="0"/>
        <v>50</v>
      </c>
      <c r="BN20" s="30">
        <f t="shared" si="1"/>
        <v>5525657.9000000004</v>
      </c>
    </row>
    <row r="21" spans="1:66" s="15" customFormat="1">
      <c r="A21" s="11">
        <v>10</v>
      </c>
      <c r="B21" s="12" t="s">
        <v>21</v>
      </c>
      <c r="C21" s="36">
        <f>+'01'!C22</f>
        <v>676</v>
      </c>
      <c r="D21" s="56">
        <f>+'01'!D22</f>
        <v>1660407.46</v>
      </c>
      <c r="E21" s="36">
        <f>+'02'!C22</f>
        <v>699</v>
      </c>
      <c r="F21" s="7">
        <f>+'02'!D22</f>
        <v>938187.56</v>
      </c>
      <c r="G21" s="36">
        <f>+'03'!C22</f>
        <v>667</v>
      </c>
      <c r="H21" s="7">
        <f>+'03'!D22</f>
        <v>865509.33</v>
      </c>
      <c r="I21" s="36">
        <f>+'04'!C22</f>
        <v>642</v>
      </c>
      <c r="J21" s="7">
        <f>+'04'!D22</f>
        <v>774877.8</v>
      </c>
      <c r="K21" s="36">
        <f>+'05'!C22</f>
        <v>185</v>
      </c>
      <c r="L21" s="7">
        <f>+'05'!D22</f>
        <v>226607</v>
      </c>
      <c r="M21" s="36">
        <f>+'06'!C22</f>
        <v>137</v>
      </c>
      <c r="N21" s="7">
        <f>+'06'!D22</f>
        <v>133636.25</v>
      </c>
      <c r="O21" s="36">
        <f>+'07'!C22</f>
        <v>782</v>
      </c>
      <c r="P21" s="7">
        <f>+'07'!D22</f>
        <v>978100.91</v>
      </c>
      <c r="Q21" s="36">
        <f>+'08'!C22</f>
        <v>712</v>
      </c>
      <c r="R21" s="7">
        <f>+'08'!D22</f>
        <v>838568.94</v>
      </c>
      <c r="S21" s="36">
        <f>+'09'!C22</f>
        <v>686</v>
      </c>
      <c r="T21" s="7">
        <f>+'09'!D22</f>
        <v>983400.33</v>
      </c>
      <c r="U21" s="36">
        <f>+'10'!C22</f>
        <v>691</v>
      </c>
      <c r="V21" s="7">
        <f>+'10'!D22</f>
        <v>936833.08</v>
      </c>
      <c r="W21" s="36">
        <f>+'11'!C22</f>
        <v>644</v>
      </c>
      <c r="X21" s="7">
        <f>+'11'!D22</f>
        <v>730131.14</v>
      </c>
      <c r="Y21" s="36">
        <f>+'12'!C22</f>
        <v>140</v>
      </c>
      <c r="Z21" s="7">
        <f>+'12'!D22</f>
        <v>80634.75</v>
      </c>
      <c r="AA21" s="36">
        <f>+'13'!C22</f>
        <v>115</v>
      </c>
      <c r="AB21" s="7">
        <f>+'13'!D22</f>
        <v>110851.5</v>
      </c>
      <c r="AC21" s="36">
        <f>+'14'!C22</f>
        <v>653</v>
      </c>
      <c r="AD21" s="7">
        <f>+'14'!D22</f>
        <v>821070.08</v>
      </c>
      <c r="AE21" s="36">
        <f>+'15'!C22</f>
        <v>704</v>
      </c>
      <c r="AF21" s="7">
        <f>+'15'!D22</f>
        <v>919973.33</v>
      </c>
      <c r="AG21" s="36">
        <f>+'16'!C22</f>
        <v>710</v>
      </c>
      <c r="AH21" s="7">
        <f>+'16'!D22</f>
        <v>1041912.54</v>
      </c>
      <c r="AI21" s="36">
        <f>+'17'!C22</f>
        <v>740</v>
      </c>
      <c r="AJ21" s="7">
        <f>+'17'!D22</f>
        <v>1010093.96</v>
      </c>
      <c r="AK21" s="36">
        <f>+'18'!C22</f>
        <v>612</v>
      </c>
      <c r="AL21" s="7">
        <f>+'18'!D22</f>
        <v>774252.67</v>
      </c>
      <c r="AM21" s="36">
        <f>+'19'!C22</f>
        <v>149</v>
      </c>
      <c r="AN21" s="36">
        <f>+'19'!D22</f>
        <v>116848.25</v>
      </c>
      <c r="AO21" s="36">
        <f>+'20'!C22</f>
        <v>135</v>
      </c>
      <c r="AP21" s="36">
        <f>+'20'!D22</f>
        <v>155818</v>
      </c>
      <c r="AQ21" s="36">
        <f>+'21'!C22</f>
        <v>692</v>
      </c>
      <c r="AR21" s="36">
        <f>+'21'!D22</f>
        <v>844824.19</v>
      </c>
      <c r="AS21" s="36">
        <f>+'22'!C22</f>
        <v>698</v>
      </c>
      <c r="AT21" s="36">
        <f>+'22'!D22</f>
        <v>866438.97</v>
      </c>
      <c r="AU21" s="36">
        <f>+'23'!C22</f>
        <v>648</v>
      </c>
      <c r="AV21" s="36">
        <f>+'23'!D22</f>
        <v>794683.45</v>
      </c>
      <c r="AW21" s="36">
        <f>+'24'!C22</f>
        <v>671</v>
      </c>
      <c r="AX21" s="36">
        <f>+'24'!D22</f>
        <v>864949.58</v>
      </c>
      <c r="AY21" s="36">
        <f>+'25'!C22</f>
        <v>651</v>
      </c>
      <c r="AZ21" s="36">
        <f>+'25'!D22</f>
        <v>778999.94</v>
      </c>
      <c r="BA21" s="36">
        <f>+'26'!C22</f>
        <v>160</v>
      </c>
      <c r="BB21" s="36">
        <f>+'26'!D22</f>
        <v>161525.5</v>
      </c>
      <c r="BC21" s="36">
        <f>+'27'!C22</f>
        <v>116</v>
      </c>
      <c r="BD21" s="36">
        <f>+'27'!D22</f>
        <v>134518.25</v>
      </c>
      <c r="BE21" s="36">
        <f>+'28'!C22</f>
        <v>638</v>
      </c>
      <c r="BF21" s="36">
        <f>+'28'!D22</f>
        <v>833059.93</v>
      </c>
      <c r="BG21" s="36">
        <f>+'29'!C22</f>
        <v>672</v>
      </c>
      <c r="BH21" s="36">
        <f>+'29'!D22</f>
        <v>856072.97</v>
      </c>
      <c r="BI21" s="36">
        <f>+'30'!C22</f>
        <v>673</v>
      </c>
      <c r="BJ21" s="36">
        <f>+'30'!D22</f>
        <v>896187.06</v>
      </c>
      <c r="BK21" s="36">
        <f>+'31'!C22</f>
        <v>0</v>
      </c>
      <c r="BL21" s="36">
        <f>+'31'!D22</f>
        <v>0</v>
      </c>
      <c r="BM21" s="36">
        <f t="shared" si="0"/>
        <v>16098</v>
      </c>
      <c r="BN21" s="56">
        <f t="shared" si="1"/>
        <v>21128974.719999999</v>
      </c>
    </row>
    <row r="22" spans="1:66">
      <c r="A22" s="10"/>
      <c r="B22" s="12" t="s">
        <v>22</v>
      </c>
      <c r="C22" s="36">
        <f>+'01'!C23</f>
        <v>8</v>
      </c>
      <c r="D22" s="56">
        <f>+'01'!D23</f>
        <v>6699.49</v>
      </c>
      <c r="E22" s="36">
        <f>+'02'!C23</f>
        <v>10</v>
      </c>
      <c r="F22" s="7">
        <f>+'02'!D23</f>
        <v>10215.86</v>
      </c>
      <c r="G22" s="36">
        <f>+'03'!C23</f>
        <v>12</v>
      </c>
      <c r="H22" s="7">
        <f>+'03'!D23</f>
        <v>12373.25</v>
      </c>
      <c r="I22" s="36">
        <f>+'04'!C23</f>
        <v>12</v>
      </c>
      <c r="J22" s="7">
        <f>+'04'!D23</f>
        <v>17662.25</v>
      </c>
      <c r="K22" s="36">
        <f>+'05'!C23</f>
        <v>0</v>
      </c>
      <c r="L22" s="7">
        <f>+'05'!D23</f>
        <v>0</v>
      </c>
      <c r="M22" s="36">
        <f>+'06'!C23</f>
        <v>0</v>
      </c>
      <c r="N22" s="7">
        <f>+'06'!D23</f>
        <v>0</v>
      </c>
      <c r="O22" s="36">
        <f>+'07'!C23</f>
        <v>18</v>
      </c>
      <c r="P22" s="7">
        <f>+'07'!D23</f>
        <v>13612.5</v>
      </c>
      <c r="Q22" s="36">
        <f>+'08'!C23</f>
        <v>23</v>
      </c>
      <c r="R22" s="7">
        <f>+'08'!D23</f>
        <v>61550.25</v>
      </c>
      <c r="S22" s="36">
        <f>+'09'!C23</f>
        <v>16</v>
      </c>
      <c r="T22" s="7">
        <f>+'09'!D23</f>
        <v>31911.1</v>
      </c>
      <c r="U22" s="36">
        <f>+'10'!C23</f>
        <v>8</v>
      </c>
      <c r="V22" s="7">
        <f>+'10'!D23</f>
        <v>6565</v>
      </c>
      <c r="W22" s="36">
        <f>+'11'!C23</f>
        <v>13</v>
      </c>
      <c r="X22" s="7">
        <f>+'11'!D23</f>
        <v>15900.5</v>
      </c>
      <c r="Y22" s="36">
        <f>+'12'!C23</f>
        <v>1</v>
      </c>
      <c r="Z22" s="7">
        <f>+'12'!D23</f>
        <v>8150</v>
      </c>
      <c r="AA22" s="36">
        <f>+'13'!C23</f>
        <v>0</v>
      </c>
      <c r="AB22" s="7">
        <f>+'13'!D23</f>
        <v>0</v>
      </c>
      <c r="AC22" s="36">
        <f>+'14'!C23</f>
        <v>16</v>
      </c>
      <c r="AD22" s="7">
        <f>+'14'!D23</f>
        <v>43878.25</v>
      </c>
      <c r="AE22" s="36">
        <f>+'15'!C23</f>
        <v>13</v>
      </c>
      <c r="AF22" s="7">
        <f>+'15'!D23</f>
        <v>42419.86</v>
      </c>
      <c r="AG22" s="36">
        <f>+'16'!C23</f>
        <v>13</v>
      </c>
      <c r="AH22" s="7">
        <f>+'16'!D23</f>
        <v>30094.49</v>
      </c>
      <c r="AI22" s="36">
        <f>+'17'!C23</f>
        <v>12</v>
      </c>
      <c r="AJ22" s="7">
        <f>+'17'!D23</f>
        <v>31606.5</v>
      </c>
      <c r="AK22" s="36">
        <f>+'18'!C23</f>
        <v>15</v>
      </c>
      <c r="AL22" s="7">
        <f>+'18'!D23</f>
        <v>16069.5</v>
      </c>
      <c r="AM22" s="36">
        <f>+'19'!C23</f>
        <v>1</v>
      </c>
      <c r="AN22" s="36">
        <f>+'19'!D23</f>
        <v>7070</v>
      </c>
      <c r="AO22" s="36">
        <f>+'20'!C23</f>
        <v>0</v>
      </c>
      <c r="AP22" s="36">
        <f>+'20'!D23</f>
        <v>0</v>
      </c>
      <c r="AQ22" s="36">
        <f>+'21'!C23</f>
        <v>13</v>
      </c>
      <c r="AR22" s="36">
        <f>+'21'!D23</f>
        <v>47849.25</v>
      </c>
      <c r="AS22" s="36">
        <f>+'22'!C23</f>
        <v>16</v>
      </c>
      <c r="AT22" s="36">
        <f>+'22'!D23</f>
        <v>67892.240000000005</v>
      </c>
      <c r="AU22" s="36">
        <f>+'23'!C23</f>
        <v>11</v>
      </c>
      <c r="AV22" s="36">
        <f>+'23'!D23</f>
        <v>35073.75</v>
      </c>
      <c r="AW22" s="36">
        <f>+'24'!C23</f>
        <v>15</v>
      </c>
      <c r="AX22" s="36">
        <f>+'24'!D23</f>
        <v>39028.25</v>
      </c>
      <c r="AY22" s="36">
        <f>+'25'!C23</f>
        <v>14</v>
      </c>
      <c r="AZ22" s="36">
        <f>+'25'!D23</f>
        <v>28681.5</v>
      </c>
      <c r="BA22" s="36">
        <f>+'26'!C23</f>
        <v>0</v>
      </c>
      <c r="BB22" s="36">
        <f>+'26'!D23</f>
        <v>0</v>
      </c>
      <c r="BC22" s="36">
        <f>+'27'!C23</f>
        <v>0</v>
      </c>
      <c r="BD22" s="36">
        <f>+'27'!D23</f>
        <v>0</v>
      </c>
      <c r="BE22" s="36">
        <f>+'28'!C23</f>
        <v>14</v>
      </c>
      <c r="BF22" s="36">
        <f>+'28'!D23</f>
        <v>9322.25</v>
      </c>
      <c r="BG22" s="36">
        <f>+'29'!C23</f>
        <v>12</v>
      </c>
      <c r="BH22" s="36">
        <f>+'29'!D23</f>
        <v>14436.86</v>
      </c>
      <c r="BI22" s="36">
        <f>+'30'!C23</f>
        <v>17</v>
      </c>
      <c r="BJ22" s="36">
        <f>+'30'!D23</f>
        <v>33006.97</v>
      </c>
      <c r="BK22" s="36">
        <f>+'31'!C23</f>
        <v>0</v>
      </c>
      <c r="BL22" s="36">
        <f>+'31'!D23</f>
        <v>0</v>
      </c>
      <c r="BM22" s="36">
        <f t="shared" si="0"/>
        <v>303</v>
      </c>
      <c r="BN22" s="56">
        <f t="shared" si="1"/>
        <v>631069.87</v>
      </c>
    </row>
    <row r="23" spans="1:66">
      <c r="A23" s="10"/>
      <c r="B23" s="12" t="s">
        <v>23</v>
      </c>
      <c r="C23" s="36">
        <f>+'01'!C24</f>
        <v>0</v>
      </c>
      <c r="D23" s="56">
        <f>+'01'!D24</f>
        <v>0</v>
      </c>
      <c r="E23" s="36">
        <f>+'02'!C24</f>
        <v>0</v>
      </c>
      <c r="F23" s="7">
        <f>+'02'!D24</f>
        <v>0</v>
      </c>
      <c r="G23" s="36">
        <f>+'03'!C24</f>
        <v>0</v>
      </c>
      <c r="H23" s="7">
        <f>+'03'!D24</f>
        <v>0</v>
      </c>
      <c r="I23" s="36">
        <f>+'04'!C24</f>
        <v>0</v>
      </c>
      <c r="J23" s="7">
        <f>+'04'!D24</f>
        <v>0</v>
      </c>
      <c r="K23" s="36">
        <f>+'05'!C24</f>
        <v>0</v>
      </c>
      <c r="L23" s="7">
        <f>+'05'!D24</f>
        <v>0</v>
      </c>
      <c r="M23" s="36">
        <f>+'06'!C24</f>
        <v>0</v>
      </c>
      <c r="N23" s="7">
        <f>+'06'!D24</f>
        <v>0</v>
      </c>
      <c r="O23" s="36">
        <f>+'07'!C24</f>
        <v>0</v>
      </c>
      <c r="P23" s="7">
        <f>+'07'!D24</f>
        <v>0</v>
      </c>
      <c r="Q23" s="36">
        <f>+'08'!C24</f>
        <v>0</v>
      </c>
      <c r="R23" s="7">
        <f>+'08'!D24</f>
        <v>0</v>
      </c>
      <c r="S23" s="36">
        <f>+'09'!C24</f>
        <v>36</v>
      </c>
      <c r="T23" s="7">
        <f>+'09'!D24</f>
        <v>0</v>
      </c>
      <c r="U23" s="36">
        <f>+'10'!C24</f>
        <v>0</v>
      </c>
      <c r="V23" s="7">
        <f>+'10'!D24</f>
        <v>0</v>
      </c>
      <c r="W23" s="36">
        <f>+'11'!C24</f>
        <v>0</v>
      </c>
      <c r="X23" s="7">
        <f>+'11'!D24</f>
        <v>0</v>
      </c>
      <c r="Y23" s="36">
        <f>+'12'!C24</f>
        <v>0</v>
      </c>
      <c r="Z23" s="7">
        <f>+'12'!D24</f>
        <v>0</v>
      </c>
      <c r="AA23" s="36">
        <f>+'13'!C24</f>
        <v>0</v>
      </c>
      <c r="AB23" s="7">
        <f>+'13'!D24</f>
        <v>0</v>
      </c>
      <c r="AC23" s="36">
        <f>+'14'!C24</f>
        <v>0</v>
      </c>
      <c r="AD23" s="7">
        <f>+'14'!D24</f>
        <v>0</v>
      </c>
      <c r="AE23" s="36">
        <f>+'15'!C24</f>
        <v>0</v>
      </c>
      <c r="AF23" s="7">
        <f>+'15'!D24</f>
        <v>0</v>
      </c>
      <c r="AG23" s="36">
        <f>+'16'!C24</f>
        <v>0</v>
      </c>
      <c r="AH23" s="7">
        <f>+'16'!D24</f>
        <v>0</v>
      </c>
      <c r="AI23" s="36">
        <f>+'17'!C24</f>
        <v>0</v>
      </c>
      <c r="AJ23" s="7">
        <f>+'17'!D24</f>
        <v>0</v>
      </c>
      <c r="AK23" s="36">
        <f>+'18'!C24</f>
        <v>0</v>
      </c>
      <c r="AL23" s="7">
        <f>+'18'!D24</f>
        <v>0</v>
      </c>
      <c r="AM23" s="36">
        <f>+'19'!C24</f>
        <v>0</v>
      </c>
      <c r="AN23" s="36">
        <f>+'19'!D24</f>
        <v>0</v>
      </c>
      <c r="AO23" s="36">
        <f>+'20'!C24</f>
        <v>0</v>
      </c>
      <c r="AP23" s="36">
        <f>+'20'!D24</f>
        <v>0</v>
      </c>
      <c r="AQ23" s="36">
        <f>+'21'!C24</f>
        <v>0</v>
      </c>
      <c r="AR23" s="36">
        <f>+'21'!D24</f>
        <v>0</v>
      </c>
      <c r="AS23" s="36">
        <f>+'22'!C24</f>
        <v>0</v>
      </c>
      <c r="AT23" s="36">
        <f>+'22'!D24</f>
        <v>0</v>
      </c>
      <c r="AU23" s="36">
        <f>+'23'!C24</f>
        <v>0</v>
      </c>
      <c r="AV23" s="36">
        <f>+'23'!D24</f>
        <v>0</v>
      </c>
      <c r="AW23" s="36">
        <f>+'24'!C24</f>
        <v>0</v>
      </c>
      <c r="AX23" s="36">
        <f>+'24'!D24</f>
        <v>0</v>
      </c>
      <c r="AY23" s="36">
        <f>+'25'!C24</f>
        <v>0</v>
      </c>
      <c r="AZ23" s="36">
        <f>+'25'!D24</f>
        <v>0</v>
      </c>
      <c r="BA23" s="36">
        <f>+'26'!C24</f>
        <v>0</v>
      </c>
      <c r="BB23" s="36">
        <f>+'26'!D24</f>
        <v>0</v>
      </c>
      <c r="BC23" s="36">
        <f>+'27'!C24</f>
        <v>0</v>
      </c>
      <c r="BD23" s="36">
        <f>+'27'!D24</f>
        <v>0</v>
      </c>
      <c r="BE23" s="36">
        <f>+'28'!C24</f>
        <v>0</v>
      </c>
      <c r="BF23" s="36">
        <f>+'28'!D24</f>
        <v>0</v>
      </c>
      <c r="BG23" s="36">
        <f>+'29'!C24</f>
        <v>0</v>
      </c>
      <c r="BH23" s="36">
        <f>+'29'!D24</f>
        <v>0</v>
      </c>
      <c r="BI23" s="36">
        <f>+'30'!C24</f>
        <v>0</v>
      </c>
      <c r="BJ23" s="36">
        <f>+'30'!D24</f>
        <v>0</v>
      </c>
      <c r="BK23" s="36">
        <f>+'31'!C24</f>
        <v>0</v>
      </c>
      <c r="BL23" s="36">
        <f>+'31'!D24</f>
        <v>0</v>
      </c>
      <c r="BM23" s="36">
        <f t="shared" si="0"/>
        <v>36</v>
      </c>
      <c r="BN23" s="56">
        <f t="shared" si="1"/>
        <v>0</v>
      </c>
    </row>
    <row r="24" spans="1:66">
      <c r="A24" s="10"/>
      <c r="B24" s="12" t="s">
        <v>24</v>
      </c>
      <c r="C24" s="36">
        <f>+'01'!C25</f>
        <v>0</v>
      </c>
      <c r="D24" s="56">
        <f>+'01'!D25</f>
        <v>0</v>
      </c>
      <c r="E24" s="36">
        <f>+'02'!C25</f>
        <v>0</v>
      </c>
      <c r="F24" s="7">
        <f>+'02'!D25</f>
        <v>0</v>
      </c>
      <c r="G24" s="36">
        <f>+'03'!C25</f>
        <v>0</v>
      </c>
      <c r="H24" s="7">
        <f>+'03'!D25</f>
        <v>0</v>
      </c>
      <c r="I24" s="36">
        <f>+'04'!C25</f>
        <v>0</v>
      </c>
      <c r="J24" s="7">
        <f>+'04'!D25</f>
        <v>0</v>
      </c>
      <c r="K24" s="36">
        <f>+'05'!C25</f>
        <v>0</v>
      </c>
      <c r="L24" s="7">
        <f>+'05'!D25</f>
        <v>0</v>
      </c>
      <c r="M24" s="36">
        <f>+'06'!C25</f>
        <v>0</v>
      </c>
      <c r="N24" s="7">
        <f>+'06'!D25</f>
        <v>0</v>
      </c>
      <c r="O24" s="36">
        <f>+'07'!C25</f>
        <v>0</v>
      </c>
      <c r="P24" s="7">
        <f>+'07'!D25</f>
        <v>0</v>
      </c>
      <c r="Q24" s="36">
        <f>+'08'!C25</f>
        <v>0</v>
      </c>
      <c r="R24" s="7">
        <f>+'08'!D25</f>
        <v>0</v>
      </c>
      <c r="S24" s="36">
        <f>+'09'!C25</f>
        <v>2</v>
      </c>
      <c r="T24" s="7">
        <f>+'09'!D25</f>
        <v>0</v>
      </c>
      <c r="U24" s="36">
        <f>+'10'!C25</f>
        <v>0</v>
      </c>
      <c r="V24" s="7">
        <f>+'10'!D25</f>
        <v>0</v>
      </c>
      <c r="W24" s="36">
        <f>+'11'!C25</f>
        <v>0</v>
      </c>
      <c r="X24" s="7">
        <f>+'11'!D25</f>
        <v>0</v>
      </c>
      <c r="Y24" s="36">
        <f>+'12'!C25</f>
        <v>0</v>
      </c>
      <c r="Z24" s="7">
        <f>+'12'!D25</f>
        <v>0</v>
      </c>
      <c r="AA24" s="36">
        <f>+'13'!C25</f>
        <v>0</v>
      </c>
      <c r="AB24" s="7">
        <f>+'13'!D25</f>
        <v>0</v>
      </c>
      <c r="AC24" s="36">
        <f>+'14'!C25</f>
        <v>0</v>
      </c>
      <c r="AD24" s="7">
        <f>+'14'!D25</f>
        <v>0</v>
      </c>
      <c r="AE24" s="36">
        <f>+'15'!C25</f>
        <v>0</v>
      </c>
      <c r="AF24" s="7">
        <f>+'15'!D25</f>
        <v>0</v>
      </c>
      <c r="AG24" s="36">
        <f>+'16'!C25</f>
        <v>0</v>
      </c>
      <c r="AH24" s="7">
        <f>+'16'!D25</f>
        <v>0</v>
      </c>
      <c r="AI24" s="36">
        <f>+'17'!C25</f>
        <v>0</v>
      </c>
      <c r="AJ24" s="7">
        <f>+'17'!D25</f>
        <v>0</v>
      </c>
      <c r="AK24" s="36">
        <f>+'18'!C25</f>
        <v>0</v>
      </c>
      <c r="AL24" s="7">
        <f>+'18'!D25</f>
        <v>0</v>
      </c>
      <c r="AM24" s="36">
        <f>+'19'!C25</f>
        <v>0</v>
      </c>
      <c r="AN24" s="36">
        <f>+'19'!D25</f>
        <v>0</v>
      </c>
      <c r="AO24" s="36">
        <f>+'20'!C25</f>
        <v>0</v>
      </c>
      <c r="AP24" s="36">
        <f>+'20'!D25</f>
        <v>0</v>
      </c>
      <c r="AQ24" s="36">
        <f>+'21'!C25</f>
        <v>0</v>
      </c>
      <c r="AR24" s="36">
        <f>+'21'!D25</f>
        <v>0</v>
      </c>
      <c r="AS24" s="36">
        <f>+'22'!C25</f>
        <v>0</v>
      </c>
      <c r="AT24" s="36">
        <f>+'22'!D25</f>
        <v>0</v>
      </c>
      <c r="AU24" s="36">
        <f>+'23'!C25</f>
        <v>0</v>
      </c>
      <c r="AV24" s="36">
        <f>+'23'!D25</f>
        <v>0</v>
      </c>
      <c r="AW24" s="36">
        <f>+'24'!C25</f>
        <v>0</v>
      </c>
      <c r="AX24" s="36">
        <f>+'24'!D25</f>
        <v>0</v>
      </c>
      <c r="AY24" s="36">
        <f>+'25'!C25</f>
        <v>0</v>
      </c>
      <c r="AZ24" s="36">
        <f>+'25'!D25</f>
        <v>0</v>
      </c>
      <c r="BA24" s="36">
        <f>+'26'!C25</f>
        <v>0</v>
      </c>
      <c r="BB24" s="36">
        <f>+'26'!D25</f>
        <v>0</v>
      </c>
      <c r="BC24" s="36">
        <f>+'27'!C25</f>
        <v>0</v>
      </c>
      <c r="BD24" s="36">
        <f>+'27'!D25</f>
        <v>0</v>
      </c>
      <c r="BE24" s="36">
        <f>+'28'!C25</f>
        <v>0</v>
      </c>
      <c r="BF24" s="36">
        <f>+'28'!D25</f>
        <v>0</v>
      </c>
      <c r="BG24" s="36">
        <f>+'29'!C25</f>
        <v>0</v>
      </c>
      <c r="BH24" s="36">
        <f>+'29'!D25</f>
        <v>0</v>
      </c>
      <c r="BI24" s="36">
        <f>+'30'!C25</f>
        <v>0</v>
      </c>
      <c r="BJ24" s="36">
        <f>+'30'!D25</f>
        <v>0</v>
      </c>
      <c r="BK24" s="36">
        <f>+'31'!C25</f>
        <v>0</v>
      </c>
      <c r="BL24" s="36">
        <f>+'31'!D25</f>
        <v>0</v>
      </c>
      <c r="BM24" s="36">
        <f t="shared" si="0"/>
        <v>2</v>
      </c>
      <c r="BN24" s="56">
        <f t="shared" si="1"/>
        <v>0</v>
      </c>
    </row>
    <row r="25" spans="1:66">
      <c r="A25" s="10"/>
      <c r="B25" s="12" t="s">
        <v>25</v>
      </c>
      <c r="C25" s="36">
        <f>+'01'!C26</f>
        <v>5</v>
      </c>
      <c r="D25" s="56">
        <f>+'01'!D26</f>
        <v>9047.5</v>
      </c>
      <c r="E25" s="36">
        <f>+'02'!C26</f>
        <v>5</v>
      </c>
      <c r="F25" s="7">
        <f>+'02'!D26</f>
        <v>7115.5</v>
      </c>
      <c r="G25" s="36">
        <f>+'03'!C26</f>
        <v>6</v>
      </c>
      <c r="H25" s="7">
        <f>+'03'!D26</f>
        <v>2410</v>
      </c>
      <c r="I25" s="36">
        <f>+'04'!C26</f>
        <v>7</v>
      </c>
      <c r="J25" s="7">
        <f>+'04'!D26</f>
        <v>14704.75</v>
      </c>
      <c r="K25" s="36">
        <f>+'05'!C26</f>
        <v>0</v>
      </c>
      <c r="L25" s="7">
        <f>+'05'!D26</f>
        <v>0</v>
      </c>
      <c r="M25" s="36">
        <f>+'06'!C26</f>
        <v>0</v>
      </c>
      <c r="N25" s="7">
        <f>+'06'!D26</f>
        <v>0</v>
      </c>
      <c r="O25" s="36">
        <f>+'07'!C26</f>
        <v>0</v>
      </c>
      <c r="P25" s="7">
        <f>+'07'!D26</f>
        <v>0</v>
      </c>
      <c r="Q25" s="36">
        <f>+'08'!C26</f>
        <v>4</v>
      </c>
      <c r="R25" s="7">
        <f>+'08'!D26</f>
        <v>5847.5</v>
      </c>
      <c r="S25" s="36">
        <f>+'09'!C26</f>
        <v>0</v>
      </c>
      <c r="T25" s="7">
        <f>+'09'!D26</f>
        <v>18964</v>
      </c>
      <c r="U25" s="36">
        <f>+'10'!C26</f>
        <v>8</v>
      </c>
      <c r="V25" s="7">
        <f>+'10'!D26</f>
        <v>6296</v>
      </c>
      <c r="W25" s="36">
        <f>+'11'!C26</f>
        <v>7</v>
      </c>
      <c r="X25" s="7">
        <f>+'11'!D26</f>
        <v>3360</v>
      </c>
      <c r="Y25" s="36">
        <f>+'12'!C26</f>
        <v>0</v>
      </c>
      <c r="Z25" s="7">
        <f>+'12'!D26</f>
        <v>0</v>
      </c>
      <c r="AA25" s="36">
        <f>+'13'!C26</f>
        <v>0</v>
      </c>
      <c r="AB25" s="7">
        <f>+'13'!D26</f>
        <v>0</v>
      </c>
      <c r="AC25" s="36">
        <f>+'14'!C26</f>
        <v>85</v>
      </c>
      <c r="AD25" s="7">
        <f>+'14'!D26</f>
        <v>50550</v>
      </c>
      <c r="AE25" s="36">
        <f>+'15'!C26</f>
        <v>15</v>
      </c>
      <c r="AF25" s="7">
        <f>+'15'!D26</f>
        <v>27495.5</v>
      </c>
      <c r="AG25" s="36">
        <f>+'16'!C26</f>
        <v>41</v>
      </c>
      <c r="AH25" s="7">
        <f>+'16'!D26</f>
        <v>25233</v>
      </c>
      <c r="AI25" s="36">
        <f>+'17'!C26</f>
        <v>4</v>
      </c>
      <c r="AJ25" s="7">
        <f>+'17'!D26</f>
        <v>24783.5</v>
      </c>
      <c r="AK25" s="36">
        <f>+'18'!C26</f>
        <v>16</v>
      </c>
      <c r="AL25" s="7">
        <f>+'18'!D26</f>
        <v>23152</v>
      </c>
      <c r="AM25" s="36">
        <f>+'19'!C26</f>
        <v>0</v>
      </c>
      <c r="AN25" s="36">
        <f>+'19'!D26</f>
        <v>0</v>
      </c>
      <c r="AO25" s="36">
        <f>+'20'!C26</f>
        <v>0</v>
      </c>
      <c r="AP25" s="36">
        <f>+'20'!D26</f>
        <v>0</v>
      </c>
      <c r="AQ25" s="36">
        <f>+'21'!C26</f>
        <v>12</v>
      </c>
      <c r="AR25" s="36">
        <f>+'21'!D26</f>
        <v>23897</v>
      </c>
      <c r="AS25" s="36">
        <f>+'22'!C26</f>
        <v>37</v>
      </c>
      <c r="AT25" s="36">
        <f>+'22'!D26</f>
        <v>55685</v>
      </c>
      <c r="AU25" s="36">
        <f>+'23'!C26</f>
        <v>10</v>
      </c>
      <c r="AV25" s="36">
        <f>+'23'!D26</f>
        <v>10895.25</v>
      </c>
      <c r="AW25" s="36">
        <f>+'24'!C26</f>
        <v>10</v>
      </c>
      <c r="AX25" s="36">
        <f>+'24'!D26</f>
        <v>3900</v>
      </c>
      <c r="AY25" s="36">
        <f>+'25'!C26</f>
        <v>7</v>
      </c>
      <c r="AZ25" s="36">
        <f>+'25'!D26</f>
        <v>3542</v>
      </c>
      <c r="BA25" s="36">
        <f>+'26'!C26</f>
        <v>0</v>
      </c>
      <c r="BB25" s="36">
        <f>+'26'!D26</f>
        <v>0</v>
      </c>
      <c r="BC25" s="36">
        <f>+'27'!C26</f>
        <v>0</v>
      </c>
      <c r="BD25" s="36">
        <f>+'27'!D26</f>
        <v>0</v>
      </c>
      <c r="BE25" s="36">
        <f>+'28'!C26</f>
        <v>6</v>
      </c>
      <c r="BF25" s="36">
        <f>+'28'!D26</f>
        <v>4110</v>
      </c>
      <c r="BG25" s="36">
        <f>+'29'!C26</f>
        <v>5</v>
      </c>
      <c r="BH25" s="36">
        <f>+'29'!D26</f>
        <v>9267.5</v>
      </c>
      <c r="BI25" s="36">
        <f>+'30'!C26</f>
        <v>32</v>
      </c>
      <c r="BJ25" s="36">
        <f>+'30'!D26</f>
        <v>32216</v>
      </c>
      <c r="BK25" s="36">
        <f>+'31'!C26</f>
        <v>0</v>
      </c>
      <c r="BL25" s="36">
        <f>+'31'!D26</f>
        <v>0</v>
      </c>
      <c r="BM25" s="36">
        <f t="shared" si="0"/>
        <v>322</v>
      </c>
      <c r="BN25" s="56">
        <f t="shared" si="1"/>
        <v>362472</v>
      </c>
    </row>
    <row r="26" spans="1:66">
      <c r="A26" s="10"/>
      <c r="B26" s="12" t="s">
        <v>26</v>
      </c>
      <c r="C26" s="36">
        <f>+'01'!C27</f>
        <v>6</v>
      </c>
      <c r="D26" s="56">
        <f>+'01'!D27</f>
        <v>4980.5</v>
      </c>
      <c r="E26" s="36">
        <f>+'02'!C27</f>
        <v>2</v>
      </c>
      <c r="F26" s="7">
        <f>+'02'!D27</f>
        <v>664</v>
      </c>
      <c r="G26" s="36">
        <f>+'03'!C27</f>
        <v>5</v>
      </c>
      <c r="H26" s="7">
        <f>+'03'!D27</f>
        <v>2192.5</v>
      </c>
      <c r="I26" s="36">
        <f>+'04'!C27</f>
        <v>3</v>
      </c>
      <c r="J26" s="7">
        <f>+'04'!D27</f>
        <v>1899.25</v>
      </c>
      <c r="K26" s="36">
        <f>+'05'!C27</f>
        <v>0</v>
      </c>
      <c r="L26" s="7">
        <f>+'05'!D27</f>
        <v>0</v>
      </c>
      <c r="M26" s="36">
        <f>+'06'!C27</f>
        <v>0</v>
      </c>
      <c r="N26" s="7">
        <f>+'06'!D27</f>
        <v>0</v>
      </c>
      <c r="O26" s="36">
        <f>+'07'!C27</f>
        <v>2</v>
      </c>
      <c r="P26" s="7">
        <f>+'07'!D27</f>
        <v>1726.5</v>
      </c>
      <c r="Q26" s="36">
        <f>+'08'!C27</f>
        <v>4</v>
      </c>
      <c r="R26" s="7">
        <f>+'08'!D27</f>
        <v>1560</v>
      </c>
      <c r="S26" s="36">
        <f>+'09'!C27</f>
        <v>0</v>
      </c>
      <c r="T26" s="7">
        <f>+'09'!D27</f>
        <v>706.5</v>
      </c>
      <c r="U26" s="36">
        <f>+'10'!C27</f>
        <v>3</v>
      </c>
      <c r="V26" s="7">
        <f>+'10'!D27</f>
        <v>944.5</v>
      </c>
      <c r="W26" s="36">
        <f>+'11'!C27</f>
        <v>6</v>
      </c>
      <c r="X26" s="7">
        <f>+'11'!D27</f>
        <v>6848.25</v>
      </c>
      <c r="Y26" s="36">
        <f>+'12'!C27</f>
        <v>1</v>
      </c>
      <c r="Z26" s="7">
        <f>+'12'!D27</f>
        <v>510</v>
      </c>
      <c r="AA26" s="36">
        <f>+'13'!C27</f>
        <v>0</v>
      </c>
      <c r="AB26" s="7">
        <f>+'13'!D27</f>
        <v>0</v>
      </c>
      <c r="AC26" s="36">
        <f>+'14'!C27</f>
        <v>2</v>
      </c>
      <c r="AD26" s="7">
        <f>+'14'!D27</f>
        <v>930</v>
      </c>
      <c r="AE26" s="36">
        <f>+'15'!C27</f>
        <v>1</v>
      </c>
      <c r="AF26" s="7">
        <f>+'15'!D27</f>
        <v>201</v>
      </c>
      <c r="AG26" s="36">
        <f>+'16'!C27</f>
        <v>1</v>
      </c>
      <c r="AH26" s="7">
        <f>+'16'!D27</f>
        <v>217</v>
      </c>
      <c r="AI26" s="36">
        <f>+'17'!C27</f>
        <v>1</v>
      </c>
      <c r="AJ26" s="7">
        <f>+'17'!D27</f>
        <v>1021</v>
      </c>
      <c r="AK26" s="36">
        <f>+'18'!C27</f>
        <v>2</v>
      </c>
      <c r="AL26" s="7">
        <f>+'18'!D27</f>
        <v>991</v>
      </c>
      <c r="AM26" s="36">
        <f>+'19'!C27</f>
        <v>2</v>
      </c>
      <c r="AN26" s="36">
        <f>+'19'!D27</f>
        <v>1064</v>
      </c>
      <c r="AO26" s="36">
        <f>+'20'!C27</f>
        <v>0</v>
      </c>
      <c r="AP26" s="36">
        <f>+'20'!D27</f>
        <v>0</v>
      </c>
      <c r="AQ26" s="36">
        <f>+'21'!C27</f>
        <v>5</v>
      </c>
      <c r="AR26" s="36">
        <f>+'21'!D27</f>
        <v>3625.25</v>
      </c>
      <c r="AS26" s="36">
        <f>+'22'!C27</f>
        <v>4</v>
      </c>
      <c r="AT26" s="36">
        <f>+'22'!D27</f>
        <v>1483</v>
      </c>
      <c r="AU26" s="36">
        <f>+'23'!C27</f>
        <v>1</v>
      </c>
      <c r="AV26" s="36">
        <f>+'23'!D27</f>
        <v>351</v>
      </c>
      <c r="AW26" s="36">
        <f>+'24'!C27</f>
        <v>0</v>
      </c>
      <c r="AX26" s="36">
        <f>+'24'!D27</f>
        <v>0</v>
      </c>
      <c r="AY26" s="36">
        <f>+'25'!C27</f>
        <v>2</v>
      </c>
      <c r="AZ26" s="36">
        <f>+'25'!D27</f>
        <v>1377</v>
      </c>
      <c r="BA26" s="36">
        <f>+'26'!C27</f>
        <v>1</v>
      </c>
      <c r="BB26" s="36">
        <f>+'26'!D27</f>
        <v>1574.5</v>
      </c>
      <c r="BC26" s="36">
        <f>+'27'!C27</f>
        <v>1</v>
      </c>
      <c r="BD26" s="36">
        <f>+'27'!D27</f>
        <v>150</v>
      </c>
      <c r="BE26" s="36">
        <f>+'28'!C27</f>
        <v>0</v>
      </c>
      <c r="BF26" s="36">
        <f>+'28'!D27</f>
        <v>0</v>
      </c>
      <c r="BG26" s="36">
        <f>+'29'!C27</f>
        <v>4</v>
      </c>
      <c r="BH26" s="36">
        <f>+'29'!D27</f>
        <v>1013.75</v>
      </c>
      <c r="BI26" s="36">
        <f>+'30'!C27</f>
        <v>1</v>
      </c>
      <c r="BJ26" s="36">
        <f>+'30'!D27</f>
        <v>369</v>
      </c>
      <c r="BK26" s="36">
        <f>+'31'!C27</f>
        <v>0</v>
      </c>
      <c r="BL26" s="36">
        <f>+'31'!D27</f>
        <v>0</v>
      </c>
      <c r="BM26" s="36">
        <f t="shared" si="0"/>
        <v>60</v>
      </c>
      <c r="BN26" s="56">
        <f t="shared" si="1"/>
        <v>36399.5</v>
      </c>
    </row>
    <row r="27" spans="1:66" ht="29.25">
      <c r="A27" s="10"/>
      <c r="B27" s="232" t="s">
        <v>269</v>
      </c>
      <c r="C27" s="36"/>
      <c r="D27" s="56"/>
      <c r="E27" s="36"/>
      <c r="F27" s="7"/>
      <c r="G27" s="36"/>
      <c r="H27" s="7"/>
      <c r="I27" s="36"/>
      <c r="J27" s="7"/>
      <c r="K27" s="36"/>
      <c r="L27" s="7"/>
      <c r="M27" s="36"/>
      <c r="N27" s="7"/>
      <c r="O27" s="36"/>
      <c r="P27" s="7"/>
      <c r="Q27" s="36"/>
      <c r="R27" s="7"/>
      <c r="S27" s="36"/>
      <c r="T27" s="7"/>
      <c r="U27" s="36"/>
      <c r="V27" s="7"/>
      <c r="W27" s="36"/>
      <c r="X27" s="7"/>
      <c r="Y27" s="36"/>
      <c r="Z27" s="7"/>
      <c r="AA27" s="36"/>
      <c r="AB27" s="7"/>
      <c r="AC27" s="36"/>
      <c r="AD27" s="7"/>
      <c r="AE27" s="36"/>
      <c r="AF27" s="7"/>
      <c r="AG27" s="36"/>
      <c r="AH27" s="7"/>
      <c r="AI27" s="36"/>
      <c r="AJ27" s="7"/>
      <c r="AK27" s="36"/>
      <c r="AL27" s="7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56"/>
    </row>
    <row r="28" spans="1:66" ht="29.25">
      <c r="A28" s="10"/>
      <c r="B28" s="270" t="s">
        <v>267</v>
      </c>
      <c r="C28" s="36"/>
      <c r="D28" s="56"/>
      <c r="E28" s="36"/>
      <c r="F28" s="7"/>
      <c r="G28" s="36"/>
      <c r="H28" s="7"/>
      <c r="I28" s="36"/>
      <c r="J28" s="7"/>
      <c r="K28" s="36"/>
      <c r="L28" s="7"/>
      <c r="M28" s="36"/>
      <c r="N28" s="7"/>
      <c r="O28" s="36"/>
      <c r="P28" s="7"/>
      <c r="Q28" s="36"/>
      <c r="R28" s="7"/>
      <c r="S28" s="36"/>
      <c r="T28" s="7"/>
      <c r="U28" s="36"/>
      <c r="V28" s="7"/>
      <c r="W28" s="36"/>
      <c r="X28" s="7"/>
      <c r="Y28" s="36"/>
      <c r="Z28" s="7"/>
      <c r="AA28" s="36"/>
      <c r="AB28" s="7"/>
      <c r="AC28" s="36"/>
      <c r="AD28" s="7"/>
      <c r="AE28" s="36"/>
      <c r="AF28" s="7"/>
      <c r="AG28" s="36"/>
      <c r="AH28" s="7"/>
      <c r="AI28" s="36"/>
      <c r="AJ28" s="7"/>
      <c r="AK28" s="36"/>
      <c r="AL28" s="7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56"/>
    </row>
    <row r="29" spans="1:66" ht="29.25">
      <c r="A29" s="10"/>
      <c r="B29" s="232" t="s">
        <v>66</v>
      </c>
      <c r="C29" s="36"/>
      <c r="D29" s="56"/>
      <c r="E29" s="36"/>
      <c r="F29" s="7"/>
      <c r="G29" s="36"/>
      <c r="H29" s="7"/>
      <c r="I29" s="36"/>
      <c r="J29" s="7"/>
      <c r="K29" s="36"/>
      <c r="L29" s="7"/>
      <c r="M29" s="36"/>
      <c r="N29" s="7"/>
      <c r="O29" s="36"/>
      <c r="P29" s="7"/>
      <c r="Q29" s="36"/>
      <c r="R29" s="7"/>
      <c r="S29" s="36"/>
      <c r="T29" s="7"/>
      <c r="U29" s="36"/>
      <c r="V29" s="7"/>
      <c r="W29" s="36"/>
      <c r="X29" s="7"/>
      <c r="Y29" s="36"/>
      <c r="Z29" s="7"/>
      <c r="AA29" s="36"/>
      <c r="AB29" s="7"/>
      <c r="AC29" s="36"/>
      <c r="AD29" s="7"/>
      <c r="AE29" s="36"/>
      <c r="AF29" s="7"/>
      <c r="AG29" s="36"/>
      <c r="AH29" s="7"/>
      <c r="AI29" s="36"/>
      <c r="AJ29" s="7"/>
      <c r="AK29" s="36"/>
      <c r="AL29" s="7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56"/>
    </row>
    <row r="30" spans="1:66" ht="29.25">
      <c r="A30" s="10"/>
      <c r="B30" s="232" t="s">
        <v>268</v>
      </c>
      <c r="C30" s="36"/>
      <c r="D30" s="56"/>
      <c r="E30" s="36"/>
      <c r="F30" s="7"/>
      <c r="G30" s="36"/>
      <c r="H30" s="7"/>
      <c r="I30" s="36"/>
      <c r="J30" s="7"/>
      <c r="K30" s="36"/>
      <c r="L30" s="7"/>
      <c r="M30" s="36"/>
      <c r="N30" s="7"/>
      <c r="O30" s="36"/>
      <c r="P30" s="7"/>
      <c r="Q30" s="36"/>
      <c r="R30" s="7"/>
      <c r="S30" s="36"/>
      <c r="T30" s="7"/>
      <c r="U30" s="36"/>
      <c r="V30" s="7"/>
      <c r="W30" s="36"/>
      <c r="X30" s="7"/>
      <c r="Y30" s="36"/>
      <c r="Z30" s="7"/>
      <c r="AA30" s="36"/>
      <c r="AB30" s="7"/>
      <c r="AC30" s="36"/>
      <c r="AD30" s="7"/>
      <c r="AE30" s="36"/>
      <c r="AF30" s="7"/>
      <c r="AG30" s="36"/>
      <c r="AH30" s="7"/>
      <c r="AI30" s="36"/>
      <c r="AJ30" s="7"/>
      <c r="AK30" s="36"/>
      <c r="AL30" s="7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56"/>
    </row>
    <row r="31" spans="1:66" ht="29.25">
      <c r="A31" s="10"/>
      <c r="B31" s="232" t="s">
        <v>68</v>
      </c>
      <c r="C31" s="36"/>
      <c r="D31" s="56"/>
      <c r="E31" s="36"/>
      <c r="F31" s="7"/>
      <c r="G31" s="36"/>
      <c r="H31" s="7"/>
      <c r="I31" s="36"/>
      <c r="J31" s="7"/>
      <c r="K31" s="36"/>
      <c r="L31" s="7"/>
      <c r="M31" s="36"/>
      <c r="N31" s="7"/>
      <c r="O31" s="36"/>
      <c r="P31" s="7"/>
      <c r="Q31" s="36"/>
      <c r="R31" s="7"/>
      <c r="S31" s="36"/>
      <c r="T31" s="7"/>
      <c r="U31" s="36"/>
      <c r="V31" s="7"/>
      <c r="W31" s="36"/>
      <c r="X31" s="7"/>
      <c r="Y31" s="36"/>
      <c r="Z31" s="7"/>
      <c r="AA31" s="36"/>
      <c r="AB31" s="7"/>
      <c r="AC31" s="36"/>
      <c r="AD31" s="7"/>
      <c r="AE31" s="36"/>
      <c r="AF31" s="7"/>
      <c r="AG31" s="36"/>
      <c r="AH31" s="7"/>
      <c r="AI31" s="36"/>
      <c r="AJ31" s="7"/>
      <c r="AK31" s="36"/>
      <c r="AL31" s="7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56"/>
    </row>
    <row r="32" spans="1:66" s="71" customFormat="1" ht="29.25">
      <c r="A32" s="27">
        <v>11</v>
      </c>
      <c r="B32" s="210" t="s">
        <v>69</v>
      </c>
      <c r="C32" s="37">
        <f>+'01'!C33</f>
        <v>922</v>
      </c>
      <c r="D32" s="30">
        <f>+'01'!D33</f>
        <v>1222242.4099999999</v>
      </c>
      <c r="E32" s="37">
        <f>+'02'!C33</f>
        <v>910</v>
      </c>
      <c r="F32" s="17">
        <f>+'02'!D33</f>
        <v>1266343.77</v>
      </c>
      <c r="G32" s="37">
        <f>+'03'!C33</f>
        <v>901</v>
      </c>
      <c r="H32" s="17">
        <f>+'03'!D33</f>
        <v>1167566.58</v>
      </c>
      <c r="I32" s="37">
        <f>+'04'!C33</f>
        <v>874</v>
      </c>
      <c r="J32" s="17">
        <f>+'04'!D33</f>
        <v>1112166.07</v>
      </c>
      <c r="K32" s="37">
        <f>+'05'!C33</f>
        <v>174</v>
      </c>
      <c r="L32" s="17">
        <f>+'05'!D33</f>
        <v>244067.75</v>
      </c>
      <c r="M32" s="37">
        <f>+'06'!C33</f>
        <v>142</v>
      </c>
      <c r="N32" s="17">
        <f>+'06'!D33</f>
        <v>124433.5</v>
      </c>
      <c r="O32" s="37">
        <f>+'07'!C33</f>
        <v>990</v>
      </c>
      <c r="P32" s="17">
        <f>+'07'!D33</f>
        <v>1387628.48</v>
      </c>
      <c r="Q32" s="37">
        <f>+'08'!C33</f>
        <v>956</v>
      </c>
      <c r="R32" s="17">
        <f>+'08'!D33</f>
        <v>1241451.93</v>
      </c>
      <c r="S32" s="37">
        <f>+'09'!C33</f>
        <v>931</v>
      </c>
      <c r="T32" s="17">
        <f>+'09'!D33</f>
        <v>1462710.2</v>
      </c>
      <c r="U32" s="37">
        <f>+'10'!C33</f>
        <v>973</v>
      </c>
      <c r="V32" s="17">
        <f>+'10'!D33</f>
        <v>1366664.06</v>
      </c>
      <c r="W32" s="37">
        <f>+'11'!C33</f>
        <v>828</v>
      </c>
      <c r="X32" s="17">
        <f>+'11'!D33</f>
        <v>1122964.57</v>
      </c>
      <c r="Y32" s="37">
        <f>+'12'!C33</f>
        <v>144</v>
      </c>
      <c r="Z32" s="17">
        <f>+'12'!D33</f>
        <v>228290</v>
      </c>
      <c r="AA32" s="37">
        <f>+'13'!C33</f>
        <v>155</v>
      </c>
      <c r="AB32" s="17">
        <f>+'13'!D33</f>
        <v>205904.75</v>
      </c>
      <c r="AC32" s="37">
        <f>+'14'!C33</f>
        <v>1007</v>
      </c>
      <c r="AD32" s="17">
        <f>+'14'!D33</f>
        <v>1440432.35</v>
      </c>
      <c r="AE32" s="37">
        <f>+'15'!C33</f>
        <v>1016</v>
      </c>
      <c r="AF32" s="17">
        <f>+'15'!D33</f>
        <v>1353671.45</v>
      </c>
      <c r="AG32" s="37">
        <f>+'16'!C33</f>
        <v>957</v>
      </c>
      <c r="AH32" s="17">
        <f>+'16'!D33</f>
        <v>1485180.67</v>
      </c>
      <c r="AI32" s="37">
        <f>+'17'!C33</f>
        <v>1009</v>
      </c>
      <c r="AJ32" s="17">
        <f>+'17'!D33</f>
        <v>1556664.67</v>
      </c>
      <c r="AK32" s="37">
        <f>+'18'!C33</f>
        <v>830</v>
      </c>
      <c r="AL32" s="17">
        <f>+'18'!D33</f>
        <v>1007904.28</v>
      </c>
      <c r="AM32" s="37">
        <f>+'19'!C33</f>
        <v>182</v>
      </c>
      <c r="AN32" s="37">
        <f>+'19'!D33</f>
        <v>202677.25</v>
      </c>
      <c r="AO32" s="37">
        <f>+'20'!C33</f>
        <v>124</v>
      </c>
      <c r="AP32" s="37">
        <f>+'20'!D33</f>
        <v>212405.5</v>
      </c>
      <c r="AQ32" s="37">
        <f>+'21'!C33</f>
        <v>892</v>
      </c>
      <c r="AR32" s="37">
        <f>+'21'!D33</f>
        <v>1227861.1499999999</v>
      </c>
      <c r="AS32" s="37">
        <f>+'22'!C33</f>
        <v>981</v>
      </c>
      <c r="AT32" s="37">
        <f>+'22'!D33</f>
        <v>1355179.19</v>
      </c>
      <c r="AU32" s="37">
        <f>+'23'!C33</f>
        <v>885</v>
      </c>
      <c r="AV32" s="37">
        <f>+'23'!D33</f>
        <v>1323939.44</v>
      </c>
      <c r="AW32" s="37">
        <f>+'24'!C35</f>
        <v>24</v>
      </c>
      <c r="AX32" s="37">
        <f>+'24'!D35</f>
        <v>41148.11</v>
      </c>
      <c r="AY32" s="37">
        <f>+'25'!C33</f>
        <v>894</v>
      </c>
      <c r="AZ32" s="37">
        <f>+'25'!D33</f>
        <v>1111569.31</v>
      </c>
      <c r="BA32" s="37">
        <f>+'26'!C33</f>
        <v>154</v>
      </c>
      <c r="BB32" s="37">
        <f>+'26'!D33</f>
        <v>205101.25</v>
      </c>
      <c r="BC32" s="37">
        <f>+'27'!C33</f>
        <v>161</v>
      </c>
      <c r="BD32" s="37">
        <f>+'27'!D33</f>
        <v>236420.25</v>
      </c>
      <c r="BE32" s="37">
        <f>+'28'!C33</f>
        <v>918</v>
      </c>
      <c r="BF32" s="37">
        <f>+'28'!D33</f>
        <v>1386783.89</v>
      </c>
      <c r="BG32" s="37">
        <f>+'29'!C33</f>
        <v>979</v>
      </c>
      <c r="BH32" s="37">
        <f>+'29'!D33</f>
        <v>1252206.69</v>
      </c>
      <c r="BI32" s="37">
        <f>+'30'!C33</f>
        <v>874</v>
      </c>
      <c r="BJ32" s="37">
        <f>+'30'!D33</f>
        <v>1381736.26</v>
      </c>
      <c r="BK32" s="37">
        <f>+'31'!C33</f>
        <v>0</v>
      </c>
      <c r="BL32" s="37">
        <f>+'31'!D33</f>
        <v>0</v>
      </c>
      <c r="BM32" s="37">
        <f t="shared" si="0"/>
        <v>20787</v>
      </c>
      <c r="BN32" s="30">
        <f t="shared" si="1"/>
        <v>28933315.780000005</v>
      </c>
    </row>
    <row r="33" spans="1:66" s="71" customFormat="1" ht="29.25">
      <c r="A33" s="27"/>
      <c r="B33" s="210" t="s">
        <v>256</v>
      </c>
      <c r="C33" s="37">
        <f>+'01'!C34</f>
        <v>316</v>
      </c>
      <c r="D33" s="30">
        <f>+'01'!D34</f>
        <v>370752.2</v>
      </c>
      <c r="E33" s="37">
        <f>+'02'!C34</f>
        <v>313</v>
      </c>
      <c r="F33" s="17">
        <f>+'02'!D34</f>
        <v>615414.86</v>
      </c>
      <c r="G33" s="37">
        <f>+'03'!C34</f>
        <v>366</v>
      </c>
      <c r="H33" s="17">
        <f>+'03'!D34</f>
        <v>674531.67</v>
      </c>
      <c r="I33" s="37">
        <f>+'04'!C34</f>
        <v>318</v>
      </c>
      <c r="J33" s="17">
        <f>+'04'!D34</f>
        <v>529573.55000000005</v>
      </c>
      <c r="K33" s="37">
        <f>+'05'!C34</f>
        <v>42</v>
      </c>
      <c r="L33" s="17">
        <f>+'05'!D34</f>
        <v>61069</v>
      </c>
      <c r="M33" s="37">
        <f>+'06'!C34</f>
        <v>34</v>
      </c>
      <c r="N33" s="17">
        <f>+'06'!D34</f>
        <v>116071.5</v>
      </c>
      <c r="O33" s="37">
        <f>+'07'!C34</f>
        <v>366</v>
      </c>
      <c r="P33" s="17">
        <f>+'07'!D34</f>
        <v>570201.81000000006</v>
      </c>
      <c r="Q33" s="37">
        <f>+'08'!C34</f>
        <v>374</v>
      </c>
      <c r="R33" s="17">
        <f>+'08'!D34</f>
        <v>638330.56999999995</v>
      </c>
      <c r="S33" s="37">
        <f>+'09'!C34</f>
        <v>324</v>
      </c>
      <c r="T33" s="17">
        <f>+'09'!D34</f>
        <v>611267.23</v>
      </c>
      <c r="U33" s="37">
        <f>+'10'!C34</f>
        <v>342</v>
      </c>
      <c r="V33" s="17">
        <f>+'10'!D34</f>
        <v>658466.92000000004</v>
      </c>
      <c r="W33" s="37">
        <f>+'11'!C34</f>
        <v>282</v>
      </c>
      <c r="X33" s="17">
        <f>+'11'!D34</f>
        <v>412806.98</v>
      </c>
      <c r="Y33" s="37">
        <f>+'12'!C34</f>
        <v>39</v>
      </c>
      <c r="Z33" s="17">
        <f>+'12'!D34</f>
        <v>106269.5</v>
      </c>
      <c r="AA33" s="37">
        <f>+'13'!C34</f>
        <v>28</v>
      </c>
      <c r="AB33" s="17">
        <f>+'13'!D34</f>
        <v>55080.75</v>
      </c>
      <c r="AC33" s="37">
        <f>+'14'!C34</f>
        <v>321</v>
      </c>
      <c r="AD33" s="17">
        <f>+'14'!D34</f>
        <v>609629.16</v>
      </c>
      <c r="AE33" s="37">
        <f>+'15'!C34</f>
        <v>346</v>
      </c>
      <c r="AF33" s="17">
        <f>+'15'!D34</f>
        <v>505068.73</v>
      </c>
      <c r="AG33" s="37">
        <f>+'16'!C34</f>
        <v>332</v>
      </c>
      <c r="AH33" s="17">
        <f>+'16'!D34</f>
        <v>602301.31000000006</v>
      </c>
      <c r="AI33" s="37">
        <f>+'17'!C34</f>
        <v>326</v>
      </c>
      <c r="AJ33" s="17">
        <f>+'17'!D34</f>
        <v>669072.28</v>
      </c>
      <c r="AK33" s="37">
        <f>+'18'!C34</f>
        <v>317</v>
      </c>
      <c r="AL33" s="17">
        <f>+'18'!D34</f>
        <v>598318.42000000004</v>
      </c>
      <c r="AM33" s="37">
        <f>+'19'!C34</f>
        <v>46</v>
      </c>
      <c r="AN33" s="37">
        <f>+'19'!D34</f>
        <v>81474.25</v>
      </c>
      <c r="AO33" s="37">
        <f>+'20'!C34</f>
        <v>29</v>
      </c>
      <c r="AP33" s="37">
        <f>+'20'!D34</f>
        <v>70002.25</v>
      </c>
      <c r="AQ33" s="37">
        <f>+'21'!C34</f>
        <v>362</v>
      </c>
      <c r="AR33" s="37">
        <f>+'21'!D34</f>
        <v>616941.34</v>
      </c>
      <c r="AS33" s="37">
        <f>+'22'!C34</f>
        <v>334</v>
      </c>
      <c r="AT33" s="37">
        <f>+'22'!D34</f>
        <v>576801.06999999995</v>
      </c>
      <c r="AU33" s="37">
        <f>+'23'!C34</f>
        <v>268</v>
      </c>
      <c r="AV33" s="37">
        <f>+'23'!D34</f>
        <v>517843.73</v>
      </c>
      <c r="AW33" s="37">
        <f>+'24'!C36</f>
        <v>209</v>
      </c>
      <c r="AX33" s="37">
        <f>+'24'!D36</f>
        <v>357204</v>
      </c>
      <c r="AY33" s="37">
        <f>+'25'!C34</f>
        <v>314</v>
      </c>
      <c r="AZ33" s="37">
        <f>+'25'!D34</f>
        <v>355310.23</v>
      </c>
      <c r="BA33" s="37">
        <f>+'26'!C34</f>
        <v>50</v>
      </c>
      <c r="BB33" s="37">
        <f>+'26'!D34</f>
        <v>104979.25</v>
      </c>
      <c r="BC33" s="37">
        <f>+'27'!C34</f>
        <v>32</v>
      </c>
      <c r="BD33" s="37">
        <f>+'27'!D34</f>
        <v>46996.5</v>
      </c>
      <c r="BE33" s="37">
        <f>+'28'!C34</f>
        <v>335</v>
      </c>
      <c r="BF33" s="37">
        <f>+'28'!D34</f>
        <v>556134.06999999995</v>
      </c>
      <c r="BG33" s="37">
        <f>+'29'!C34</f>
        <v>350</v>
      </c>
      <c r="BH33" s="37">
        <f>+'29'!D34</f>
        <v>587044.43999999994</v>
      </c>
      <c r="BI33" s="37">
        <f>+'30'!C34</f>
        <v>307</v>
      </c>
      <c r="BJ33" s="37">
        <f>+'30'!D34</f>
        <v>498708.05</v>
      </c>
      <c r="BK33" s="37">
        <f>+'31'!C34</f>
        <v>0</v>
      </c>
      <c r="BL33" s="37">
        <f>+'31'!D34</f>
        <v>0</v>
      </c>
      <c r="BM33" s="37">
        <f t="shared" si="0"/>
        <v>7422</v>
      </c>
      <c r="BN33" s="30">
        <f t="shared" si="1"/>
        <v>12773665.620000005</v>
      </c>
    </row>
    <row r="34" spans="1:66" s="71" customFormat="1" ht="29.25">
      <c r="A34" s="27"/>
      <c r="B34" s="210" t="s">
        <v>72</v>
      </c>
      <c r="C34" s="37">
        <f>+'01'!C35</f>
        <v>25</v>
      </c>
      <c r="D34" s="30">
        <f>+'01'!D35</f>
        <v>22118</v>
      </c>
      <c r="E34" s="37">
        <f>+'02'!C35</f>
        <v>21</v>
      </c>
      <c r="F34" s="17">
        <f>+'02'!D35</f>
        <v>35414</v>
      </c>
      <c r="G34" s="37">
        <f>+'03'!C35</f>
        <v>21</v>
      </c>
      <c r="H34" s="17">
        <f>+'03'!D35</f>
        <v>27541.25</v>
      </c>
      <c r="I34" s="37">
        <f>+'04'!C35</f>
        <v>20</v>
      </c>
      <c r="J34" s="17">
        <f>+'04'!D35</f>
        <v>28076.86</v>
      </c>
      <c r="K34" s="37">
        <f>+'05'!C35</f>
        <v>7</v>
      </c>
      <c r="L34" s="17">
        <f>+'05'!D35</f>
        <v>19832</v>
      </c>
      <c r="M34" s="37">
        <f>+'06'!C35</f>
        <v>3</v>
      </c>
      <c r="N34" s="17">
        <f>+'06'!D35</f>
        <v>1765</v>
      </c>
      <c r="O34" s="37">
        <f>+'07'!C35</f>
        <v>24</v>
      </c>
      <c r="P34" s="17">
        <f>+'07'!D35</f>
        <v>61644.75</v>
      </c>
      <c r="Q34" s="37">
        <f>+'08'!C35</f>
        <v>21</v>
      </c>
      <c r="R34" s="17">
        <f>+'08'!D35</f>
        <v>16419.990000000002</v>
      </c>
      <c r="S34" s="37">
        <f>+'09'!C35</f>
        <v>20</v>
      </c>
      <c r="T34" s="17">
        <f>+'09'!D35</f>
        <v>26275.5</v>
      </c>
      <c r="U34" s="37">
        <f>+'10'!C35</f>
        <v>24</v>
      </c>
      <c r="V34" s="17">
        <f>+'10'!D35</f>
        <v>67903</v>
      </c>
      <c r="W34" s="37">
        <f>+'11'!C35</f>
        <v>18</v>
      </c>
      <c r="X34" s="17">
        <f>+'11'!D35</f>
        <v>55226.61</v>
      </c>
      <c r="Y34" s="37">
        <f>+'12'!C35</f>
        <v>6</v>
      </c>
      <c r="Z34" s="17">
        <f>+'12'!D35</f>
        <v>14794.5</v>
      </c>
      <c r="AA34" s="37">
        <f>+'13'!C35</f>
        <v>2</v>
      </c>
      <c r="AB34" s="17">
        <f>+'13'!D35</f>
        <v>1319</v>
      </c>
      <c r="AC34" s="37">
        <f>+'14'!C35</f>
        <v>18</v>
      </c>
      <c r="AD34" s="17">
        <f>+'14'!D35</f>
        <v>28028</v>
      </c>
      <c r="AE34" s="37">
        <f>+'15'!C35</f>
        <v>7</v>
      </c>
      <c r="AF34" s="17">
        <f>+'15'!D35</f>
        <v>13504.25</v>
      </c>
      <c r="AG34" s="37">
        <f>+'16'!C35</f>
        <v>25</v>
      </c>
      <c r="AH34" s="17">
        <f>+'16'!D35</f>
        <v>63165.75</v>
      </c>
      <c r="AI34" s="37">
        <f>+'17'!C35</f>
        <v>23</v>
      </c>
      <c r="AJ34" s="17">
        <f>+'17'!D35</f>
        <v>24952.25</v>
      </c>
      <c r="AK34" s="37">
        <f>+'18'!C35</f>
        <v>19</v>
      </c>
      <c r="AL34" s="17">
        <f>+'18'!D35</f>
        <v>17042.5</v>
      </c>
      <c r="AM34" s="37">
        <f>+'19'!C35</f>
        <v>3</v>
      </c>
      <c r="AN34" s="37">
        <f>+'19'!D35</f>
        <v>2671.75</v>
      </c>
      <c r="AO34" s="37">
        <f>+'20'!C35</f>
        <v>2</v>
      </c>
      <c r="AP34" s="37">
        <f>+'20'!D35</f>
        <v>1165.5</v>
      </c>
      <c r="AQ34" s="37">
        <f>+'21'!C35</f>
        <v>19</v>
      </c>
      <c r="AR34" s="37">
        <f>+'21'!D35</f>
        <v>19513</v>
      </c>
      <c r="AS34" s="37">
        <f>+'22'!C35</f>
        <v>26</v>
      </c>
      <c r="AT34" s="37">
        <f>+'22'!D35</f>
        <v>22225</v>
      </c>
      <c r="AU34" s="37">
        <f>+'23'!C35</f>
        <v>18</v>
      </c>
      <c r="AV34" s="37">
        <f>+'23'!D35</f>
        <v>48367.75</v>
      </c>
      <c r="AW34" s="37">
        <f>+'24'!C37</f>
        <v>31</v>
      </c>
      <c r="AX34" s="37">
        <f>+'24'!D37</f>
        <v>1120</v>
      </c>
      <c r="AY34" s="37">
        <f>+'25'!C35</f>
        <v>19</v>
      </c>
      <c r="AZ34" s="37">
        <f>+'25'!D35</f>
        <v>31727.11</v>
      </c>
      <c r="BA34" s="37">
        <f>+'26'!C35</f>
        <v>4</v>
      </c>
      <c r="BB34" s="37">
        <f>+'26'!D35</f>
        <v>2504.5</v>
      </c>
      <c r="BC34" s="37">
        <f>+'27'!C35</f>
        <v>5</v>
      </c>
      <c r="BD34" s="37">
        <f>+'27'!D35</f>
        <v>7625.5</v>
      </c>
      <c r="BE34" s="37">
        <f>+'28'!C35</f>
        <v>22</v>
      </c>
      <c r="BF34" s="37">
        <f>+'28'!D35</f>
        <v>22632</v>
      </c>
      <c r="BG34" s="37">
        <f>+'29'!C35</f>
        <v>19</v>
      </c>
      <c r="BH34" s="37">
        <f>+'29'!D35</f>
        <v>28579.5</v>
      </c>
      <c r="BI34" s="37">
        <f>+'30'!C35</f>
        <v>26</v>
      </c>
      <c r="BJ34" s="37">
        <f>+'30'!D35</f>
        <v>39597.5</v>
      </c>
      <c r="BK34" s="37">
        <f>+'31'!C35</f>
        <v>0</v>
      </c>
      <c r="BL34" s="37">
        <f>+'31'!D35</f>
        <v>0</v>
      </c>
      <c r="BM34" s="37">
        <f t="shared" si="0"/>
        <v>498</v>
      </c>
      <c r="BN34" s="30">
        <f t="shared" si="1"/>
        <v>752752.32</v>
      </c>
    </row>
    <row r="35" spans="1:66" s="71" customFormat="1" ht="29.25">
      <c r="A35" s="27"/>
      <c r="B35" s="210" t="s">
        <v>257</v>
      </c>
      <c r="C35" s="37">
        <f>+'01'!C36</f>
        <v>250</v>
      </c>
      <c r="D35" s="30">
        <f>+'01'!D36</f>
        <v>296031.35999999999</v>
      </c>
      <c r="E35" s="37">
        <f>+'02'!C36</f>
        <v>221</v>
      </c>
      <c r="F35" s="17">
        <f>+'02'!D36</f>
        <v>283884.75</v>
      </c>
      <c r="G35" s="37">
        <f>+'03'!C36</f>
        <v>237</v>
      </c>
      <c r="H35" s="17">
        <f>+'03'!D37</f>
        <v>1555</v>
      </c>
      <c r="I35" s="37">
        <f>+'04'!C37</f>
        <v>32</v>
      </c>
      <c r="J35" s="17">
        <f>+'04'!D37</f>
        <v>1838</v>
      </c>
      <c r="K35" s="37">
        <f>+'05'!C37</f>
        <v>0</v>
      </c>
      <c r="L35" s="17">
        <f>+'05'!D37</f>
        <v>0</v>
      </c>
      <c r="M35" s="37">
        <f>+'06'!C37</f>
        <v>0</v>
      </c>
      <c r="N35" s="17">
        <f>+'06'!D37</f>
        <v>0</v>
      </c>
      <c r="O35" s="37">
        <f>+'07'!C37</f>
        <v>77</v>
      </c>
      <c r="P35" s="17">
        <f>+'07'!D37</f>
        <v>7272.5</v>
      </c>
      <c r="Q35" s="37">
        <f>+'08'!C37</f>
        <v>34</v>
      </c>
      <c r="R35" s="17">
        <f>+'08'!D37</f>
        <v>9643</v>
      </c>
      <c r="S35" s="37">
        <f>+'09'!C37</f>
        <v>39</v>
      </c>
      <c r="T35" s="17">
        <f>+'09'!D37</f>
        <v>585</v>
      </c>
      <c r="U35" s="37">
        <f>+'10'!C37</f>
        <v>50</v>
      </c>
      <c r="V35" s="17">
        <f>+'10'!D37</f>
        <v>2430</v>
      </c>
      <c r="W35" s="37">
        <f>+'11'!C37</f>
        <v>48</v>
      </c>
      <c r="X35" s="17">
        <f>+'11'!D37</f>
        <v>4718</v>
      </c>
      <c r="Y35" s="37">
        <f>+'12'!C37</f>
        <v>0</v>
      </c>
      <c r="Z35" s="17">
        <f>+'12'!D37</f>
        <v>0</v>
      </c>
      <c r="AA35" s="37">
        <f>+'13'!C37</f>
        <v>0</v>
      </c>
      <c r="AB35" s="17">
        <f>+'13'!D37</f>
        <v>0</v>
      </c>
      <c r="AC35" s="37">
        <f>+'14'!C37</f>
        <v>47</v>
      </c>
      <c r="AD35" s="17">
        <f>+'14'!D37</f>
        <v>2693</v>
      </c>
      <c r="AE35" s="37">
        <f>+'15'!C37</f>
        <v>35</v>
      </c>
      <c r="AF35" s="17">
        <f>+'15'!D37</f>
        <v>10128</v>
      </c>
      <c r="AG35" s="37">
        <f>+'16'!C37</f>
        <v>42</v>
      </c>
      <c r="AH35" s="17">
        <f>+'16'!D37</f>
        <v>1805</v>
      </c>
      <c r="AI35" s="37">
        <f>+'17'!C37</f>
        <v>32</v>
      </c>
      <c r="AJ35" s="17">
        <f>+'17'!D37</f>
        <v>630</v>
      </c>
      <c r="AK35" s="37">
        <f>+'18'!C37</f>
        <v>39</v>
      </c>
      <c r="AL35" s="17">
        <f>+'18'!D37</f>
        <v>720</v>
      </c>
      <c r="AM35" s="37">
        <f>+'19'!C37</f>
        <v>0</v>
      </c>
      <c r="AN35" s="37">
        <f>+'19'!D37</f>
        <v>0</v>
      </c>
      <c r="AO35" s="37">
        <f>+'20'!C37</f>
        <v>0</v>
      </c>
      <c r="AP35" s="37">
        <f>+'20'!D37</f>
        <v>0</v>
      </c>
      <c r="AQ35" s="37">
        <f>+'21'!C37</f>
        <v>45</v>
      </c>
      <c r="AR35" s="37">
        <f>+'21'!D37</f>
        <v>675</v>
      </c>
      <c r="AS35" s="37">
        <f>+'22'!C37</f>
        <v>39</v>
      </c>
      <c r="AT35" s="37">
        <f>+'22'!D37</f>
        <v>7320</v>
      </c>
      <c r="AU35" s="37">
        <f>+'23'!C37</f>
        <v>31</v>
      </c>
      <c r="AV35" s="37">
        <f>+'23'!D37</f>
        <v>2182.25</v>
      </c>
      <c r="AW35" s="37">
        <f>+'24'!C39</f>
        <v>24</v>
      </c>
      <c r="AX35" s="37">
        <f>+'24'!D39</f>
        <v>1306597.51</v>
      </c>
      <c r="AY35" s="37">
        <f>+'25'!C37</f>
        <v>39</v>
      </c>
      <c r="AZ35" s="37">
        <f>+'25'!D37</f>
        <v>4273</v>
      </c>
      <c r="BA35" s="37">
        <f>+'26'!C37</f>
        <v>0</v>
      </c>
      <c r="BB35" s="37">
        <f>+'26'!D37</f>
        <v>0</v>
      </c>
      <c r="BC35" s="37">
        <f>+'27'!C37</f>
        <v>0</v>
      </c>
      <c r="BD35" s="37">
        <f>+'27'!D37</f>
        <v>0</v>
      </c>
      <c r="BE35" s="37">
        <f>+'28'!C37</f>
        <v>27</v>
      </c>
      <c r="BF35" s="37">
        <f>+'28'!D37</f>
        <v>1780</v>
      </c>
      <c r="BG35" s="37">
        <f>+'29'!C37</f>
        <v>40</v>
      </c>
      <c r="BH35" s="37">
        <f>+'29'!D37</f>
        <v>10060</v>
      </c>
      <c r="BI35" s="37">
        <f>+'30'!C37</f>
        <v>34</v>
      </c>
      <c r="BJ35" s="37">
        <f>+'30'!D37</f>
        <v>510</v>
      </c>
      <c r="BK35" s="37">
        <f>+'31'!C37</f>
        <v>0</v>
      </c>
      <c r="BL35" s="37">
        <f>+'31'!D37</f>
        <v>0</v>
      </c>
      <c r="BM35" s="37">
        <f t="shared" si="0"/>
        <v>1462</v>
      </c>
      <c r="BN35" s="30">
        <f t="shared" si="1"/>
        <v>1957331.37</v>
      </c>
    </row>
    <row r="36" spans="1:66" s="71" customFormat="1" ht="29.25">
      <c r="A36" s="27"/>
      <c r="B36" s="210" t="s">
        <v>258</v>
      </c>
      <c r="C36" s="37">
        <f>+'01'!C37</f>
        <v>35</v>
      </c>
      <c r="D36" s="30">
        <f>+'01'!D37</f>
        <v>5820</v>
      </c>
      <c r="E36" s="37">
        <f>+'02'!C37</f>
        <v>44</v>
      </c>
      <c r="F36" s="17">
        <f>+'02'!D37</f>
        <v>2685</v>
      </c>
      <c r="G36" s="37">
        <f>+'03'!C37</f>
        <v>38</v>
      </c>
      <c r="H36" s="17">
        <f>+'03'!D38</f>
        <v>816129.47</v>
      </c>
      <c r="I36" s="37">
        <f>+'04'!C38</f>
        <v>32</v>
      </c>
      <c r="J36" s="17">
        <f>+'04'!D38</f>
        <v>1251111.17</v>
      </c>
      <c r="K36" s="37">
        <f>+'05'!C38</f>
        <v>41</v>
      </c>
      <c r="L36" s="17">
        <f>+'05'!D38</f>
        <v>1898325.61</v>
      </c>
      <c r="M36" s="37">
        <f>+'06'!C38</f>
        <v>28</v>
      </c>
      <c r="N36" s="17">
        <f>+'06'!D38</f>
        <v>1106423.51</v>
      </c>
      <c r="O36" s="37">
        <f>+'07'!C38</f>
        <v>29</v>
      </c>
      <c r="P36" s="17">
        <f>+'07'!D38</f>
        <v>1621478.16</v>
      </c>
      <c r="Q36" s="37">
        <f>+'08'!C38</f>
        <v>45</v>
      </c>
      <c r="R36" s="17">
        <f>+'08'!D38</f>
        <v>1777126.92</v>
      </c>
      <c r="S36" s="37">
        <f>+'09'!C38</f>
        <v>47</v>
      </c>
      <c r="T36" s="17">
        <f>+'09'!D38</f>
        <v>2927898.45</v>
      </c>
      <c r="U36" s="37">
        <f>+'10'!C38</f>
        <v>50</v>
      </c>
      <c r="V36" s="17">
        <f>+'10'!D38</f>
        <v>1960123.87</v>
      </c>
      <c r="W36" s="37">
        <f>+'11'!C38</f>
        <v>45</v>
      </c>
      <c r="X36" s="17">
        <f>+'11'!D38</f>
        <v>1446952.05</v>
      </c>
      <c r="Y36" s="37">
        <f>+'12'!C38</f>
        <v>29</v>
      </c>
      <c r="Z36" s="17">
        <f>+'12'!D38</f>
        <v>1711422.97</v>
      </c>
      <c r="AA36" s="37">
        <f>+'13'!C38</f>
        <v>20</v>
      </c>
      <c r="AB36" s="17">
        <f>+'13'!D38</f>
        <v>1068711.01</v>
      </c>
      <c r="AC36" s="37">
        <f>+'14'!C38</f>
        <v>31</v>
      </c>
      <c r="AD36" s="17">
        <f>+'14'!D38</f>
        <v>1340010.8600000001</v>
      </c>
      <c r="AE36" s="37">
        <f>+'15'!C38</f>
        <v>46</v>
      </c>
      <c r="AF36" s="17">
        <f>+'15'!D38</f>
        <v>2202033.4900000002</v>
      </c>
      <c r="AG36" s="37">
        <f>+'16'!C38</f>
        <v>43</v>
      </c>
      <c r="AH36" s="17">
        <f>+'16'!D38</f>
        <v>1218105.1599999999</v>
      </c>
      <c r="AI36" s="37">
        <f>+'17'!C38</f>
        <v>28</v>
      </c>
      <c r="AJ36" s="17">
        <f>+'17'!D38</f>
        <v>1186714.78</v>
      </c>
      <c r="AK36" s="37">
        <f>+'18'!C38</f>
        <v>53</v>
      </c>
      <c r="AL36" s="17">
        <f>+'18'!D38</f>
        <v>3146904.11</v>
      </c>
      <c r="AM36" s="37">
        <f>+'19'!C38</f>
        <v>45</v>
      </c>
      <c r="AN36" s="37">
        <f>+'19'!D38</f>
        <v>1984334.84</v>
      </c>
      <c r="AO36" s="37">
        <f>+'20'!C38</f>
        <v>20</v>
      </c>
      <c r="AP36" s="37">
        <f>+'20'!D38</f>
        <v>666531.66</v>
      </c>
      <c r="AQ36" s="37">
        <f>+'21'!C38</f>
        <v>28</v>
      </c>
      <c r="AR36" s="37">
        <f>+'21'!D38</f>
        <v>1831871.41</v>
      </c>
      <c r="AS36" s="37">
        <f>+'22'!C38</f>
        <v>41</v>
      </c>
      <c r="AT36" s="37">
        <f>+'22'!D38</f>
        <v>1689988.57</v>
      </c>
      <c r="AU36" s="37">
        <f>+'23'!C38</f>
        <v>36</v>
      </c>
      <c r="AV36" s="37">
        <f>+'23'!D38</f>
        <v>1253251.8500000001</v>
      </c>
      <c r="AW36" s="37">
        <f>+'24'!C40</f>
        <v>3</v>
      </c>
      <c r="AX36" s="37">
        <f>+'24'!D40</f>
        <v>82895</v>
      </c>
      <c r="AY36" s="37">
        <f>+'25'!C38</f>
        <v>39</v>
      </c>
      <c r="AZ36" s="37">
        <f>+'25'!D38</f>
        <v>1673005.36</v>
      </c>
      <c r="BA36" s="37">
        <f>+'26'!C38</f>
        <v>35</v>
      </c>
      <c r="BB36" s="37">
        <f>+'26'!D38</f>
        <v>826991.7</v>
      </c>
      <c r="BC36" s="37">
        <f>+'27'!C38</f>
        <v>16</v>
      </c>
      <c r="BD36" s="37">
        <f>+'27'!D38</f>
        <v>377399.86</v>
      </c>
      <c r="BE36" s="37">
        <f>+'28'!C38</f>
        <v>37</v>
      </c>
      <c r="BF36" s="37">
        <f>+'28'!D38</f>
        <v>1913864.73</v>
      </c>
      <c r="BG36" s="37">
        <f>+'29'!C38</f>
        <v>38</v>
      </c>
      <c r="BH36" s="37">
        <f>+'29'!D38</f>
        <v>887855.47</v>
      </c>
      <c r="BI36" s="37">
        <f>+'30'!C38</f>
        <v>40</v>
      </c>
      <c r="BJ36" s="37">
        <f>+'30'!D38</f>
        <v>1550883.2</v>
      </c>
      <c r="BK36" s="37">
        <f>+'31'!C38</f>
        <v>0</v>
      </c>
      <c r="BL36" s="37">
        <f>+'31'!D38</f>
        <v>0</v>
      </c>
      <c r="BM36" s="37">
        <f t="shared" si="0"/>
        <v>1062</v>
      </c>
      <c r="BN36" s="30">
        <f t="shared" si="1"/>
        <v>41426850.240000002</v>
      </c>
    </row>
    <row r="37" spans="1:66" s="71" customFormat="1" ht="29.25">
      <c r="A37" s="27"/>
      <c r="B37" s="210" t="s">
        <v>259</v>
      </c>
      <c r="C37" s="37">
        <f>+'01'!C38</f>
        <v>34</v>
      </c>
      <c r="D37" s="30">
        <f>+'01'!D38</f>
        <v>1535726.25</v>
      </c>
      <c r="E37" s="37">
        <f>+'02'!C38</f>
        <v>59</v>
      </c>
      <c r="F37" s="17">
        <f>+'02'!D38</f>
        <v>2169107.6800000002</v>
      </c>
      <c r="G37" s="37">
        <f>+'03'!C38</f>
        <v>26</v>
      </c>
      <c r="H37" s="17">
        <f>+'03'!D39</f>
        <v>1243635.74</v>
      </c>
      <c r="I37" s="37">
        <f>+'04'!C39</f>
        <v>25</v>
      </c>
      <c r="J37" s="17">
        <f>+'04'!D39</f>
        <v>1717552.71</v>
      </c>
      <c r="K37" s="37">
        <f>+'05'!C39</f>
        <v>22</v>
      </c>
      <c r="L37" s="17">
        <f>+'05'!D39</f>
        <v>1157793.43</v>
      </c>
      <c r="M37" s="37">
        <f>+'06'!C39</f>
        <v>14</v>
      </c>
      <c r="N37" s="17">
        <f>+'06'!D39</f>
        <v>493655.86</v>
      </c>
      <c r="O37" s="37">
        <f>+'07'!C39</f>
        <v>19</v>
      </c>
      <c r="P37" s="17">
        <f>+'07'!D39</f>
        <v>783751.39</v>
      </c>
      <c r="Q37" s="37">
        <f>+'08'!C39</f>
        <v>25</v>
      </c>
      <c r="R37" s="17">
        <f>+'08'!D39</f>
        <v>1147823.49</v>
      </c>
      <c r="S37" s="37">
        <f>+'09'!C39</f>
        <v>21</v>
      </c>
      <c r="T37" s="17">
        <f>+'09'!D39</f>
        <v>966376.92</v>
      </c>
      <c r="U37" s="37">
        <f>+'10'!C39</f>
        <v>33</v>
      </c>
      <c r="V37" s="17">
        <f>+'10'!D39</f>
        <v>1601905.36</v>
      </c>
      <c r="W37" s="37">
        <f>+'11'!C39</f>
        <v>27</v>
      </c>
      <c r="X37" s="17">
        <f>+'11'!D39</f>
        <v>1509485.77</v>
      </c>
      <c r="Y37" s="37">
        <f>+'12'!C39</f>
        <v>11</v>
      </c>
      <c r="Z37" s="17">
        <f>+'12'!D39</f>
        <v>385144.25</v>
      </c>
      <c r="AA37" s="37">
        <f>+'13'!C39</f>
        <v>9</v>
      </c>
      <c r="AB37" s="17">
        <f>+'13'!D39</f>
        <v>346250.2</v>
      </c>
      <c r="AC37" s="37">
        <f>+'14'!C39</f>
        <v>17</v>
      </c>
      <c r="AD37" s="17">
        <f>+'14'!D39</f>
        <v>846031.64</v>
      </c>
      <c r="AE37" s="37">
        <f>+'15'!C39</f>
        <v>21</v>
      </c>
      <c r="AF37" s="17">
        <f>+'15'!D39</f>
        <v>1050913.02</v>
      </c>
      <c r="AG37" s="37">
        <f>+'16'!C39</f>
        <v>26</v>
      </c>
      <c r="AH37" s="17">
        <f>+'16'!D39</f>
        <v>949960.21</v>
      </c>
      <c r="AI37" s="37">
        <f>+'17'!C39</f>
        <v>21</v>
      </c>
      <c r="AJ37" s="17">
        <f>+'17'!D39</f>
        <v>1010281.47</v>
      </c>
      <c r="AK37" s="37">
        <f>+'18'!C39</f>
        <v>20</v>
      </c>
      <c r="AL37" s="17">
        <f>+'18'!D39</f>
        <v>605553.81000000006</v>
      </c>
      <c r="AM37" s="37">
        <f>+'19'!C39</f>
        <v>20</v>
      </c>
      <c r="AN37" s="37">
        <f>+'19'!D39</f>
        <v>1328956.1599999999</v>
      </c>
      <c r="AO37" s="37">
        <f>+'20'!C39</f>
        <v>13</v>
      </c>
      <c r="AP37" s="37">
        <f>+'20'!D39</f>
        <v>896288.82</v>
      </c>
      <c r="AQ37" s="37">
        <f>+'21'!C39</f>
        <v>19</v>
      </c>
      <c r="AR37" s="37">
        <f>+'21'!D39</f>
        <v>794412.26</v>
      </c>
      <c r="AS37" s="37">
        <f>+'22'!C39</f>
        <v>19</v>
      </c>
      <c r="AT37" s="37">
        <f>+'22'!D39</f>
        <v>809636.42</v>
      </c>
      <c r="AU37" s="37">
        <f>+'23'!C39</f>
        <v>26</v>
      </c>
      <c r="AV37" s="37">
        <f>+'23'!D39</f>
        <v>1608227.19</v>
      </c>
      <c r="AW37" s="37">
        <f>+'24'!C41</f>
        <v>23</v>
      </c>
      <c r="AX37" s="37">
        <f>+'24'!D41</f>
        <v>1047248.95</v>
      </c>
      <c r="AY37" s="37">
        <f>+'25'!C39</f>
        <v>28</v>
      </c>
      <c r="AZ37" s="37">
        <f>+'25'!D39</f>
        <v>1326238.4099999999</v>
      </c>
      <c r="BA37" s="37">
        <f>+'26'!C39</f>
        <v>19</v>
      </c>
      <c r="BB37" s="37">
        <f>+'26'!D39</f>
        <v>809365.36</v>
      </c>
      <c r="BC37" s="37">
        <f>+'27'!C39</f>
        <v>16</v>
      </c>
      <c r="BD37" s="37">
        <f>+'27'!D39</f>
        <v>1059193.3700000001</v>
      </c>
      <c r="BE37" s="37">
        <f>+'28'!C39</f>
        <v>12</v>
      </c>
      <c r="BF37" s="37">
        <f>+'28'!D39</f>
        <v>684718.2</v>
      </c>
      <c r="BG37" s="37">
        <f>+'29'!C39</f>
        <v>22</v>
      </c>
      <c r="BH37" s="37">
        <f>+'29'!D39</f>
        <v>1463166.42</v>
      </c>
      <c r="BI37" s="37">
        <f>+'30'!C39</f>
        <v>17</v>
      </c>
      <c r="BJ37" s="37">
        <f>+'30'!D39</f>
        <v>451068.63</v>
      </c>
      <c r="BK37" s="37">
        <f>+'31'!C39</f>
        <v>0</v>
      </c>
      <c r="BL37" s="37">
        <f>+'31'!D39</f>
        <v>0</v>
      </c>
      <c r="BM37" s="37">
        <f t="shared" si="0"/>
        <v>664</v>
      </c>
      <c r="BN37" s="30">
        <f t="shared" si="1"/>
        <v>31799469.390000004</v>
      </c>
    </row>
    <row r="38" spans="1:66" s="71" customFormat="1" ht="29.25">
      <c r="A38" s="27"/>
      <c r="B38" s="210" t="s">
        <v>260</v>
      </c>
      <c r="C38" s="37">
        <f>+'01'!C39</f>
        <v>19</v>
      </c>
      <c r="D38" s="30">
        <f>+'01'!D39</f>
        <v>567205.23</v>
      </c>
      <c r="E38" s="37">
        <f>+'02'!C39</f>
        <v>20</v>
      </c>
      <c r="F38" s="17">
        <f>+'02'!D39</f>
        <v>575516.5</v>
      </c>
      <c r="G38" s="37">
        <f>+'03'!C39</f>
        <v>25</v>
      </c>
      <c r="H38" s="17">
        <f>+'03'!D40</f>
        <v>162342.51</v>
      </c>
      <c r="I38" s="37">
        <f>+'04'!C40</f>
        <v>2</v>
      </c>
      <c r="J38" s="17">
        <f>+'04'!D40</f>
        <v>40984.47</v>
      </c>
      <c r="K38" s="37">
        <f>+'05'!C40</f>
        <v>1</v>
      </c>
      <c r="L38" s="17">
        <f>+'05'!D40</f>
        <v>63156.5</v>
      </c>
      <c r="M38" s="37">
        <f>+'06'!C40</f>
        <v>0</v>
      </c>
      <c r="N38" s="17">
        <f>+'06'!D40</f>
        <v>0</v>
      </c>
      <c r="O38" s="37">
        <f>+'07'!C40</f>
        <v>0</v>
      </c>
      <c r="P38" s="17">
        <f>+'07'!D40</f>
        <v>0</v>
      </c>
      <c r="Q38" s="37">
        <f>+'08'!C40</f>
        <v>2</v>
      </c>
      <c r="R38" s="17">
        <f>+'08'!D40</f>
        <v>65669.25</v>
      </c>
      <c r="S38" s="37">
        <f>+'09'!C40</f>
        <v>0</v>
      </c>
      <c r="T38" s="17">
        <f>+'09'!D40</f>
        <v>0</v>
      </c>
      <c r="U38" s="37">
        <f>+'10'!C40</f>
        <v>1</v>
      </c>
      <c r="V38" s="17">
        <f>+'10'!D40</f>
        <v>24780.54</v>
      </c>
      <c r="W38" s="37">
        <f>+'11'!C40</f>
        <v>0</v>
      </c>
      <c r="X38" s="17">
        <f>+'11'!D40</f>
        <v>0</v>
      </c>
      <c r="Y38" s="37">
        <f>+'12'!C40</f>
        <v>0</v>
      </c>
      <c r="Z38" s="17">
        <f>+'12'!D40</f>
        <v>0</v>
      </c>
      <c r="AA38" s="37">
        <f>+'13'!C40</f>
        <v>1</v>
      </c>
      <c r="AB38" s="17">
        <f>+'13'!D40</f>
        <v>10467.120000000001</v>
      </c>
      <c r="AC38" s="37">
        <f>+'14'!C40</f>
        <v>1</v>
      </c>
      <c r="AD38" s="17">
        <f>+'14'!D40</f>
        <v>37954.75</v>
      </c>
      <c r="AE38" s="37">
        <f>+'15'!C40</f>
        <v>0</v>
      </c>
      <c r="AF38" s="17">
        <f>+'15'!D40</f>
        <v>0</v>
      </c>
      <c r="AG38" s="37">
        <f>+'16'!C40</f>
        <v>2</v>
      </c>
      <c r="AH38" s="17">
        <f>+'16'!D40</f>
        <v>169558.42</v>
      </c>
      <c r="AI38" s="37">
        <f>+'17'!C40</f>
        <v>0</v>
      </c>
      <c r="AJ38" s="17">
        <f>+'17'!D40</f>
        <v>0</v>
      </c>
      <c r="AK38" s="37">
        <f>+'18'!C40</f>
        <v>3</v>
      </c>
      <c r="AL38" s="17">
        <f>+'18'!D40</f>
        <v>103762.72</v>
      </c>
      <c r="AM38" s="37">
        <f>+'19'!C40</f>
        <v>1</v>
      </c>
      <c r="AN38" s="37">
        <f>+'19'!D40</f>
        <v>151839.26999999999</v>
      </c>
      <c r="AO38" s="37">
        <f>+'20'!C40</f>
        <v>0</v>
      </c>
      <c r="AP38" s="37">
        <f>+'20'!D40</f>
        <v>0</v>
      </c>
      <c r="AQ38" s="37">
        <f>+'21'!C40</f>
        <v>0</v>
      </c>
      <c r="AR38" s="37">
        <f>+'21'!D40</f>
        <v>0</v>
      </c>
      <c r="AS38" s="37">
        <f>+'22'!C40</f>
        <v>2</v>
      </c>
      <c r="AT38" s="37">
        <f>+'22'!D40</f>
        <v>68820</v>
      </c>
      <c r="AU38" s="37">
        <f>+'23'!C40</f>
        <v>0</v>
      </c>
      <c r="AV38" s="37">
        <f>+'23'!D40</f>
        <v>0</v>
      </c>
      <c r="AW38" s="37">
        <f>+'24'!C42</f>
        <v>5</v>
      </c>
      <c r="AX38" s="37">
        <f>+'24'!D42</f>
        <v>204617</v>
      </c>
      <c r="AY38" s="37">
        <f>+'25'!C40</f>
        <v>1</v>
      </c>
      <c r="AZ38" s="37">
        <f>+'25'!D40</f>
        <v>18907</v>
      </c>
      <c r="BA38" s="37">
        <f>+'26'!C40</f>
        <v>0</v>
      </c>
      <c r="BB38" s="37">
        <f>+'26'!D40</f>
        <v>0</v>
      </c>
      <c r="BC38" s="37">
        <f>+'27'!C40</f>
        <v>1</v>
      </c>
      <c r="BD38" s="37">
        <f>+'27'!D40</f>
        <v>15289.12</v>
      </c>
      <c r="BE38" s="37">
        <f>+'28'!C40</f>
        <v>5</v>
      </c>
      <c r="BF38" s="37">
        <f>+'28'!D40</f>
        <v>236626.04</v>
      </c>
      <c r="BG38" s="37">
        <f>+'29'!C40</f>
        <v>1</v>
      </c>
      <c r="BH38" s="37">
        <f>+'29'!D40</f>
        <v>8255.5</v>
      </c>
      <c r="BI38" s="37">
        <f>+'30'!C40</f>
        <v>2</v>
      </c>
      <c r="BJ38" s="37">
        <f>+'30'!D40</f>
        <v>676909.77</v>
      </c>
      <c r="BK38" s="37">
        <f>+'31'!C40</f>
        <v>0</v>
      </c>
      <c r="BL38" s="37">
        <f>+'31'!D40</f>
        <v>0</v>
      </c>
      <c r="BM38" s="37">
        <f t="shared" si="0"/>
        <v>95</v>
      </c>
      <c r="BN38" s="30">
        <f t="shared" si="1"/>
        <v>3202661.7100000004</v>
      </c>
    </row>
    <row r="39" spans="1:66" s="71" customFormat="1" ht="29.25">
      <c r="A39" s="27"/>
      <c r="B39" s="210" t="s">
        <v>261</v>
      </c>
      <c r="C39" s="37">
        <f>+'01'!C40</f>
        <v>1</v>
      </c>
      <c r="D39" s="30">
        <f>+'01'!D40</f>
        <v>2527</v>
      </c>
      <c r="E39" s="37">
        <f>+'02'!C40</f>
        <v>0</v>
      </c>
      <c r="F39" s="17">
        <f>+'02'!D40</f>
        <v>0</v>
      </c>
      <c r="G39" s="37">
        <f>+'03'!C40</f>
        <v>1</v>
      </c>
      <c r="H39" s="17">
        <f>+'03'!D41</f>
        <v>1611545.78</v>
      </c>
      <c r="I39" s="37">
        <f>+'04'!C41</f>
        <v>18</v>
      </c>
      <c r="J39" s="17">
        <f>+'04'!D41</f>
        <v>1219605.82</v>
      </c>
      <c r="K39" s="37">
        <f>+'05'!C41</f>
        <v>16</v>
      </c>
      <c r="L39" s="17">
        <f>+'05'!D41</f>
        <v>1334709.92</v>
      </c>
      <c r="M39" s="37">
        <f>+'06'!C41</f>
        <v>14</v>
      </c>
      <c r="N39" s="17">
        <f>+'06'!D41</f>
        <v>493544.22</v>
      </c>
      <c r="O39" s="37">
        <f>+'07'!C41</f>
        <v>14</v>
      </c>
      <c r="P39" s="17">
        <f>+'07'!D41</f>
        <v>1915723.14</v>
      </c>
      <c r="Q39" s="37">
        <f>+'08'!C41</f>
        <v>19</v>
      </c>
      <c r="R39" s="17">
        <f>+'08'!D41</f>
        <v>753466.3</v>
      </c>
      <c r="S39" s="37">
        <f>+'09'!C41</f>
        <v>19</v>
      </c>
      <c r="T39" s="17">
        <f>+'09'!D41</f>
        <v>1372885.92</v>
      </c>
      <c r="U39" s="37">
        <f>+'10'!C41</f>
        <v>20</v>
      </c>
      <c r="V39" s="17">
        <f>+'10'!D41</f>
        <v>1304515.0900000001</v>
      </c>
      <c r="W39" s="37">
        <f>+'11'!C41</f>
        <v>16</v>
      </c>
      <c r="X39" s="17">
        <f>+'11'!D41</f>
        <v>869365.35</v>
      </c>
      <c r="Y39" s="37">
        <f>+'12'!C41</f>
        <v>22</v>
      </c>
      <c r="Z39" s="17">
        <f>+'12'!D41</f>
        <v>931177.85</v>
      </c>
      <c r="AA39" s="37">
        <f>+'13'!C41</f>
        <v>15</v>
      </c>
      <c r="AB39" s="17">
        <f>+'13'!D41</f>
        <v>765619.56</v>
      </c>
      <c r="AC39" s="37">
        <f>+'14'!C41</f>
        <v>11</v>
      </c>
      <c r="AD39" s="17">
        <f>+'14'!D41</f>
        <v>781156.11</v>
      </c>
      <c r="AE39" s="37">
        <f>+'15'!C41</f>
        <v>24</v>
      </c>
      <c r="AF39" s="17">
        <f>+'15'!D41</f>
        <v>953923.14</v>
      </c>
      <c r="AG39" s="37">
        <f>+'16'!C41</f>
        <v>16</v>
      </c>
      <c r="AH39" s="17">
        <f>+'16'!D41</f>
        <v>1004065.79</v>
      </c>
      <c r="AI39" s="37">
        <f>+'17'!C41</f>
        <v>18</v>
      </c>
      <c r="AJ39" s="17">
        <f>+'17'!D41</f>
        <v>1042595.41</v>
      </c>
      <c r="AK39" s="37">
        <f>+'18'!C41</f>
        <v>16</v>
      </c>
      <c r="AL39" s="17">
        <f>+'18'!D41</f>
        <v>1516976.02</v>
      </c>
      <c r="AM39" s="37">
        <f>+'19'!C41</f>
        <v>14</v>
      </c>
      <c r="AN39" s="37">
        <f>+'19'!D41</f>
        <v>794548.33</v>
      </c>
      <c r="AO39" s="37">
        <f>+'20'!C41</f>
        <v>9</v>
      </c>
      <c r="AP39" s="37">
        <f>+'20'!D41</f>
        <v>231232.78</v>
      </c>
      <c r="AQ39" s="37">
        <f>+'21'!C41</f>
        <v>17</v>
      </c>
      <c r="AR39" s="37">
        <f>+'21'!D41</f>
        <v>946805.65</v>
      </c>
      <c r="AS39" s="37">
        <f>+'22'!C41</f>
        <v>14</v>
      </c>
      <c r="AT39" s="37">
        <f>+'22'!D41</f>
        <v>459626.48</v>
      </c>
      <c r="AU39" s="37">
        <f>+'23'!C41</f>
        <v>28</v>
      </c>
      <c r="AV39" s="37">
        <f>+'23'!D41</f>
        <v>1978012.19</v>
      </c>
      <c r="AW39" s="37">
        <f>+'24'!C43</f>
        <v>0</v>
      </c>
      <c r="AX39" s="37">
        <f>+'24'!D43</f>
        <v>0</v>
      </c>
      <c r="AY39" s="37">
        <f>+'25'!C41</f>
        <v>19</v>
      </c>
      <c r="AZ39" s="37">
        <f>+'25'!D41</f>
        <v>1817168.93</v>
      </c>
      <c r="BA39" s="37">
        <f>+'26'!C41</f>
        <v>15</v>
      </c>
      <c r="BB39" s="37">
        <f>+'26'!D41</f>
        <v>241813.79</v>
      </c>
      <c r="BC39" s="37">
        <f>+'27'!C41</f>
        <v>16</v>
      </c>
      <c r="BD39" s="37">
        <f>+'27'!D41</f>
        <v>392177.44</v>
      </c>
      <c r="BE39" s="37">
        <f>+'28'!C41</f>
        <v>8</v>
      </c>
      <c r="BF39" s="37">
        <f>+'28'!D41</f>
        <v>745770.79</v>
      </c>
      <c r="BG39" s="37">
        <f>+'29'!C41</f>
        <v>17</v>
      </c>
      <c r="BH39" s="37">
        <f>+'29'!D41</f>
        <v>609897.79</v>
      </c>
      <c r="BI39" s="37">
        <f>+'30'!C41</f>
        <v>24</v>
      </c>
      <c r="BJ39" s="37">
        <f>+'30'!D41</f>
        <v>1181992.32</v>
      </c>
      <c r="BK39" s="37">
        <f>+'31'!C41</f>
        <v>0</v>
      </c>
      <c r="BL39" s="37">
        <f>+'31'!D41</f>
        <v>0</v>
      </c>
      <c r="BM39" s="37">
        <f t="shared" si="0"/>
        <v>441</v>
      </c>
      <c r="BN39" s="30">
        <f t="shared" si="1"/>
        <v>27272448.909999996</v>
      </c>
    </row>
    <row r="40" spans="1:66" s="71" customFormat="1" ht="29.25">
      <c r="A40" s="27"/>
      <c r="B40" s="210" t="s">
        <v>262</v>
      </c>
      <c r="C40" s="37">
        <f>+'01'!C41</f>
        <v>24</v>
      </c>
      <c r="D40" s="30">
        <f>+'01'!D41</f>
        <v>754506.97</v>
      </c>
      <c r="E40" s="37">
        <f>+'02'!C41</f>
        <v>19</v>
      </c>
      <c r="F40" s="17">
        <f>+'02'!D41</f>
        <v>993293.46</v>
      </c>
      <c r="G40" s="37">
        <f>+'03'!C41</f>
        <v>23</v>
      </c>
      <c r="H40" s="17">
        <f>+'03'!D42</f>
        <v>640976.75</v>
      </c>
      <c r="I40" s="37">
        <f>+'04'!C42</f>
        <v>3</v>
      </c>
      <c r="J40" s="17">
        <f>+'04'!D42</f>
        <v>71301.25</v>
      </c>
      <c r="K40" s="37">
        <f>+'05'!C42</f>
        <v>4</v>
      </c>
      <c r="L40" s="17">
        <f>+'05'!D42</f>
        <v>36374.25</v>
      </c>
      <c r="M40" s="37">
        <f>+'06'!C42</f>
        <v>3</v>
      </c>
      <c r="N40" s="17">
        <f>+'06'!D42</f>
        <v>33857</v>
      </c>
      <c r="O40" s="37">
        <f>+'07'!C42</f>
        <v>11</v>
      </c>
      <c r="P40" s="17">
        <f>+'07'!D42</f>
        <v>99323.5</v>
      </c>
      <c r="Q40" s="37">
        <f>+'08'!C42</f>
        <v>3</v>
      </c>
      <c r="R40" s="17">
        <f>+'08'!D42</f>
        <v>39470.5</v>
      </c>
      <c r="S40" s="37">
        <f>+'09'!C42</f>
        <v>9</v>
      </c>
      <c r="T40" s="17">
        <f>+'09'!D42</f>
        <v>162319.98000000001</v>
      </c>
      <c r="U40" s="37">
        <f>+'10'!C42</f>
        <v>5</v>
      </c>
      <c r="V40" s="17">
        <f>+'10'!D42</f>
        <v>74526.75</v>
      </c>
      <c r="W40" s="37">
        <f>+'11'!C42</f>
        <v>7</v>
      </c>
      <c r="X40" s="17">
        <f>+'11'!D42</f>
        <v>422138.5</v>
      </c>
      <c r="Y40" s="37">
        <f>+'12'!C42</f>
        <v>9</v>
      </c>
      <c r="Z40" s="17">
        <f>+'12'!D42</f>
        <v>230003</v>
      </c>
      <c r="AA40" s="37">
        <f>+'13'!C42</f>
        <v>5</v>
      </c>
      <c r="AB40" s="17">
        <f>+'13'!D42</f>
        <v>21966.25</v>
      </c>
      <c r="AC40" s="37">
        <f>+'14'!C42</f>
        <v>7</v>
      </c>
      <c r="AD40" s="17">
        <f>+'14'!D42</f>
        <v>340052.25</v>
      </c>
      <c r="AE40" s="37">
        <f>+'15'!C42</f>
        <v>7</v>
      </c>
      <c r="AF40" s="17">
        <f>+'15'!D42</f>
        <v>498216</v>
      </c>
      <c r="AG40" s="37">
        <f>+'16'!C42</f>
        <v>5</v>
      </c>
      <c r="AH40" s="17">
        <f>+'16'!D42</f>
        <v>90635</v>
      </c>
      <c r="AI40" s="37">
        <f>+'17'!C42</f>
        <v>4</v>
      </c>
      <c r="AJ40" s="17">
        <f>+'17'!D42</f>
        <v>117566</v>
      </c>
      <c r="AK40" s="37">
        <f>+'18'!C42</f>
        <v>4</v>
      </c>
      <c r="AL40" s="17">
        <f>+'18'!D42</f>
        <v>50920.25</v>
      </c>
      <c r="AM40" s="37">
        <f>+'19'!C42</f>
        <v>11</v>
      </c>
      <c r="AN40" s="37">
        <f>+'19'!D42</f>
        <v>120107</v>
      </c>
      <c r="AO40" s="37">
        <f>+'20'!C42</f>
        <v>8</v>
      </c>
      <c r="AP40" s="37">
        <f>+'20'!D42</f>
        <v>60229.25</v>
      </c>
      <c r="AQ40" s="37">
        <f>+'21'!C42</f>
        <v>4</v>
      </c>
      <c r="AR40" s="37">
        <f>+'21'!D42</f>
        <v>645755.75</v>
      </c>
      <c r="AS40" s="37">
        <f>+'22'!C42</f>
        <v>3</v>
      </c>
      <c r="AT40" s="37">
        <f>+'22'!D42</f>
        <v>241721</v>
      </c>
      <c r="AU40" s="37">
        <f>+'23'!C42</f>
        <v>10</v>
      </c>
      <c r="AV40" s="37">
        <f>+'23'!D42</f>
        <v>330199.5</v>
      </c>
      <c r="AW40" s="37">
        <f>+'24'!C44</f>
        <v>0</v>
      </c>
      <c r="AX40" s="37">
        <f>+'24'!D44</f>
        <v>0</v>
      </c>
      <c r="AY40" s="37">
        <f>+'25'!C42</f>
        <v>4</v>
      </c>
      <c r="AZ40" s="37">
        <f>+'25'!D42</f>
        <v>43280.25</v>
      </c>
      <c r="BA40" s="37">
        <f>+'26'!C42</f>
        <v>8</v>
      </c>
      <c r="BB40" s="37">
        <f>+'26'!D42</f>
        <v>124010.75</v>
      </c>
      <c r="BC40" s="37">
        <f>+'27'!C42</f>
        <v>3</v>
      </c>
      <c r="BD40" s="37">
        <f>+'27'!D42</f>
        <v>31641.25</v>
      </c>
      <c r="BE40" s="37">
        <f>+'28'!C42</f>
        <v>5</v>
      </c>
      <c r="BF40" s="37">
        <f>+'28'!D42</f>
        <v>347837.75</v>
      </c>
      <c r="BG40" s="37">
        <f>+'29'!C42</f>
        <v>8</v>
      </c>
      <c r="BH40" s="37">
        <f>+'29'!D42</f>
        <v>135077.5</v>
      </c>
      <c r="BI40" s="37">
        <f>+'30'!C42</f>
        <v>5</v>
      </c>
      <c r="BJ40" s="37">
        <f>+'30'!D42</f>
        <v>62226</v>
      </c>
      <c r="BK40" s="37">
        <f>+'31'!C42</f>
        <v>0</v>
      </c>
      <c r="BL40" s="37">
        <f>+'31'!D42</f>
        <v>0</v>
      </c>
      <c r="BM40" s="37">
        <f t="shared" si="0"/>
        <v>221</v>
      </c>
      <c r="BN40" s="30">
        <f t="shared" si="1"/>
        <v>6819533.6600000001</v>
      </c>
    </row>
    <row r="41" spans="1:66" s="71" customFormat="1" ht="29.25">
      <c r="A41" s="27"/>
      <c r="B41" s="265" t="s">
        <v>263</v>
      </c>
      <c r="C41" s="37">
        <f>+'01'!C42</f>
        <v>5</v>
      </c>
      <c r="D41" s="30">
        <f>+'01'!D42</f>
        <v>248522.75</v>
      </c>
      <c r="E41" s="37">
        <f>+'02'!C42</f>
        <v>4</v>
      </c>
      <c r="F41" s="17">
        <f>+'02'!D42</f>
        <v>1083490</v>
      </c>
      <c r="G41" s="37">
        <f>+'03'!C42</f>
        <v>7</v>
      </c>
      <c r="H41" s="17">
        <f>+'03'!D45</f>
        <v>65053.36</v>
      </c>
      <c r="I41" s="37">
        <f>+'04'!C45</f>
        <v>83</v>
      </c>
      <c r="J41" s="17">
        <f>+'04'!D45</f>
        <v>84567.75</v>
      </c>
      <c r="K41" s="37">
        <f>+'05'!C45</f>
        <v>9</v>
      </c>
      <c r="L41" s="17">
        <f>+'05'!D45</f>
        <v>7652</v>
      </c>
      <c r="M41" s="37">
        <f>+'06'!C45</f>
        <v>17</v>
      </c>
      <c r="N41" s="17">
        <f>+'06'!D45</f>
        <v>11894.5</v>
      </c>
      <c r="O41" s="37">
        <f>+'07'!C45</f>
        <v>89</v>
      </c>
      <c r="P41" s="17">
        <f>+'07'!D45</f>
        <v>71145.87</v>
      </c>
      <c r="Q41" s="37">
        <f>+'08'!C45</f>
        <v>92</v>
      </c>
      <c r="R41" s="17">
        <f>+'08'!D45</f>
        <v>93009.87</v>
      </c>
      <c r="S41" s="37">
        <f>+'09'!C45</f>
        <v>66</v>
      </c>
      <c r="T41" s="17">
        <f>+'09'!D45</f>
        <v>81143.86</v>
      </c>
      <c r="U41" s="37">
        <f>+'10'!C45</f>
        <v>70</v>
      </c>
      <c r="V41" s="17">
        <f>+'10'!D45</f>
        <v>90666.33</v>
      </c>
      <c r="W41" s="37">
        <f>+'11'!C45</f>
        <v>83</v>
      </c>
      <c r="X41" s="17">
        <f>+'11'!D45</f>
        <v>92454</v>
      </c>
      <c r="Y41" s="37">
        <f>+'12'!C45</f>
        <v>14</v>
      </c>
      <c r="Z41" s="17">
        <f>+'12'!D45</f>
        <v>31920.5</v>
      </c>
      <c r="AA41" s="37">
        <f>+'13'!C45</f>
        <v>22</v>
      </c>
      <c r="AB41" s="17">
        <f>+'13'!D45</f>
        <v>24216</v>
      </c>
      <c r="AC41" s="37">
        <f>+'14'!C45</f>
        <v>97</v>
      </c>
      <c r="AD41" s="17">
        <f>+'14'!D45</f>
        <v>100236.37</v>
      </c>
      <c r="AE41" s="37">
        <f>+'15'!C45</f>
        <v>70</v>
      </c>
      <c r="AF41" s="17">
        <f>+'15'!D45</f>
        <v>62525.61</v>
      </c>
      <c r="AG41" s="37">
        <f>+'16'!C45</f>
        <v>64</v>
      </c>
      <c r="AH41" s="17">
        <f>+'16'!D45</f>
        <v>90331.25</v>
      </c>
      <c r="AI41" s="37">
        <f>+'17'!C48</f>
        <v>0</v>
      </c>
      <c r="AJ41" s="17">
        <f>+'17'!D48</f>
        <v>0</v>
      </c>
      <c r="AK41" s="37">
        <f>+'18'!C48</f>
        <v>0</v>
      </c>
      <c r="AL41" s="17">
        <f>+'18'!D48</f>
        <v>0</v>
      </c>
      <c r="AM41" s="37">
        <f>+'19'!C45</f>
        <v>23</v>
      </c>
      <c r="AN41" s="37">
        <f>+'19'!D45</f>
        <v>25857.25</v>
      </c>
      <c r="AO41" s="37">
        <f>+'20'!C45</f>
        <v>22</v>
      </c>
      <c r="AP41" s="37">
        <f>+'20'!D45</f>
        <v>16878.5</v>
      </c>
      <c r="AQ41" s="37">
        <f>+'21'!C45</f>
        <v>84</v>
      </c>
      <c r="AR41" s="37">
        <f>+'21'!D45</f>
        <v>91269.87</v>
      </c>
      <c r="AS41" s="37">
        <f>+'22'!C45</f>
        <v>67</v>
      </c>
      <c r="AT41" s="37">
        <f>+'22'!D45</f>
        <v>59170.12</v>
      </c>
      <c r="AU41" s="37">
        <f>+'23'!C45</f>
        <v>61</v>
      </c>
      <c r="AV41" s="37">
        <f>+'23'!D45</f>
        <v>57918.25</v>
      </c>
      <c r="AW41" s="37">
        <f>+'24'!C45</f>
        <v>64</v>
      </c>
      <c r="AX41" s="37">
        <f>+'24'!D45</f>
        <v>65286.11</v>
      </c>
      <c r="AY41" s="37">
        <f>+'25'!C45</f>
        <v>70</v>
      </c>
      <c r="AZ41" s="37">
        <f>+'25'!D45</f>
        <v>83905.25</v>
      </c>
      <c r="BA41" s="37">
        <f>+'26'!C45</f>
        <v>15</v>
      </c>
      <c r="BB41" s="37">
        <f>+'26'!D45</f>
        <v>7649.75</v>
      </c>
      <c r="BC41" s="37">
        <f>+'27'!C45</f>
        <v>11</v>
      </c>
      <c r="BD41" s="37">
        <f>+'27'!D45</f>
        <v>5817.5</v>
      </c>
      <c r="BE41" s="37">
        <f>+'28'!C45</f>
        <v>72</v>
      </c>
      <c r="BF41" s="37">
        <f>+'28'!D45</f>
        <v>55654.37</v>
      </c>
      <c r="BG41" s="37">
        <f>+'29'!C45</f>
        <v>74</v>
      </c>
      <c r="BH41" s="37">
        <f>+'29'!D45</f>
        <v>82175.12</v>
      </c>
      <c r="BI41" s="37">
        <f>+'30'!C45</f>
        <v>62</v>
      </c>
      <c r="BJ41" s="37">
        <f>+'30'!D45</f>
        <v>102490.75</v>
      </c>
      <c r="BK41" s="37">
        <f>+'31'!C45</f>
        <v>0</v>
      </c>
      <c r="BL41" s="37">
        <f>+'31'!D45</f>
        <v>0</v>
      </c>
      <c r="BM41" s="37">
        <f t="shared" si="0"/>
        <v>1417</v>
      </c>
      <c r="BN41" s="30">
        <f t="shared" si="1"/>
        <v>2892902.8600000003</v>
      </c>
    </row>
    <row r="42" spans="1:66" s="71" customFormat="1" ht="29.25">
      <c r="A42" s="27"/>
      <c r="B42" s="265" t="s">
        <v>264</v>
      </c>
      <c r="C42" s="37">
        <f>+'01'!C43</f>
        <v>0</v>
      </c>
      <c r="D42" s="30">
        <f>+'01'!D43</f>
        <v>0</v>
      </c>
      <c r="E42" s="37">
        <f>+'02'!C45</f>
        <v>63</v>
      </c>
      <c r="F42" s="17">
        <f>+'02'!D45</f>
        <v>77565</v>
      </c>
      <c r="G42" s="37">
        <f>+'03'!C45</f>
        <v>66</v>
      </c>
      <c r="H42" s="17">
        <f>+'03'!D46</f>
        <v>2872.5</v>
      </c>
      <c r="I42" s="37">
        <f>+'04'!C46</f>
        <v>2</v>
      </c>
      <c r="J42" s="17">
        <f>+'04'!D46</f>
        <v>410</v>
      </c>
      <c r="K42" s="37">
        <f>+'05'!C46</f>
        <v>0</v>
      </c>
      <c r="L42" s="17">
        <f>+'05'!D46</f>
        <v>0</v>
      </c>
      <c r="M42" s="37">
        <f>+'06'!C46</f>
        <v>0</v>
      </c>
      <c r="N42" s="17">
        <f>+'06'!D46</f>
        <v>0</v>
      </c>
      <c r="O42" s="37">
        <f>+'07'!C46</f>
        <v>6</v>
      </c>
      <c r="P42" s="17">
        <f>+'07'!D46</f>
        <v>16377.49</v>
      </c>
      <c r="Q42" s="37">
        <f>+'08'!C46</f>
        <v>3</v>
      </c>
      <c r="R42" s="17">
        <f>+'08'!D46</f>
        <v>7111</v>
      </c>
      <c r="S42" s="37">
        <f>+'09'!C46</f>
        <v>0</v>
      </c>
      <c r="T42" s="17">
        <f>+'09'!D46</f>
        <v>0</v>
      </c>
      <c r="U42" s="37">
        <f>+'10'!C46</f>
        <v>0</v>
      </c>
      <c r="V42" s="17">
        <f>+'10'!D46</f>
        <v>0</v>
      </c>
      <c r="W42" s="37">
        <f>+'11'!C46</f>
        <v>0</v>
      </c>
      <c r="X42" s="17">
        <f>+'11'!D46</f>
        <v>0</v>
      </c>
      <c r="Y42" s="37">
        <f>+'12'!C46</f>
        <v>0</v>
      </c>
      <c r="Z42" s="17">
        <f>+'12'!D46</f>
        <v>0</v>
      </c>
      <c r="AA42" s="37">
        <f>+'13'!C46</f>
        <v>1</v>
      </c>
      <c r="AB42" s="17">
        <f>+'13'!D46</f>
        <v>13120</v>
      </c>
      <c r="AC42" s="37">
        <f>+'14'!C46</f>
        <v>1</v>
      </c>
      <c r="AD42" s="17">
        <f>+'14'!D46</f>
        <v>120</v>
      </c>
      <c r="AE42" s="37">
        <f>+'15'!C46</f>
        <v>0</v>
      </c>
      <c r="AF42" s="17">
        <f>+'15'!D46</f>
        <v>0</v>
      </c>
      <c r="AG42" s="37">
        <f>+'16'!C46</f>
        <v>1</v>
      </c>
      <c r="AH42" s="17">
        <f>+'16'!D46</f>
        <v>4962</v>
      </c>
      <c r="AI42" s="37">
        <f>+'17'!C49</f>
        <v>0</v>
      </c>
      <c r="AJ42" s="17">
        <f>+'17'!D49</f>
        <v>0</v>
      </c>
      <c r="AK42" s="37">
        <f>+'18'!C49</f>
        <v>1</v>
      </c>
      <c r="AL42" s="17">
        <f>+'18'!D49</f>
        <v>21639.5</v>
      </c>
      <c r="AM42" s="37">
        <f>+'19'!C46</f>
        <v>0</v>
      </c>
      <c r="AN42" s="37">
        <f>+'19'!D46</f>
        <v>0</v>
      </c>
      <c r="AO42" s="37">
        <f>+'20'!C46</f>
        <v>0</v>
      </c>
      <c r="AP42" s="37">
        <f>+'20'!D46</f>
        <v>0</v>
      </c>
      <c r="AQ42" s="37">
        <f>+'21'!C46</f>
        <v>2</v>
      </c>
      <c r="AR42" s="37">
        <f>+'21'!D46</f>
        <v>1564</v>
      </c>
      <c r="AS42" s="37">
        <f>+'22'!C46</f>
        <v>2</v>
      </c>
      <c r="AT42" s="37">
        <f>+'22'!D46</f>
        <v>8594.25</v>
      </c>
      <c r="AU42" s="37">
        <f>+'23'!C46</f>
        <v>1</v>
      </c>
      <c r="AV42" s="37">
        <f>+'23'!D46</f>
        <v>16067</v>
      </c>
      <c r="AW42" s="37">
        <f>+'24'!C46</f>
        <v>2</v>
      </c>
      <c r="AX42" s="37">
        <f>+'24'!D46</f>
        <v>6609.25</v>
      </c>
      <c r="AY42" s="37">
        <f>+'25'!C46</f>
        <v>5</v>
      </c>
      <c r="AZ42" s="37">
        <f>+'25'!D46</f>
        <v>3229.75</v>
      </c>
      <c r="BA42" s="37">
        <f>+'26'!C46</f>
        <v>0</v>
      </c>
      <c r="BB42" s="37">
        <f>+'26'!D46</f>
        <v>0</v>
      </c>
      <c r="BC42" s="37">
        <f>+'27'!C46</f>
        <v>0</v>
      </c>
      <c r="BD42" s="37">
        <f>+'27'!D46</f>
        <v>0</v>
      </c>
      <c r="BE42" s="37">
        <f>+'28'!C46</f>
        <v>2</v>
      </c>
      <c r="BF42" s="37">
        <f>+'28'!D46</f>
        <v>9894.24</v>
      </c>
      <c r="BG42" s="37">
        <f>+'29'!C46</f>
        <v>0</v>
      </c>
      <c r="BH42" s="37">
        <f>+'29'!D46</f>
        <v>0</v>
      </c>
      <c r="BI42" s="37">
        <f>+'30'!C46</f>
        <v>1</v>
      </c>
      <c r="BJ42" s="37">
        <f>+'30'!D46</f>
        <v>2059</v>
      </c>
      <c r="BK42" s="37">
        <f>+'31'!C46</f>
        <v>0</v>
      </c>
      <c r="BL42" s="37">
        <f>+'31'!D46</f>
        <v>0</v>
      </c>
      <c r="BM42" s="37">
        <f t="shared" si="0"/>
        <v>159</v>
      </c>
      <c r="BN42" s="30">
        <f t="shared" si="1"/>
        <v>192194.97999999998</v>
      </c>
    </row>
    <row r="43" spans="1:66" s="71" customFormat="1" ht="29.25">
      <c r="A43" s="27"/>
      <c r="B43" s="265" t="s">
        <v>265</v>
      </c>
      <c r="C43" s="37">
        <f>+'01'!C44</f>
        <v>0</v>
      </c>
      <c r="D43" s="30">
        <f>+'01'!D44</f>
        <v>0</v>
      </c>
      <c r="E43" s="37">
        <f>+'02'!C46</f>
        <v>2</v>
      </c>
      <c r="F43" s="17">
        <f>+'02'!D46</f>
        <v>6417</v>
      </c>
      <c r="G43" s="37">
        <f>+'03'!C46</f>
        <v>3</v>
      </c>
      <c r="H43" s="17">
        <f>+'03'!D50</f>
        <v>1519</v>
      </c>
      <c r="I43" s="37">
        <f>+'04'!C50</f>
        <v>1</v>
      </c>
      <c r="J43" s="17">
        <f>+'04'!D50</f>
        <v>190</v>
      </c>
      <c r="K43" s="37">
        <f>+'05'!C50</f>
        <v>0</v>
      </c>
      <c r="L43" s="17">
        <f>+'05'!D50</f>
        <v>0</v>
      </c>
      <c r="M43" s="37">
        <f>+'06'!C50</f>
        <v>0</v>
      </c>
      <c r="N43" s="17">
        <f>+'06'!D50</f>
        <v>0</v>
      </c>
      <c r="O43" s="37">
        <f>+'07'!C50</f>
        <v>0</v>
      </c>
      <c r="P43" s="17">
        <f>+'07'!D50</f>
        <v>0</v>
      </c>
      <c r="Q43" s="37">
        <f>+'08'!C50</f>
        <v>1</v>
      </c>
      <c r="R43" s="17">
        <f>+'08'!D50</f>
        <v>130</v>
      </c>
      <c r="S43" s="37">
        <f>+'09'!C50</f>
        <v>0</v>
      </c>
      <c r="T43" s="17">
        <f>+'09'!D50</f>
        <v>0</v>
      </c>
      <c r="U43" s="37">
        <f>+'10'!C50</f>
        <v>0</v>
      </c>
      <c r="V43" s="17">
        <f>+'10'!D50</f>
        <v>0</v>
      </c>
      <c r="W43" s="37">
        <f>+'11'!C50</f>
        <v>1</v>
      </c>
      <c r="X43" s="17">
        <f>+'11'!D50</f>
        <v>1313.5</v>
      </c>
      <c r="Y43" s="37">
        <f>+'12'!C50</f>
        <v>0</v>
      </c>
      <c r="Z43" s="17">
        <f>+'12'!D50</f>
        <v>0</v>
      </c>
      <c r="AA43" s="37">
        <f>+'13'!C50</f>
        <v>0</v>
      </c>
      <c r="AB43" s="17">
        <f>+'13'!D50</f>
        <v>0</v>
      </c>
      <c r="AC43" s="37">
        <f>+'14'!C50</f>
        <v>3</v>
      </c>
      <c r="AD43" s="17">
        <f>+'14'!D50</f>
        <v>3250</v>
      </c>
      <c r="AE43" s="37">
        <f>+'15'!C50</f>
        <v>1</v>
      </c>
      <c r="AF43" s="17">
        <f>+'15'!D50</f>
        <v>1740</v>
      </c>
      <c r="AG43" s="37">
        <f>+'16'!C50</f>
        <v>1</v>
      </c>
      <c r="AH43" s="17">
        <f>+'16'!D50</f>
        <v>3776</v>
      </c>
      <c r="AI43" s="37">
        <f>+'17'!C50</f>
        <v>3</v>
      </c>
      <c r="AJ43" s="17">
        <f>+'17'!D50</f>
        <v>18024.5</v>
      </c>
      <c r="AK43" s="37">
        <f>+'18'!C50</f>
        <v>1</v>
      </c>
      <c r="AL43" s="17">
        <f>+'18'!D50</f>
        <v>1890</v>
      </c>
      <c r="AM43" s="37">
        <f>+'19'!C50</f>
        <v>0</v>
      </c>
      <c r="AN43" s="37">
        <f>+'19'!D50</f>
        <v>0</v>
      </c>
      <c r="AO43" s="37">
        <f>+'20'!C50</f>
        <v>0</v>
      </c>
      <c r="AP43" s="37">
        <f>+'20'!D50</f>
        <v>0</v>
      </c>
      <c r="AQ43" s="37">
        <f>+'21'!C50</f>
        <v>5</v>
      </c>
      <c r="AR43" s="37">
        <f>+'21'!D50</f>
        <v>3231</v>
      </c>
      <c r="AS43" s="37">
        <f>+'22'!C50</f>
        <v>1</v>
      </c>
      <c r="AT43" s="37">
        <f>+'22'!D50</f>
        <v>2586.25</v>
      </c>
      <c r="AU43" s="37">
        <f>+'23'!C50</f>
        <v>1</v>
      </c>
      <c r="AV43" s="37">
        <f>+'23'!D50</f>
        <v>901.25</v>
      </c>
      <c r="AW43" s="37">
        <f>+'24'!C50</f>
        <v>0</v>
      </c>
      <c r="AX43" s="37">
        <f>+'24'!D50</f>
        <v>0</v>
      </c>
      <c r="AY43" s="37">
        <f>+'25'!C50</f>
        <v>0</v>
      </c>
      <c r="AZ43" s="37">
        <f>+'25'!D50</f>
        <v>0</v>
      </c>
      <c r="BA43" s="37" t="e">
        <f>+'26'!#REF!</f>
        <v>#REF!</v>
      </c>
      <c r="BB43" s="37" t="e">
        <f>+'26'!#REF!</f>
        <v>#REF!</v>
      </c>
      <c r="BC43" s="37">
        <f>+'27'!C50</f>
        <v>0</v>
      </c>
      <c r="BD43" s="37">
        <f>+'27'!D50</f>
        <v>0</v>
      </c>
      <c r="BE43" s="37">
        <f>+'28'!C50</f>
        <v>3</v>
      </c>
      <c r="BF43" s="37">
        <f>+'28'!D50</f>
        <v>4505</v>
      </c>
      <c r="BG43" s="37">
        <f>+'29'!C50</f>
        <v>1</v>
      </c>
      <c r="BH43" s="37">
        <f>+'29'!D50</f>
        <v>120</v>
      </c>
      <c r="BI43" s="37">
        <f>+'30'!C50</f>
        <v>2</v>
      </c>
      <c r="BJ43" s="37">
        <f>+'30'!D50</f>
        <v>1225</v>
      </c>
      <c r="BK43" s="37">
        <f>+'31'!C50</f>
        <v>0</v>
      </c>
      <c r="BL43" s="37">
        <f>+'31'!D50</f>
        <v>0</v>
      </c>
      <c r="BM43" s="37" t="e">
        <f t="shared" si="0"/>
        <v>#REF!</v>
      </c>
      <c r="BN43" s="30" t="e">
        <f t="shared" si="1"/>
        <v>#REF!</v>
      </c>
    </row>
    <row r="44" spans="1:66">
      <c r="A44" s="10">
        <v>12</v>
      </c>
      <c r="B44" s="12" t="s">
        <v>36</v>
      </c>
      <c r="C44" s="36">
        <f>+'01'!C45</f>
        <v>74</v>
      </c>
      <c r="D44" s="30">
        <f>+'01'!D45</f>
        <v>99602.5</v>
      </c>
      <c r="E44" s="36">
        <f>+'02'!C45</f>
        <v>63</v>
      </c>
      <c r="F44" s="7">
        <f>+'02'!D45</f>
        <v>77565</v>
      </c>
      <c r="G44" s="36">
        <f>+'03'!C45</f>
        <v>66</v>
      </c>
      <c r="H44" s="7">
        <f>+'03'!D45</f>
        <v>65053.36</v>
      </c>
      <c r="I44" s="36">
        <f>+'04'!C45</f>
        <v>83</v>
      </c>
      <c r="J44" s="7">
        <f>+'04'!D45</f>
        <v>84567.75</v>
      </c>
      <c r="K44" s="36">
        <f>+'05'!C45</f>
        <v>9</v>
      </c>
      <c r="L44" s="7">
        <f>+'05'!D45</f>
        <v>7652</v>
      </c>
      <c r="M44" s="36">
        <f>+'06'!C45</f>
        <v>17</v>
      </c>
      <c r="N44" s="7">
        <f>+'06'!D45</f>
        <v>11894.5</v>
      </c>
      <c r="O44" s="36">
        <f>+'07'!C45</f>
        <v>89</v>
      </c>
      <c r="P44" s="7">
        <f>+'07'!D45</f>
        <v>71145.87</v>
      </c>
      <c r="Q44" s="36">
        <f>+'08'!C45</f>
        <v>92</v>
      </c>
      <c r="R44" s="7">
        <f>+'08'!D45</f>
        <v>93009.87</v>
      </c>
      <c r="S44" s="36">
        <f>+'09'!C45</f>
        <v>66</v>
      </c>
      <c r="T44" s="7">
        <f>+'09'!D45</f>
        <v>81143.86</v>
      </c>
      <c r="U44" s="36">
        <f>+'10'!C45</f>
        <v>70</v>
      </c>
      <c r="V44" s="7">
        <f>+'10'!D45</f>
        <v>90666.33</v>
      </c>
      <c r="W44" s="36">
        <f>+'11'!C45</f>
        <v>83</v>
      </c>
      <c r="X44" s="7">
        <f>+'11'!D45</f>
        <v>92454</v>
      </c>
      <c r="Y44" s="36">
        <f>+'12'!C45</f>
        <v>14</v>
      </c>
      <c r="Z44" s="7">
        <f>+'12'!D45</f>
        <v>31920.5</v>
      </c>
      <c r="AA44" s="36">
        <f>+'13'!C45</f>
        <v>22</v>
      </c>
      <c r="AB44" s="7">
        <f>+'13'!D45</f>
        <v>24216</v>
      </c>
      <c r="AC44" s="36">
        <f>+'14'!C45</f>
        <v>97</v>
      </c>
      <c r="AD44" s="7">
        <f>+'14'!D45</f>
        <v>100236.37</v>
      </c>
      <c r="AE44" s="36">
        <f>+'15'!C45</f>
        <v>70</v>
      </c>
      <c r="AF44" s="7">
        <f>+'15'!D45</f>
        <v>62525.61</v>
      </c>
      <c r="AG44" s="36">
        <f>+'16'!C45</f>
        <v>64</v>
      </c>
      <c r="AH44" s="7">
        <f>+'16'!D45</f>
        <v>90331.25</v>
      </c>
      <c r="AI44" s="36">
        <f>+'17'!C48</f>
        <v>0</v>
      </c>
      <c r="AJ44" s="7">
        <f>+'17'!D48</f>
        <v>0</v>
      </c>
      <c r="AK44" s="36">
        <f>+'18'!C48</f>
        <v>0</v>
      </c>
      <c r="AL44" s="7">
        <f>+'18'!D48</f>
        <v>0</v>
      </c>
      <c r="AM44" s="36">
        <f>+'19'!C45</f>
        <v>23</v>
      </c>
      <c r="AN44" s="36">
        <f>+'19'!D45</f>
        <v>25857.25</v>
      </c>
      <c r="AO44" s="36">
        <f>+'20'!C45</f>
        <v>22</v>
      </c>
      <c r="AP44" s="36">
        <f>+'20'!D45</f>
        <v>16878.5</v>
      </c>
      <c r="AQ44" s="36">
        <f>+'21'!C45</f>
        <v>84</v>
      </c>
      <c r="AR44" s="36">
        <f>+'21'!D45</f>
        <v>91269.87</v>
      </c>
      <c r="AS44" s="36">
        <f>+'22'!C45</f>
        <v>67</v>
      </c>
      <c r="AT44" s="36">
        <f>+'22'!D45</f>
        <v>59170.12</v>
      </c>
      <c r="AU44" s="36">
        <f>+'23'!C45</f>
        <v>61</v>
      </c>
      <c r="AV44" s="36">
        <f>+'23'!D45</f>
        <v>57918.25</v>
      </c>
      <c r="AW44" s="36">
        <f>+'24'!C45</f>
        <v>64</v>
      </c>
      <c r="AX44" s="36">
        <f>+'24'!D45</f>
        <v>65286.11</v>
      </c>
      <c r="AY44" s="36">
        <f>+'25'!C45</f>
        <v>70</v>
      </c>
      <c r="AZ44" s="36">
        <f>+'25'!D45</f>
        <v>83905.25</v>
      </c>
      <c r="BA44" s="36">
        <f>+'26'!C45</f>
        <v>15</v>
      </c>
      <c r="BB44" s="36">
        <f>+'26'!D45</f>
        <v>7649.75</v>
      </c>
      <c r="BC44" s="36">
        <f>+'27'!C45</f>
        <v>11</v>
      </c>
      <c r="BD44" s="36">
        <f>+'27'!D45</f>
        <v>5817.5</v>
      </c>
      <c r="BE44" s="36">
        <f>+'28'!C45</f>
        <v>72</v>
      </c>
      <c r="BF44" s="36">
        <f>+'28'!D45</f>
        <v>55654.37</v>
      </c>
      <c r="BG44" s="36">
        <f>+'29'!C45</f>
        <v>74</v>
      </c>
      <c r="BH44" s="36">
        <f>+'29'!D45</f>
        <v>82175.12</v>
      </c>
      <c r="BI44" s="36">
        <f>+'30'!C45</f>
        <v>62</v>
      </c>
      <c r="BJ44" s="36">
        <f>+'30'!D45</f>
        <v>102490.75</v>
      </c>
      <c r="BK44" s="36">
        <f>+'31'!C45</f>
        <v>0</v>
      </c>
      <c r="BL44" s="36">
        <f>+'31'!D45</f>
        <v>0</v>
      </c>
      <c r="BM44" s="36">
        <f t="shared" si="0"/>
        <v>1604</v>
      </c>
      <c r="BN44" s="56">
        <f t="shared" si="1"/>
        <v>1738057.6100000003</v>
      </c>
    </row>
    <row r="45" spans="1:66">
      <c r="A45" s="10"/>
      <c r="B45" s="12" t="s">
        <v>45</v>
      </c>
      <c r="C45" s="36">
        <f>+'01'!C46</f>
        <v>1</v>
      </c>
      <c r="D45" s="30">
        <f>+'01'!D46</f>
        <v>1321</v>
      </c>
      <c r="E45" s="36">
        <f>+'02'!C46</f>
        <v>2</v>
      </c>
      <c r="F45" s="7">
        <f>+'02'!D46</f>
        <v>6417</v>
      </c>
      <c r="G45" s="36">
        <f>+'03'!C46</f>
        <v>3</v>
      </c>
      <c r="H45" s="7">
        <f>+'03'!D46</f>
        <v>2872.5</v>
      </c>
      <c r="I45" s="36">
        <f>+'04'!C46</f>
        <v>2</v>
      </c>
      <c r="J45" s="7">
        <f>+'04'!D46</f>
        <v>410</v>
      </c>
      <c r="K45" s="36">
        <f>+'05'!C46</f>
        <v>0</v>
      </c>
      <c r="L45" s="7">
        <f>+'05'!D46</f>
        <v>0</v>
      </c>
      <c r="M45" s="36">
        <f>+'06'!C46</f>
        <v>0</v>
      </c>
      <c r="N45" s="7">
        <f>+'06'!D46</f>
        <v>0</v>
      </c>
      <c r="O45" s="36">
        <f>+'07'!C46</f>
        <v>6</v>
      </c>
      <c r="P45" s="7">
        <f>+'07'!D46</f>
        <v>16377.49</v>
      </c>
      <c r="Q45" s="36">
        <f>+'08'!C46</f>
        <v>3</v>
      </c>
      <c r="R45" s="7">
        <f>+'08'!D46</f>
        <v>7111</v>
      </c>
      <c r="S45" s="36">
        <f>+'09'!C46</f>
        <v>0</v>
      </c>
      <c r="T45" s="7">
        <f>+'09'!D46</f>
        <v>0</v>
      </c>
      <c r="U45" s="36">
        <f>+'10'!C46</f>
        <v>0</v>
      </c>
      <c r="V45" s="7">
        <f>+'10'!D46</f>
        <v>0</v>
      </c>
      <c r="W45" s="36">
        <f>+'11'!C46</f>
        <v>0</v>
      </c>
      <c r="X45" s="7">
        <f>+'11'!D46</f>
        <v>0</v>
      </c>
      <c r="Y45" s="36">
        <f>+'12'!C46</f>
        <v>0</v>
      </c>
      <c r="Z45" s="7">
        <f>+'12'!D46</f>
        <v>0</v>
      </c>
      <c r="AA45" s="36">
        <f>+'13'!C46</f>
        <v>1</v>
      </c>
      <c r="AB45" s="7">
        <f>+'13'!D46</f>
        <v>13120</v>
      </c>
      <c r="AC45" s="36">
        <f>+'14'!C46</f>
        <v>1</v>
      </c>
      <c r="AD45" s="7">
        <f>+'14'!D46</f>
        <v>120</v>
      </c>
      <c r="AE45" s="36">
        <f>+'15'!C46</f>
        <v>0</v>
      </c>
      <c r="AF45" s="7">
        <f>+'15'!D46</f>
        <v>0</v>
      </c>
      <c r="AG45" s="36">
        <f>+'16'!C46</f>
        <v>1</v>
      </c>
      <c r="AH45" s="7">
        <f>+'16'!D46</f>
        <v>4962</v>
      </c>
      <c r="AI45" s="36">
        <f>+'17'!C49</f>
        <v>0</v>
      </c>
      <c r="AJ45" s="7">
        <f>+'17'!D49</f>
        <v>0</v>
      </c>
      <c r="AK45" s="36">
        <f>+'18'!C49</f>
        <v>1</v>
      </c>
      <c r="AL45" s="7">
        <f>+'18'!D49</f>
        <v>21639.5</v>
      </c>
      <c r="AM45" s="36">
        <f>+'19'!C46</f>
        <v>0</v>
      </c>
      <c r="AN45" s="36">
        <f>+'19'!D46</f>
        <v>0</v>
      </c>
      <c r="AO45" s="36">
        <f>+'20'!C46</f>
        <v>0</v>
      </c>
      <c r="AP45" s="36">
        <f>+'20'!D46</f>
        <v>0</v>
      </c>
      <c r="AQ45" s="36">
        <f>+'21'!C46</f>
        <v>2</v>
      </c>
      <c r="AR45" s="36">
        <f>+'21'!D46</f>
        <v>1564</v>
      </c>
      <c r="AS45" s="36">
        <f>+'22'!C46</f>
        <v>2</v>
      </c>
      <c r="AT45" s="36">
        <f>+'22'!D46</f>
        <v>8594.25</v>
      </c>
      <c r="AU45" s="36">
        <f>+'23'!C46</f>
        <v>1</v>
      </c>
      <c r="AV45" s="36">
        <f>+'23'!D46</f>
        <v>16067</v>
      </c>
      <c r="AW45" s="36">
        <f>+'24'!C46</f>
        <v>2</v>
      </c>
      <c r="AX45" s="36">
        <f>+'24'!D46</f>
        <v>6609.25</v>
      </c>
      <c r="AY45" s="36">
        <f>+'25'!C46</f>
        <v>5</v>
      </c>
      <c r="AZ45" s="36">
        <f>+'25'!D46</f>
        <v>3229.75</v>
      </c>
      <c r="BA45" s="36">
        <f>+'26'!C46</f>
        <v>0</v>
      </c>
      <c r="BB45" s="36">
        <f>+'26'!D46</f>
        <v>0</v>
      </c>
      <c r="BC45" s="36">
        <f>+'27'!C46</f>
        <v>0</v>
      </c>
      <c r="BD45" s="36">
        <f>+'27'!D46</f>
        <v>0</v>
      </c>
      <c r="BE45" s="36">
        <f>+'28'!C46</f>
        <v>2</v>
      </c>
      <c r="BF45" s="36">
        <f>+'28'!D46</f>
        <v>9894.24</v>
      </c>
      <c r="BG45" s="36">
        <f>+'29'!C46</f>
        <v>0</v>
      </c>
      <c r="BH45" s="36">
        <f>+'29'!D46</f>
        <v>0</v>
      </c>
      <c r="BI45" s="36">
        <f>+'30'!C46</f>
        <v>1</v>
      </c>
      <c r="BJ45" s="36">
        <f>+'30'!D46</f>
        <v>2059</v>
      </c>
      <c r="BK45" s="36">
        <f>+'31'!C46</f>
        <v>0</v>
      </c>
      <c r="BL45" s="36">
        <f>+'31'!D46</f>
        <v>0</v>
      </c>
      <c r="BM45" s="36">
        <f t="shared" si="0"/>
        <v>36</v>
      </c>
      <c r="BN45" s="56">
        <f t="shared" si="1"/>
        <v>122367.98</v>
      </c>
    </row>
    <row r="46" spans="1:66" s="71" customFormat="1">
      <c r="A46" s="27">
        <v>13</v>
      </c>
      <c r="B46" s="70" t="s">
        <v>37</v>
      </c>
      <c r="C46" s="37">
        <f>+'01'!C50</f>
        <v>4</v>
      </c>
      <c r="D46" s="30">
        <f>+'01'!D50</f>
        <v>6976.5</v>
      </c>
      <c r="E46" s="37">
        <f>+'02'!C50</f>
        <v>2</v>
      </c>
      <c r="F46" s="17">
        <f>+'02'!D50</f>
        <v>5246.5</v>
      </c>
      <c r="G46" s="37">
        <f>+'03'!C50</f>
        <v>3</v>
      </c>
      <c r="H46" s="17">
        <f>+'03'!D50</f>
        <v>1519</v>
      </c>
      <c r="I46" s="37">
        <f>+'04'!C50</f>
        <v>1</v>
      </c>
      <c r="J46" s="17">
        <f>+'04'!D50</f>
        <v>190</v>
      </c>
      <c r="K46" s="37">
        <f>+'05'!C50</f>
        <v>0</v>
      </c>
      <c r="L46" s="17">
        <f>+'05'!D50</f>
        <v>0</v>
      </c>
      <c r="M46" s="37">
        <f>+'06'!C50</f>
        <v>0</v>
      </c>
      <c r="N46" s="17">
        <f>+'06'!D50</f>
        <v>0</v>
      </c>
      <c r="O46" s="37">
        <f>+'07'!C50</f>
        <v>0</v>
      </c>
      <c r="P46" s="17">
        <f>+'07'!D50</f>
        <v>0</v>
      </c>
      <c r="Q46" s="37">
        <f>+'08'!C50</f>
        <v>1</v>
      </c>
      <c r="R46" s="17">
        <f>+'08'!D50</f>
        <v>130</v>
      </c>
      <c r="S46" s="37">
        <f>+'09'!C50</f>
        <v>0</v>
      </c>
      <c r="T46" s="17">
        <f>+'09'!D50</f>
        <v>0</v>
      </c>
      <c r="U46" s="37">
        <f>+'10'!C50</f>
        <v>0</v>
      </c>
      <c r="V46" s="17">
        <f>+'10'!D50</f>
        <v>0</v>
      </c>
      <c r="W46" s="37">
        <f>+'11'!C50</f>
        <v>1</v>
      </c>
      <c r="X46" s="17">
        <f>+'11'!D50</f>
        <v>1313.5</v>
      </c>
      <c r="Y46" s="37">
        <f>+'12'!C50</f>
        <v>0</v>
      </c>
      <c r="Z46" s="17">
        <f>+'12'!D50</f>
        <v>0</v>
      </c>
      <c r="AA46" s="37">
        <f>+'13'!C50</f>
        <v>0</v>
      </c>
      <c r="AB46" s="17">
        <f>+'13'!D50</f>
        <v>0</v>
      </c>
      <c r="AC46" s="37">
        <f>+'14'!C50</f>
        <v>3</v>
      </c>
      <c r="AD46" s="17">
        <f>+'14'!D50</f>
        <v>3250</v>
      </c>
      <c r="AE46" s="37">
        <f>+'15'!C50</f>
        <v>1</v>
      </c>
      <c r="AF46" s="17">
        <f>+'15'!D50</f>
        <v>1740</v>
      </c>
      <c r="AG46" s="37">
        <f>+'16'!C50</f>
        <v>1</v>
      </c>
      <c r="AH46" s="17">
        <f>+'16'!D50</f>
        <v>3776</v>
      </c>
      <c r="AI46" s="37">
        <f>+'17'!C50</f>
        <v>3</v>
      </c>
      <c r="AJ46" s="17">
        <f>+'17'!D50</f>
        <v>18024.5</v>
      </c>
      <c r="AK46" s="37">
        <f>+'18'!C50</f>
        <v>1</v>
      </c>
      <c r="AL46" s="17">
        <f>+'18'!D50</f>
        <v>1890</v>
      </c>
      <c r="AM46" s="37">
        <f>+'19'!C50</f>
        <v>0</v>
      </c>
      <c r="AN46" s="37">
        <f>+'19'!D50</f>
        <v>0</v>
      </c>
      <c r="AO46" s="37">
        <f>+'20'!C50</f>
        <v>0</v>
      </c>
      <c r="AP46" s="37">
        <f>+'20'!D50</f>
        <v>0</v>
      </c>
      <c r="AQ46" s="37">
        <f>+'21'!C50</f>
        <v>5</v>
      </c>
      <c r="AR46" s="37">
        <f>+'21'!D50</f>
        <v>3231</v>
      </c>
      <c r="AS46" s="37">
        <f>+'22'!C50</f>
        <v>1</v>
      </c>
      <c r="AT46" s="37">
        <f>+'22'!D50</f>
        <v>2586.25</v>
      </c>
      <c r="AU46" s="37">
        <f>+'23'!C50</f>
        <v>1</v>
      </c>
      <c r="AV46" s="37">
        <f>+'23'!D50</f>
        <v>901.25</v>
      </c>
      <c r="AW46" s="37">
        <f>+'24'!C50</f>
        <v>0</v>
      </c>
      <c r="AX46" s="37">
        <f>+'24'!D50</f>
        <v>0</v>
      </c>
      <c r="AY46" s="37">
        <f>+'25'!C50</f>
        <v>0</v>
      </c>
      <c r="AZ46" s="37">
        <f>+'25'!D50</f>
        <v>0</v>
      </c>
      <c r="BA46" s="37" t="e">
        <f>+'26'!#REF!</f>
        <v>#REF!</v>
      </c>
      <c r="BB46" s="37" t="e">
        <f>+'26'!#REF!</f>
        <v>#REF!</v>
      </c>
      <c r="BC46" s="37">
        <f>+'27'!C50</f>
        <v>0</v>
      </c>
      <c r="BD46" s="37">
        <f>+'27'!D50</f>
        <v>0</v>
      </c>
      <c r="BE46" s="37">
        <f>+'28'!C50</f>
        <v>3</v>
      </c>
      <c r="BF46" s="37">
        <f>+'28'!D50</f>
        <v>4505</v>
      </c>
      <c r="BG46" s="37">
        <f>+'29'!C50</f>
        <v>1</v>
      </c>
      <c r="BH46" s="37">
        <f>+'29'!D50</f>
        <v>120</v>
      </c>
      <c r="BI46" s="37">
        <f>+'30'!C50</f>
        <v>2</v>
      </c>
      <c r="BJ46" s="37">
        <f>+'30'!D50</f>
        <v>1225</v>
      </c>
      <c r="BK46" s="37">
        <f>+'31'!C50</f>
        <v>0</v>
      </c>
      <c r="BL46" s="37">
        <f>+'31'!D50</f>
        <v>0</v>
      </c>
      <c r="BM46" s="37" t="e">
        <f t="shared" si="0"/>
        <v>#REF!</v>
      </c>
      <c r="BN46" s="30" t="e">
        <f t="shared" si="1"/>
        <v>#REF!</v>
      </c>
    </row>
    <row r="47" spans="1:66" s="71" customFormat="1">
      <c r="A47" s="27"/>
      <c r="B47" s="75" t="s">
        <v>46</v>
      </c>
      <c r="C47" s="37">
        <f>+'01'!C51</f>
        <v>0</v>
      </c>
      <c r="D47" s="30">
        <f>+'01'!D51</f>
        <v>0</v>
      </c>
      <c r="E47" s="37">
        <f>+'02'!C51</f>
        <v>1</v>
      </c>
      <c r="F47" s="17">
        <f>+'02'!D51</f>
        <v>333</v>
      </c>
      <c r="G47" s="37">
        <f>+'03'!C51</f>
        <v>0</v>
      </c>
      <c r="H47" s="17">
        <f>+'03'!D51</f>
        <v>0</v>
      </c>
      <c r="I47" s="37">
        <f>+'04'!C51</f>
        <v>0</v>
      </c>
      <c r="J47" s="17">
        <f>+'04'!D51</f>
        <v>0</v>
      </c>
      <c r="K47" s="37">
        <f>+'05'!C51</f>
        <v>0</v>
      </c>
      <c r="L47" s="17">
        <f>+'05'!D51</f>
        <v>0</v>
      </c>
      <c r="M47" s="37">
        <f>+'06'!C51</f>
        <v>0</v>
      </c>
      <c r="N47" s="17">
        <f>+'06'!D51</f>
        <v>0</v>
      </c>
      <c r="O47" s="37">
        <f>+'07'!C51</f>
        <v>0</v>
      </c>
      <c r="P47" s="17">
        <f>+'07'!D51</f>
        <v>0</v>
      </c>
      <c r="Q47" s="37">
        <f>+'08'!C51</f>
        <v>0</v>
      </c>
      <c r="R47" s="17">
        <f>+'08'!D51</f>
        <v>0</v>
      </c>
      <c r="S47" s="37">
        <f>+'09'!C51</f>
        <v>0</v>
      </c>
      <c r="T47" s="17">
        <f>+'09'!D51</f>
        <v>0</v>
      </c>
      <c r="U47" s="37">
        <f>+'10'!C51</f>
        <v>0</v>
      </c>
      <c r="V47" s="17">
        <f>+'10'!D51</f>
        <v>0</v>
      </c>
      <c r="W47" s="37">
        <f>+'11'!C51</f>
        <v>0</v>
      </c>
      <c r="X47" s="17">
        <f>+'11'!D51</f>
        <v>0</v>
      </c>
      <c r="Y47" s="37">
        <f>+'12'!C51</f>
        <v>0</v>
      </c>
      <c r="Z47" s="17">
        <f>+'12'!D51</f>
        <v>0</v>
      </c>
      <c r="AA47" s="37">
        <f>+'13'!C51</f>
        <v>0</v>
      </c>
      <c r="AB47" s="17">
        <f>+'13'!D51</f>
        <v>0</v>
      </c>
      <c r="AC47" s="37">
        <f>+'14'!C51</f>
        <v>0</v>
      </c>
      <c r="AD47" s="17">
        <f>+'14'!D51</f>
        <v>0</v>
      </c>
      <c r="AE47" s="37">
        <f>+'15'!C51</f>
        <v>0</v>
      </c>
      <c r="AF47" s="17">
        <f>+'15'!D51</f>
        <v>0</v>
      </c>
      <c r="AG47" s="37">
        <f>+'16'!C51</f>
        <v>0</v>
      </c>
      <c r="AH47" s="17">
        <f>+'16'!D51</f>
        <v>0</v>
      </c>
      <c r="AI47" s="37">
        <f>+'17'!C51</f>
        <v>0</v>
      </c>
      <c r="AJ47" s="17">
        <f>+'17'!D51</f>
        <v>0</v>
      </c>
      <c r="AK47" s="37">
        <f>+'18'!C51</f>
        <v>0</v>
      </c>
      <c r="AL47" s="17">
        <f>+'18'!D51</f>
        <v>0</v>
      </c>
      <c r="AM47" s="37">
        <f>+'19'!C51</f>
        <v>0</v>
      </c>
      <c r="AN47" s="37">
        <f>+'19'!D51</f>
        <v>0</v>
      </c>
      <c r="AO47" s="37">
        <f>+'20'!C51</f>
        <v>0</v>
      </c>
      <c r="AP47" s="37">
        <f>+'20'!D51</f>
        <v>0</v>
      </c>
      <c r="AQ47" s="37">
        <f>+'21'!C51</f>
        <v>0</v>
      </c>
      <c r="AR47" s="37">
        <f>+'21'!D51</f>
        <v>0</v>
      </c>
      <c r="AS47" s="37">
        <f>+'22'!C51</f>
        <v>0</v>
      </c>
      <c r="AT47" s="37">
        <f>+'22'!D51</f>
        <v>0</v>
      </c>
      <c r="AU47" s="37">
        <f>+'23'!C51</f>
        <v>0</v>
      </c>
      <c r="AV47" s="37">
        <f>+'23'!D51</f>
        <v>0</v>
      </c>
      <c r="AW47" s="37">
        <f>+'24'!C51</f>
        <v>0</v>
      </c>
      <c r="AX47" s="37">
        <f>+'24'!D51</f>
        <v>0</v>
      </c>
      <c r="AY47" s="37">
        <f>+'25'!C51</f>
        <v>0</v>
      </c>
      <c r="AZ47" s="37">
        <f>+'25'!D51</f>
        <v>0</v>
      </c>
      <c r="BA47" s="37" t="e">
        <f>+'26'!#REF!</f>
        <v>#REF!</v>
      </c>
      <c r="BB47" s="37" t="e">
        <f>+'26'!#REF!</f>
        <v>#REF!</v>
      </c>
      <c r="BC47" s="37">
        <f>+'27'!C51</f>
        <v>0</v>
      </c>
      <c r="BD47" s="37">
        <f>+'27'!D51</f>
        <v>0</v>
      </c>
      <c r="BE47" s="37">
        <f>+'28'!C51</f>
        <v>0</v>
      </c>
      <c r="BF47" s="37">
        <f>+'28'!D51</f>
        <v>0</v>
      </c>
      <c r="BG47" s="37">
        <f>+'29'!C51</f>
        <v>0</v>
      </c>
      <c r="BH47" s="37">
        <f>+'29'!D51</f>
        <v>0</v>
      </c>
      <c r="BI47" s="37">
        <f>+'30'!C51</f>
        <v>0</v>
      </c>
      <c r="BJ47" s="37">
        <f>+'30'!D51</f>
        <v>0</v>
      </c>
      <c r="BK47" s="37">
        <f>+'31'!C51</f>
        <v>0</v>
      </c>
      <c r="BL47" s="37">
        <f>+'31'!D51</f>
        <v>0</v>
      </c>
      <c r="BM47" s="37" t="e">
        <f t="shared" si="0"/>
        <v>#REF!</v>
      </c>
      <c r="BN47" s="30" t="e">
        <f t="shared" si="1"/>
        <v>#REF!</v>
      </c>
    </row>
    <row r="48" spans="1:66" s="71" customFormat="1">
      <c r="A48" s="27">
        <v>14</v>
      </c>
      <c r="B48" s="132" t="s">
        <v>98</v>
      </c>
      <c r="C48" s="37">
        <f>+'01'!C52</f>
        <v>0</v>
      </c>
      <c r="D48" s="30">
        <f>+'01'!D52</f>
        <v>0</v>
      </c>
      <c r="E48" s="37">
        <f>+'02'!C52</f>
        <v>0</v>
      </c>
      <c r="F48" s="17">
        <f>+'02'!D52</f>
        <v>0</v>
      </c>
      <c r="G48" s="37">
        <f>+'03'!C52</f>
        <v>0</v>
      </c>
      <c r="H48" s="17">
        <f>+'03'!D52</f>
        <v>0</v>
      </c>
      <c r="I48" s="37">
        <f>+'04'!C52</f>
        <v>0</v>
      </c>
      <c r="J48" s="17">
        <f>+'04'!D52</f>
        <v>0</v>
      </c>
      <c r="K48" s="37">
        <f>+'05'!C52</f>
        <v>0</v>
      </c>
      <c r="L48" s="17">
        <f>+'05'!D52</f>
        <v>0</v>
      </c>
      <c r="M48" s="37">
        <f>+'06'!C52</f>
        <v>0</v>
      </c>
      <c r="N48" s="17">
        <f>+'06'!D52</f>
        <v>0</v>
      </c>
      <c r="O48" s="37">
        <f>+'07'!C52</f>
        <v>1</v>
      </c>
      <c r="P48" s="17">
        <f>+'07'!D52</f>
        <v>246629.84</v>
      </c>
      <c r="Q48" s="37">
        <f>+'08'!C52</f>
        <v>0</v>
      </c>
      <c r="R48" s="17">
        <f>+'08'!D52</f>
        <v>0</v>
      </c>
      <c r="S48" s="37">
        <f>+'09'!C52</f>
        <v>0</v>
      </c>
      <c r="T48" s="17">
        <f>+'09'!D52</f>
        <v>0</v>
      </c>
      <c r="U48" s="37">
        <f>+'10'!C52</f>
        <v>0</v>
      </c>
      <c r="V48" s="17">
        <f>+'10'!D52</f>
        <v>0</v>
      </c>
      <c r="W48" s="37">
        <f>+'11'!C52</f>
        <v>0</v>
      </c>
      <c r="X48" s="17">
        <f>+'11'!D52</f>
        <v>0</v>
      </c>
      <c r="Y48" s="37">
        <f>+'12'!C52</f>
        <v>0</v>
      </c>
      <c r="Z48" s="17">
        <f>+'12'!D52</f>
        <v>0</v>
      </c>
      <c r="AA48" s="37">
        <f>+'13'!C52</f>
        <v>0</v>
      </c>
      <c r="AB48" s="17">
        <f>+'13'!D52</f>
        <v>0</v>
      </c>
      <c r="AC48" s="37">
        <f>+'14'!C52</f>
        <v>0</v>
      </c>
      <c r="AD48" s="17">
        <f>+'14'!D52</f>
        <v>0</v>
      </c>
      <c r="AE48" s="37">
        <f>+'15'!C52</f>
        <v>1</v>
      </c>
      <c r="AF48" s="17">
        <f>+'15'!D52</f>
        <v>29113</v>
      </c>
      <c r="AG48" s="37">
        <f>+'16'!C52</f>
        <v>0</v>
      </c>
      <c r="AH48" s="17">
        <f>+'16'!D52</f>
        <v>0</v>
      </c>
      <c r="AI48" s="37">
        <f>+'17'!C52</f>
        <v>0</v>
      </c>
      <c r="AJ48" s="17">
        <f>+'17'!D52</f>
        <v>0</v>
      </c>
      <c r="AK48" s="37">
        <f>+'18'!C52</f>
        <v>0</v>
      </c>
      <c r="AL48" s="17">
        <f>+'18'!D52</f>
        <v>0</v>
      </c>
      <c r="AM48" s="37">
        <f>+'19'!C52</f>
        <v>0</v>
      </c>
      <c r="AN48" s="37">
        <f>+'19'!D52</f>
        <v>0</v>
      </c>
      <c r="AO48" s="37">
        <f>+'20'!C52</f>
        <v>0</v>
      </c>
      <c r="AP48" s="37">
        <f>+'20'!D52</f>
        <v>0</v>
      </c>
      <c r="AQ48" s="37">
        <f>+'21'!C52</f>
        <v>0</v>
      </c>
      <c r="AR48" s="37">
        <f>+'21'!D52</f>
        <v>0</v>
      </c>
      <c r="AS48" s="37">
        <f>+'22'!C52</f>
        <v>1</v>
      </c>
      <c r="AT48" s="37">
        <f>+'22'!D52</f>
        <v>32691.97</v>
      </c>
      <c r="AU48" s="37">
        <f>+'23'!C52</f>
        <v>0</v>
      </c>
      <c r="AV48" s="37">
        <f>+'23'!D52</f>
        <v>0</v>
      </c>
      <c r="AW48" s="37">
        <f>+'24'!C52</f>
        <v>0</v>
      </c>
      <c r="AX48" s="37">
        <f>+'24'!D52</f>
        <v>0</v>
      </c>
      <c r="AY48" s="37">
        <f>+'25'!C52</f>
        <v>0</v>
      </c>
      <c r="AZ48" s="37">
        <f>+'25'!D52</f>
        <v>0</v>
      </c>
      <c r="BA48" s="37">
        <f>+'26'!C52</f>
        <v>0</v>
      </c>
      <c r="BB48" s="37">
        <f>+'26'!D52</f>
        <v>0</v>
      </c>
      <c r="BC48" s="37">
        <f>+'27'!C52</f>
        <v>0</v>
      </c>
      <c r="BD48" s="37">
        <f>+'27'!D52</f>
        <v>0</v>
      </c>
      <c r="BE48" s="37">
        <f>+'28'!C52</f>
        <v>1</v>
      </c>
      <c r="BF48" s="37">
        <f>+'28'!D52</f>
        <v>427516.22</v>
      </c>
      <c r="BG48" s="37">
        <f>+'29'!C52</f>
        <v>0</v>
      </c>
      <c r="BH48" s="37">
        <f>+'29'!D52</f>
        <v>0</v>
      </c>
      <c r="BI48" s="37">
        <f>+'30'!C52</f>
        <v>0</v>
      </c>
      <c r="BJ48" s="37">
        <f>+'30'!D52</f>
        <v>0</v>
      </c>
      <c r="BK48" s="37">
        <f>+'31'!C52</f>
        <v>0</v>
      </c>
      <c r="BL48" s="37">
        <f>+'31'!D52</f>
        <v>0</v>
      </c>
      <c r="BM48" s="37">
        <f t="shared" ref="BM48:BM53" si="2">+C48+E48+G48+I48+K48+M48+O48+Q48+S48+U48+W48+Y48+AA48+AC48+AE48+AG48+AI48+AK48+AM48+AO48+AQ48+AS48+AU48+AW48+AY48+BA48+BC48+BE48+BG48+BI48+BK48</f>
        <v>4</v>
      </c>
      <c r="BN48" s="30">
        <f t="shared" ref="BN48:BN51" si="3">+D48+F48+H48+J48+L48+N48+P48+R48+T48+V48+X48+Z48+AB48+AD48+AF48+AH48+AJ48+AL48+AN48+AP48+AR48+AT48+AV48+AX48+AZ48+BB48+BD48+BF48+BH48+BJ48+BL48</f>
        <v>735951.02999999991</v>
      </c>
    </row>
    <row r="49" spans="1:66" s="71" customFormat="1">
      <c r="A49" s="27">
        <v>15</v>
      </c>
      <c r="B49" s="132" t="s">
        <v>97</v>
      </c>
      <c r="C49" s="37" t="e">
        <f>+'01'!#REF!</f>
        <v>#REF!</v>
      </c>
      <c r="D49" s="30" t="e">
        <f>+'01'!#REF!</f>
        <v>#REF!</v>
      </c>
      <c r="E49" s="37" t="e">
        <f>+'02'!#REF!</f>
        <v>#REF!</v>
      </c>
      <c r="F49" s="17" t="e">
        <f>+'02'!#REF!</f>
        <v>#REF!</v>
      </c>
      <c r="G49" s="37" t="e">
        <f>+'03'!#REF!</f>
        <v>#REF!</v>
      </c>
      <c r="H49" s="17" t="e">
        <f>+'03'!#REF!</f>
        <v>#REF!</v>
      </c>
      <c r="I49" s="37" t="e">
        <f>+'04'!#REF!</f>
        <v>#REF!</v>
      </c>
      <c r="J49" s="17" t="e">
        <f>+'04'!#REF!</f>
        <v>#REF!</v>
      </c>
      <c r="K49" s="37" t="e">
        <f>+'05'!#REF!</f>
        <v>#REF!</v>
      </c>
      <c r="L49" s="17" t="e">
        <f>+'05'!#REF!</f>
        <v>#REF!</v>
      </c>
      <c r="M49" s="37" t="e">
        <f>+'06'!#REF!</f>
        <v>#REF!</v>
      </c>
      <c r="N49" s="17" t="e">
        <f>+'06'!#REF!</f>
        <v>#REF!</v>
      </c>
      <c r="O49" s="37" t="e">
        <f>+'07'!#REF!</f>
        <v>#REF!</v>
      </c>
      <c r="P49" s="17" t="e">
        <f>+'07'!#REF!</f>
        <v>#REF!</v>
      </c>
      <c r="Q49" s="37" t="e">
        <f>+'08'!#REF!</f>
        <v>#REF!</v>
      </c>
      <c r="R49" s="17" t="e">
        <f>+'08'!#REF!</f>
        <v>#REF!</v>
      </c>
      <c r="S49" s="37" t="e">
        <f>+'09'!#REF!</f>
        <v>#REF!</v>
      </c>
      <c r="T49" s="17" t="e">
        <f>+'09'!#REF!</f>
        <v>#REF!</v>
      </c>
      <c r="U49" s="37" t="e">
        <f>+'10'!#REF!</f>
        <v>#REF!</v>
      </c>
      <c r="V49" s="17" t="e">
        <f>+'10'!#REF!</f>
        <v>#REF!</v>
      </c>
      <c r="W49" s="37" t="e">
        <f>+'11'!#REF!</f>
        <v>#REF!</v>
      </c>
      <c r="X49" s="17" t="e">
        <f>+'11'!#REF!</f>
        <v>#REF!</v>
      </c>
      <c r="Y49" s="37" t="e">
        <f>+'12'!#REF!</f>
        <v>#REF!</v>
      </c>
      <c r="Z49" s="17" t="e">
        <f>+'12'!#REF!</f>
        <v>#REF!</v>
      </c>
      <c r="AA49" s="37" t="e">
        <f>+'13'!#REF!</f>
        <v>#REF!</v>
      </c>
      <c r="AB49" s="17" t="e">
        <f>+'13'!#REF!</f>
        <v>#REF!</v>
      </c>
      <c r="AC49" s="37" t="e">
        <f>+'14'!#REF!</f>
        <v>#REF!</v>
      </c>
      <c r="AD49" s="17" t="e">
        <f>+'14'!#REF!</f>
        <v>#REF!</v>
      </c>
      <c r="AE49" s="37" t="e">
        <f>+'15'!#REF!</f>
        <v>#REF!</v>
      </c>
      <c r="AF49" s="17" t="e">
        <f>+'15'!#REF!</f>
        <v>#REF!</v>
      </c>
      <c r="AG49" s="37" t="e">
        <f>+'16'!#REF!</f>
        <v>#REF!</v>
      </c>
      <c r="AH49" s="17" t="e">
        <f>+'16'!#REF!</f>
        <v>#REF!</v>
      </c>
      <c r="AI49" s="37" t="e">
        <f>+'17'!#REF!</f>
        <v>#REF!</v>
      </c>
      <c r="AJ49" s="17" t="e">
        <f>+'17'!#REF!</f>
        <v>#REF!</v>
      </c>
      <c r="AK49" s="37" t="e">
        <f>+'18'!#REF!</f>
        <v>#REF!</v>
      </c>
      <c r="AL49" s="17" t="e">
        <f>+'18'!#REF!</f>
        <v>#REF!</v>
      </c>
      <c r="AM49" s="37" t="e">
        <f>+'19'!#REF!</f>
        <v>#REF!</v>
      </c>
      <c r="AN49" s="37" t="e">
        <f>+'19'!#REF!</f>
        <v>#REF!</v>
      </c>
      <c r="AO49" s="37" t="e">
        <f>+'20'!#REF!</f>
        <v>#REF!</v>
      </c>
      <c r="AP49" s="37" t="e">
        <f>+'20'!#REF!</f>
        <v>#REF!</v>
      </c>
      <c r="AQ49" s="37" t="e">
        <f>+'21'!#REF!</f>
        <v>#REF!</v>
      </c>
      <c r="AR49" s="37" t="e">
        <f>+'21'!#REF!</f>
        <v>#REF!</v>
      </c>
      <c r="AS49" s="37" t="e">
        <f>+'22'!#REF!</f>
        <v>#REF!</v>
      </c>
      <c r="AT49" s="37" t="e">
        <f>+'22'!#REF!</f>
        <v>#REF!</v>
      </c>
      <c r="AU49" s="37" t="e">
        <f>+'23'!#REF!</f>
        <v>#REF!</v>
      </c>
      <c r="AV49" s="37" t="e">
        <f>+'23'!#REF!</f>
        <v>#REF!</v>
      </c>
      <c r="AW49" s="37" t="e">
        <f>+'24'!#REF!</f>
        <v>#REF!</v>
      </c>
      <c r="AX49" s="37" t="e">
        <f>+'24'!#REF!</f>
        <v>#REF!</v>
      </c>
      <c r="AY49" s="37" t="e">
        <f>+'25'!#REF!</f>
        <v>#REF!</v>
      </c>
      <c r="AZ49" s="37" t="e">
        <f>+'25'!#REF!</f>
        <v>#REF!</v>
      </c>
      <c r="BA49" s="37" t="e">
        <f>+'26'!#REF!</f>
        <v>#REF!</v>
      </c>
      <c r="BB49" s="37" t="e">
        <f>+'26'!#REF!</f>
        <v>#REF!</v>
      </c>
      <c r="BC49" s="37" t="e">
        <f>+'27'!#REF!</f>
        <v>#REF!</v>
      </c>
      <c r="BD49" s="37" t="e">
        <f>+'27'!#REF!</f>
        <v>#REF!</v>
      </c>
      <c r="BE49" s="37" t="e">
        <f>+'28'!#REF!</f>
        <v>#REF!</v>
      </c>
      <c r="BF49" s="37" t="e">
        <f>+'28'!#REF!</f>
        <v>#REF!</v>
      </c>
      <c r="BG49" s="37" t="e">
        <f>+'29'!#REF!</f>
        <v>#REF!</v>
      </c>
      <c r="BH49" s="37" t="e">
        <f>+'29'!#REF!</f>
        <v>#REF!</v>
      </c>
      <c r="BI49" s="37" t="e">
        <f>+'30'!#REF!</f>
        <v>#REF!</v>
      </c>
      <c r="BJ49" s="37" t="e">
        <f>+'30'!#REF!</f>
        <v>#REF!</v>
      </c>
      <c r="BK49" s="37" t="e">
        <f>+'31'!#REF!</f>
        <v>#REF!</v>
      </c>
      <c r="BL49" s="37" t="e">
        <f>+'31'!#REF!</f>
        <v>#REF!</v>
      </c>
      <c r="BM49" s="37" t="e">
        <f t="shared" si="2"/>
        <v>#REF!</v>
      </c>
      <c r="BN49" s="30" t="e">
        <f t="shared" si="3"/>
        <v>#REF!</v>
      </c>
    </row>
    <row r="50" spans="1:66" s="71" customFormat="1">
      <c r="A50" s="27">
        <v>16</v>
      </c>
      <c r="B50" s="132" t="s">
        <v>96</v>
      </c>
      <c r="C50" s="37" t="e">
        <f>+'01'!#REF!</f>
        <v>#REF!</v>
      </c>
      <c r="D50" s="30" t="e">
        <f>+'01'!#REF!</f>
        <v>#REF!</v>
      </c>
      <c r="E50" s="37" t="e">
        <f>+'02'!#REF!</f>
        <v>#REF!</v>
      </c>
      <c r="F50" s="17" t="e">
        <f>+'02'!#REF!</f>
        <v>#REF!</v>
      </c>
      <c r="G50" s="37" t="e">
        <f>+'03'!#REF!</f>
        <v>#REF!</v>
      </c>
      <c r="H50" s="17" t="e">
        <f>+'03'!#REF!</f>
        <v>#REF!</v>
      </c>
      <c r="I50" s="37" t="e">
        <f>+'04'!#REF!</f>
        <v>#REF!</v>
      </c>
      <c r="J50" s="17" t="e">
        <f>+'04'!#REF!</f>
        <v>#REF!</v>
      </c>
      <c r="K50" s="37" t="e">
        <f>+'05'!#REF!</f>
        <v>#REF!</v>
      </c>
      <c r="L50" s="17" t="e">
        <f>+'05'!#REF!</f>
        <v>#REF!</v>
      </c>
      <c r="M50" s="37" t="e">
        <f>+'06'!#REF!</f>
        <v>#REF!</v>
      </c>
      <c r="N50" s="17" t="e">
        <f>+'06'!#REF!</f>
        <v>#REF!</v>
      </c>
      <c r="O50" s="37" t="e">
        <f>+'07'!#REF!</f>
        <v>#REF!</v>
      </c>
      <c r="P50" s="17" t="e">
        <f>+'07'!#REF!</f>
        <v>#REF!</v>
      </c>
      <c r="Q50" s="37" t="e">
        <f>+'08'!#REF!</f>
        <v>#REF!</v>
      </c>
      <c r="R50" s="17" t="e">
        <f>+'08'!#REF!</f>
        <v>#REF!</v>
      </c>
      <c r="S50" s="37" t="e">
        <f>+'09'!#REF!</f>
        <v>#REF!</v>
      </c>
      <c r="T50" s="17" t="e">
        <f>+'09'!#REF!</f>
        <v>#REF!</v>
      </c>
      <c r="U50" s="37" t="e">
        <f>+'10'!#REF!</f>
        <v>#REF!</v>
      </c>
      <c r="V50" s="17" t="e">
        <f>+'10'!#REF!</f>
        <v>#REF!</v>
      </c>
      <c r="W50" s="37" t="e">
        <f>+'11'!#REF!</f>
        <v>#REF!</v>
      </c>
      <c r="X50" s="17" t="e">
        <f>+'11'!#REF!</f>
        <v>#REF!</v>
      </c>
      <c r="Y50" s="37" t="e">
        <f>+'12'!#REF!</f>
        <v>#REF!</v>
      </c>
      <c r="Z50" s="17" t="e">
        <f>+'12'!#REF!</f>
        <v>#REF!</v>
      </c>
      <c r="AA50" s="37" t="e">
        <f>+'13'!#REF!</f>
        <v>#REF!</v>
      </c>
      <c r="AB50" s="17" t="e">
        <f>+'13'!#REF!</f>
        <v>#REF!</v>
      </c>
      <c r="AC50" s="37" t="e">
        <f>+'14'!#REF!</f>
        <v>#REF!</v>
      </c>
      <c r="AD50" s="17" t="e">
        <f>+'14'!#REF!</f>
        <v>#REF!</v>
      </c>
      <c r="AE50" s="37" t="e">
        <f>+'15'!#REF!</f>
        <v>#REF!</v>
      </c>
      <c r="AF50" s="17" t="e">
        <f>+'15'!#REF!</f>
        <v>#REF!</v>
      </c>
      <c r="AG50" s="37" t="e">
        <f>+'16'!#REF!</f>
        <v>#REF!</v>
      </c>
      <c r="AH50" s="17" t="e">
        <f>+'16'!#REF!</f>
        <v>#REF!</v>
      </c>
      <c r="AI50" s="37" t="e">
        <f>+'17'!#REF!</f>
        <v>#REF!</v>
      </c>
      <c r="AJ50" s="17" t="e">
        <f>+'17'!#REF!</f>
        <v>#REF!</v>
      </c>
      <c r="AK50" s="37" t="e">
        <f>+'18'!#REF!</f>
        <v>#REF!</v>
      </c>
      <c r="AL50" s="17" t="e">
        <f>+'18'!#REF!</f>
        <v>#REF!</v>
      </c>
      <c r="AM50" s="37" t="e">
        <f>+'19'!#REF!</f>
        <v>#REF!</v>
      </c>
      <c r="AN50" s="37" t="e">
        <f>+'19'!#REF!</f>
        <v>#REF!</v>
      </c>
      <c r="AO50" s="37" t="e">
        <f>+'20'!#REF!</f>
        <v>#REF!</v>
      </c>
      <c r="AP50" s="37" t="e">
        <f>+'20'!#REF!</f>
        <v>#REF!</v>
      </c>
      <c r="AQ50" s="37" t="e">
        <f>+'21'!#REF!</f>
        <v>#REF!</v>
      </c>
      <c r="AR50" s="37" t="e">
        <f>+'21'!#REF!</f>
        <v>#REF!</v>
      </c>
      <c r="AS50" s="37" t="e">
        <f>+'22'!#REF!</f>
        <v>#REF!</v>
      </c>
      <c r="AT50" s="37" t="e">
        <f>+'22'!#REF!</f>
        <v>#REF!</v>
      </c>
      <c r="AU50" s="37" t="e">
        <f>+'23'!#REF!</f>
        <v>#REF!</v>
      </c>
      <c r="AV50" s="37" t="e">
        <f>+'23'!#REF!</f>
        <v>#REF!</v>
      </c>
      <c r="AW50" s="37" t="e">
        <f>+'24'!#REF!</f>
        <v>#REF!</v>
      </c>
      <c r="AX50" s="37" t="e">
        <f>+'24'!#REF!</f>
        <v>#REF!</v>
      </c>
      <c r="AY50" s="37" t="e">
        <f>+'25'!#REF!</f>
        <v>#REF!</v>
      </c>
      <c r="AZ50" s="37" t="e">
        <f>+'25'!#REF!</f>
        <v>#REF!</v>
      </c>
      <c r="BA50" s="37" t="e">
        <f>+'26'!#REF!</f>
        <v>#REF!</v>
      </c>
      <c r="BB50" s="37" t="e">
        <f>+'26'!#REF!</f>
        <v>#REF!</v>
      </c>
      <c r="BC50" s="37" t="e">
        <f>+'27'!#REF!</f>
        <v>#REF!</v>
      </c>
      <c r="BD50" s="37" t="e">
        <f>+'27'!#REF!</f>
        <v>#REF!</v>
      </c>
      <c r="BE50" s="37" t="e">
        <f>+'28'!#REF!</f>
        <v>#REF!</v>
      </c>
      <c r="BF50" s="37" t="e">
        <f>+'28'!#REF!</f>
        <v>#REF!</v>
      </c>
      <c r="BG50" s="37" t="e">
        <f>+'29'!#REF!</f>
        <v>#REF!</v>
      </c>
      <c r="BH50" s="37" t="e">
        <f>+'29'!#REF!</f>
        <v>#REF!</v>
      </c>
      <c r="BI50" s="37" t="e">
        <f>+'30'!#REF!</f>
        <v>#REF!</v>
      </c>
      <c r="BJ50" s="37" t="e">
        <f>+'30'!#REF!</f>
        <v>#REF!</v>
      </c>
      <c r="BK50" s="37" t="e">
        <f>+'31'!#REF!</f>
        <v>#REF!</v>
      </c>
      <c r="BL50" s="37" t="e">
        <f>+'31'!#REF!</f>
        <v>#REF!</v>
      </c>
      <c r="BM50" s="37" t="e">
        <f t="shared" si="2"/>
        <v>#REF!</v>
      </c>
      <c r="BN50" s="30" t="e">
        <f t="shared" si="3"/>
        <v>#REF!</v>
      </c>
    </row>
    <row r="51" spans="1:66" s="71" customFormat="1">
      <c r="A51" s="27"/>
      <c r="B51" s="132" t="s">
        <v>95</v>
      </c>
      <c r="C51" s="37" t="e">
        <f>+'01'!#REF!</f>
        <v>#REF!</v>
      </c>
      <c r="D51" s="30" t="e">
        <f>+'01'!#REF!</f>
        <v>#REF!</v>
      </c>
      <c r="E51" s="37" t="e">
        <f>+'02'!#REF!</f>
        <v>#REF!</v>
      </c>
      <c r="F51" s="17" t="e">
        <f>+'02'!#REF!</f>
        <v>#REF!</v>
      </c>
      <c r="G51" s="37" t="e">
        <f>+'03'!#REF!</f>
        <v>#REF!</v>
      </c>
      <c r="H51" s="17" t="e">
        <f>+'03'!#REF!</f>
        <v>#REF!</v>
      </c>
      <c r="I51" s="37" t="e">
        <f>+'04'!#REF!</f>
        <v>#REF!</v>
      </c>
      <c r="J51" s="17" t="e">
        <f>+'04'!#REF!</f>
        <v>#REF!</v>
      </c>
      <c r="K51" s="37" t="e">
        <f>+'05'!#REF!</f>
        <v>#REF!</v>
      </c>
      <c r="L51" s="17" t="e">
        <f>+'05'!#REF!</f>
        <v>#REF!</v>
      </c>
      <c r="M51" s="37" t="e">
        <f>+'06'!#REF!</f>
        <v>#REF!</v>
      </c>
      <c r="N51" s="17" t="e">
        <f>+'06'!#REF!</f>
        <v>#REF!</v>
      </c>
      <c r="O51" s="37" t="e">
        <f>+'07'!#REF!</f>
        <v>#REF!</v>
      </c>
      <c r="P51" s="17" t="e">
        <f>+'07'!#REF!</f>
        <v>#REF!</v>
      </c>
      <c r="Q51" s="37" t="e">
        <f>+'08'!#REF!</f>
        <v>#REF!</v>
      </c>
      <c r="R51" s="17" t="e">
        <f>+'08'!#REF!</f>
        <v>#REF!</v>
      </c>
      <c r="S51" s="37" t="e">
        <f>+'09'!#REF!</f>
        <v>#REF!</v>
      </c>
      <c r="T51" s="17" t="e">
        <f>+'09'!#REF!</f>
        <v>#REF!</v>
      </c>
      <c r="U51" s="37" t="e">
        <f>+'10'!#REF!</f>
        <v>#REF!</v>
      </c>
      <c r="V51" s="17" t="e">
        <f>+'10'!#REF!</f>
        <v>#REF!</v>
      </c>
      <c r="W51" s="37" t="e">
        <f>+'11'!#REF!</f>
        <v>#REF!</v>
      </c>
      <c r="X51" s="17" t="e">
        <f>+'11'!#REF!</f>
        <v>#REF!</v>
      </c>
      <c r="Y51" s="37" t="e">
        <f>+'12'!#REF!</f>
        <v>#REF!</v>
      </c>
      <c r="Z51" s="17" t="e">
        <f>+'12'!#REF!</f>
        <v>#REF!</v>
      </c>
      <c r="AA51" s="37" t="e">
        <f>+'13'!#REF!</f>
        <v>#REF!</v>
      </c>
      <c r="AB51" s="17" t="e">
        <f>+'13'!#REF!</f>
        <v>#REF!</v>
      </c>
      <c r="AC51" s="37" t="e">
        <f>+'14'!#REF!</f>
        <v>#REF!</v>
      </c>
      <c r="AD51" s="17" t="e">
        <f>+'14'!#REF!</f>
        <v>#REF!</v>
      </c>
      <c r="AE51" s="37" t="e">
        <f>+'15'!#REF!</f>
        <v>#REF!</v>
      </c>
      <c r="AF51" s="17" t="e">
        <f>+'15'!#REF!</f>
        <v>#REF!</v>
      </c>
      <c r="AG51" s="37" t="e">
        <f>+'16'!#REF!</f>
        <v>#REF!</v>
      </c>
      <c r="AH51" s="17" t="e">
        <f>+'16'!#REF!</f>
        <v>#REF!</v>
      </c>
      <c r="AI51" s="37" t="e">
        <f>+'17'!#REF!</f>
        <v>#REF!</v>
      </c>
      <c r="AJ51" s="17" t="e">
        <f>+'17'!#REF!</f>
        <v>#REF!</v>
      </c>
      <c r="AK51" s="37" t="e">
        <f>+'18'!#REF!</f>
        <v>#REF!</v>
      </c>
      <c r="AL51" s="17" t="e">
        <f>+'18'!#REF!</f>
        <v>#REF!</v>
      </c>
      <c r="AM51" s="37" t="e">
        <f>+'19'!#REF!</f>
        <v>#REF!</v>
      </c>
      <c r="AN51" s="37" t="e">
        <f>+'19'!#REF!</f>
        <v>#REF!</v>
      </c>
      <c r="AO51" s="37" t="e">
        <f>+'20'!#REF!</f>
        <v>#REF!</v>
      </c>
      <c r="AP51" s="37" t="e">
        <f>+'20'!#REF!</f>
        <v>#REF!</v>
      </c>
      <c r="AQ51" s="37" t="e">
        <f>+'21'!#REF!</f>
        <v>#REF!</v>
      </c>
      <c r="AR51" s="37" t="e">
        <f>+'21'!#REF!</f>
        <v>#REF!</v>
      </c>
      <c r="AS51" s="37" t="e">
        <f>+'22'!#REF!</f>
        <v>#REF!</v>
      </c>
      <c r="AT51" s="37" t="e">
        <f>+'22'!#REF!</f>
        <v>#REF!</v>
      </c>
      <c r="AU51" s="37" t="e">
        <f>+'23'!#REF!</f>
        <v>#REF!</v>
      </c>
      <c r="AV51" s="37" t="e">
        <f>+'23'!#REF!</f>
        <v>#REF!</v>
      </c>
      <c r="AW51" s="37" t="e">
        <f>+'24'!#REF!</f>
        <v>#REF!</v>
      </c>
      <c r="AX51" s="37" t="e">
        <f>+'24'!#REF!</f>
        <v>#REF!</v>
      </c>
      <c r="AY51" s="37" t="e">
        <f>+'25'!#REF!</f>
        <v>#REF!</v>
      </c>
      <c r="AZ51" s="37" t="e">
        <f>+'25'!#REF!</f>
        <v>#REF!</v>
      </c>
      <c r="BA51" s="37" t="e">
        <f>+'26'!#REF!</f>
        <v>#REF!</v>
      </c>
      <c r="BB51" s="37" t="e">
        <f>+'26'!#REF!</f>
        <v>#REF!</v>
      </c>
      <c r="BC51" s="37" t="e">
        <f>+'27'!#REF!</f>
        <v>#REF!</v>
      </c>
      <c r="BD51" s="37" t="e">
        <f>+'27'!#REF!</f>
        <v>#REF!</v>
      </c>
      <c r="BE51" s="37" t="e">
        <f>+'28'!#REF!</f>
        <v>#REF!</v>
      </c>
      <c r="BF51" s="37" t="e">
        <f>+'28'!#REF!</f>
        <v>#REF!</v>
      </c>
      <c r="BG51" s="37" t="e">
        <f>+'29'!#REF!</f>
        <v>#REF!</v>
      </c>
      <c r="BH51" s="37" t="e">
        <f>+'29'!#REF!</f>
        <v>#REF!</v>
      </c>
      <c r="BI51" s="37" t="e">
        <f>+'30'!#REF!</f>
        <v>#REF!</v>
      </c>
      <c r="BJ51" s="37" t="e">
        <f>+'30'!#REF!</f>
        <v>#REF!</v>
      </c>
      <c r="BK51" s="37" t="e">
        <f>+'31'!#REF!</f>
        <v>#REF!</v>
      </c>
      <c r="BL51" s="37" t="e">
        <f>+'31'!#REF!</f>
        <v>#REF!</v>
      </c>
      <c r="BM51" s="37" t="e">
        <f t="shared" si="2"/>
        <v>#REF!</v>
      </c>
      <c r="BN51" s="30" t="e">
        <f t="shared" si="3"/>
        <v>#REF!</v>
      </c>
    </row>
    <row r="52" spans="1:66" s="71" customFormat="1">
      <c r="A52" s="27"/>
      <c r="B52" s="132" t="s">
        <v>94</v>
      </c>
      <c r="C52" s="37" t="e">
        <f>+'01'!#REF!</f>
        <v>#REF!</v>
      </c>
      <c r="D52" s="30" t="e">
        <f>+'01'!#REF!</f>
        <v>#REF!</v>
      </c>
      <c r="E52" s="37" t="e">
        <f>+'02'!#REF!</f>
        <v>#REF!</v>
      </c>
      <c r="F52" s="17" t="e">
        <f>+'02'!#REF!</f>
        <v>#REF!</v>
      </c>
      <c r="G52" s="37" t="e">
        <f>+'03'!#REF!</f>
        <v>#REF!</v>
      </c>
      <c r="H52" s="17" t="e">
        <f>+'03'!#REF!</f>
        <v>#REF!</v>
      </c>
      <c r="I52" s="37" t="e">
        <f>+'04'!#REF!</f>
        <v>#REF!</v>
      </c>
      <c r="J52" s="17" t="e">
        <f>+'04'!#REF!</f>
        <v>#REF!</v>
      </c>
      <c r="K52" s="37" t="e">
        <f>+'05'!#REF!</f>
        <v>#REF!</v>
      </c>
      <c r="L52" s="17" t="e">
        <f>+'05'!#REF!</f>
        <v>#REF!</v>
      </c>
      <c r="M52" s="37" t="e">
        <f>+'06'!#REF!</f>
        <v>#REF!</v>
      </c>
      <c r="N52" s="17" t="e">
        <f>+'06'!#REF!</f>
        <v>#REF!</v>
      </c>
      <c r="O52" s="37" t="e">
        <f>+'07'!#REF!</f>
        <v>#REF!</v>
      </c>
      <c r="P52" s="17" t="e">
        <f>+'07'!#REF!</f>
        <v>#REF!</v>
      </c>
      <c r="Q52" s="37" t="e">
        <f>+'08'!#REF!</f>
        <v>#REF!</v>
      </c>
      <c r="R52" s="17" t="e">
        <f>+'08'!#REF!</f>
        <v>#REF!</v>
      </c>
      <c r="S52" s="37" t="e">
        <f>+'09'!#REF!</f>
        <v>#REF!</v>
      </c>
      <c r="T52" s="17" t="e">
        <f>+'09'!#REF!</f>
        <v>#REF!</v>
      </c>
      <c r="U52" s="37" t="e">
        <f>+'10'!#REF!</f>
        <v>#REF!</v>
      </c>
      <c r="V52" s="17" t="e">
        <f>+'10'!#REF!</f>
        <v>#REF!</v>
      </c>
      <c r="W52" s="37" t="e">
        <f>+'11'!#REF!</f>
        <v>#REF!</v>
      </c>
      <c r="X52" s="17" t="e">
        <f>+'11'!#REF!</f>
        <v>#REF!</v>
      </c>
      <c r="Y52" s="37" t="e">
        <f>+'12'!#REF!</f>
        <v>#REF!</v>
      </c>
      <c r="Z52" s="17" t="e">
        <f>+'12'!#REF!</f>
        <v>#REF!</v>
      </c>
      <c r="AA52" s="37" t="e">
        <f>+'13'!#REF!</f>
        <v>#REF!</v>
      </c>
      <c r="AB52" s="17" t="e">
        <f>+'13'!#REF!</f>
        <v>#REF!</v>
      </c>
      <c r="AC52" s="37" t="e">
        <f>+'14'!#REF!</f>
        <v>#REF!</v>
      </c>
      <c r="AD52" s="17" t="e">
        <f>+'14'!#REF!</f>
        <v>#REF!</v>
      </c>
      <c r="AE52" s="37" t="e">
        <f>+'15'!#REF!</f>
        <v>#REF!</v>
      </c>
      <c r="AF52" s="17" t="e">
        <f>+'15'!#REF!</f>
        <v>#REF!</v>
      </c>
      <c r="AG52" s="37" t="e">
        <f>+'16'!#REF!</f>
        <v>#REF!</v>
      </c>
      <c r="AH52" s="17" t="e">
        <f>+'16'!#REF!</f>
        <v>#REF!</v>
      </c>
      <c r="AI52" s="37" t="e">
        <f>+'17'!#REF!</f>
        <v>#REF!</v>
      </c>
      <c r="AJ52" s="17" t="e">
        <f>+'17'!#REF!</f>
        <v>#REF!</v>
      </c>
      <c r="AK52" s="37" t="e">
        <f>+'18'!#REF!</f>
        <v>#REF!</v>
      </c>
      <c r="AL52" s="17" t="e">
        <f>+'18'!#REF!</f>
        <v>#REF!</v>
      </c>
      <c r="AM52" s="37" t="e">
        <f>+'19'!#REF!</f>
        <v>#REF!</v>
      </c>
      <c r="AN52" s="37" t="e">
        <f>+'19'!#REF!</f>
        <v>#REF!</v>
      </c>
      <c r="AO52" s="37" t="e">
        <f>+'20'!#REF!</f>
        <v>#REF!</v>
      </c>
      <c r="AP52" s="37" t="e">
        <f>+'20'!#REF!</f>
        <v>#REF!</v>
      </c>
      <c r="AQ52" s="37" t="e">
        <f>+'21'!#REF!</f>
        <v>#REF!</v>
      </c>
      <c r="AR52" s="37" t="e">
        <f>+'21'!#REF!</f>
        <v>#REF!</v>
      </c>
      <c r="AS52" s="37" t="e">
        <f>+'22'!#REF!</f>
        <v>#REF!</v>
      </c>
      <c r="AT52" s="37" t="e">
        <f>+'22'!#REF!</f>
        <v>#REF!</v>
      </c>
      <c r="AU52" s="37" t="e">
        <f>+'23'!#REF!</f>
        <v>#REF!</v>
      </c>
      <c r="AV52" s="37" t="e">
        <f>+'23'!#REF!</f>
        <v>#REF!</v>
      </c>
      <c r="AW52" s="37" t="e">
        <f>+'24'!#REF!</f>
        <v>#REF!</v>
      </c>
      <c r="AX52" s="37" t="e">
        <f>+'24'!#REF!</f>
        <v>#REF!</v>
      </c>
      <c r="AY52" s="37" t="e">
        <f>+'25'!#REF!</f>
        <v>#REF!</v>
      </c>
      <c r="AZ52" s="37" t="e">
        <f>+'25'!#REF!</f>
        <v>#REF!</v>
      </c>
      <c r="BA52" s="37" t="e">
        <f>+'26'!#REF!</f>
        <v>#REF!</v>
      </c>
      <c r="BB52" s="37" t="e">
        <f>+'26'!#REF!</f>
        <v>#REF!</v>
      </c>
      <c r="BC52" s="37" t="e">
        <f>+'27'!#REF!</f>
        <v>#REF!</v>
      </c>
      <c r="BD52" s="37" t="e">
        <f>+'27'!#REF!</f>
        <v>#REF!</v>
      </c>
      <c r="BE52" s="37" t="e">
        <f>+'28'!#REF!</f>
        <v>#REF!</v>
      </c>
      <c r="BF52" s="37" t="e">
        <f>+'28'!#REF!</f>
        <v>#REF!</v>
      </c>
      <c r="BG52" s="37" t="e">
        <f>+'29'!#REF!</f>
        <v>#REF!</v>
      </c>
      <c r="BH52" s="37" t="e">
        <f>+'29'!#REF!</f>
        <v>#REF!</v>
      </c>
      <c r="BI52" s="37" t="e">
        <f>+'30'!#REF!</f>
        <v>#REF!</v>
      </c>
      <c r="BJ52" s="37" t="e">
        <f>+'30'!#REF!</f>
        <v>#REF!</v>
      </c>
      <c r="BK52" s="37" t="e">
        <f>+'31'!#REF!</f>
        <v>#REF!</v>
      </c>
      <c r="BL52" s="37" t="e">
        <f>+'31'!#REF!</f>
        <v>#REF!</v>
      </c>
      <c r="BM52" s="37" t="e">
        <f t="shared" si="2"/>
        <v>#REF!</v>
      </c>
      <c r="BN52" s="30" t="e">
        <f>+D52+F52+H52+J52+L52+N52+P52+R52+T52+V52+X52+Z52+AB52+AD52+AF52+AH52+AJ52+AL52+AN52+AP52+AR52+AT52+AV52+AX52+AZ52+BB52+BD52+BF52+BH52+BJ52+BL52</f>
        <v>#REF!</v>
      </c>
    </row>
    <row r="53" spans="1:66" s="71" customFormat="1">
      <c r="A53" s="27"/>
      <c r="B53" s="132" t="s">
        <v>93</v>
      </c>
      <c r="C53" s="37" t="e">
        <f>+'01'!#REF!</f>
        <v>#REF!</v>
      </c>
      <c r="D53" s="30" t="e">
        <f>+'01'!#REF!</f>
        <v>#REF!</v>
      </c>
      <c r="E53" s="37" t="e">
        <f>+'02'!#REF!</f>
        <v>#REF!</v>
      </c>
      <c r="F53" s="17" t="e">
        <f>+'02'!#REF!</f>
        <v>#REF!</v>
      </c>
      <c r="G53" s="37" t="e">
        <f>+'03'!#REF!</f>
        <v>#REF!</v>
      </c>
      <c r="H53" s="17" t="e">
        <f>+'03'!#REF!</f>
        <v>#REF!</v>
      </c>
      <c r="I53" s="37" t="e">
        <f>+'04'!#REF!</f>
        <v>#REF!</v>
      </c>
      <c r="J53" s="17" t="e">
        <f>+'04'!#REF!</f>
        <v>#REF!</v>
      </c>
      <c r="K53" s="37" t="e">
        <f>+'05'!#REF!</f>
        <v>#REF!</v>
      </c>
      <c r="L53" s="17" t="e">
        <f>+'05'!#REF!</f>
        <v>#REF!</v>
      </c>
      <c r="M53" s="37" t="e">
        <f>+'06'!#REF!</f>
        <v>#REF!</v>
      </c>
      <c r="N53" s="17" t="e">
        <f>+'06'!#REF!</f>
        <v>#REF!</v>
      </c>
      <c r="O53" s="37" t="e">
        <f>+'07'!#REF!</f>
        <v>#REF!</v>
      </c>
      <c r="P53" s="17" t="e">
        <f>+'07'!#REF!</f>
        <v>#REF!</v>
      </c>
      <c r="Q53" s="37" t="e">
        <f>+'08'!#REF!</f>
        <v>#REF!</v>
      </c>
      <c r="R53" s="17" t="e">
        <f>+'08'!#REF!</f>
        <v>#REF!</v>
      </c>
      <c r="S53" s="37" t="e">
        <f>+'09'!#REF!</f>
        <v>#REF!</v>
      </c>
      <c r="T53" s="17" t="e">
        <f>+'09'!#REF!</f>
        <v>#REF!</v>
      </c>
      <c r="U53" s="37" t="e">
        <f>+'10'!#REF!</f>
        <v>#REF!</v>
      </c>
      <c r="V53" s="17" t="e">
        <f>+'10'!#REF!</f>
        <v>#REF!</v>
      </c>
      <c r="W53" s="37" t="e">
        <f>+'11'!#REF!</f>
        <v>#REF!</v>
      </c>
      <c r="X53" s="17" t="e">
        <f>+'11'!#REF!</f>
        <v>#REF!</v>
      </c>
      <c r="Y53" s="37" t="e">
        <f>+'12'!#REF!</f>
        <v>#REF!</v>
      </c>
      <c r="Z53" s="17" t="e">
        <f>+'12'!#REF!</f>
        <v>#REF!</v>
      </c>
      <c r="AA53" s="37" t="e">
        <f>+'13'!#REF!</f>
        <v>#REF!</v>
      </c>
      <c r="AB53" s="17" t="e">
        <f>+'13'!#REF!</f>
        <v>#REF!</v>
      </c>
      <c r="AC53" s="37" t="e">
        <f>+'14'!#REF!</f>
        <v>#REF!</v>
      </c>
      <c r="AD53" s="17" t="e">
        <f>+'14'!#REF!</f>
        <v>#REF!</v>
      </c>
      <c r="AE53" s="37" t="e">
        <f>+'15'!#REF!</f>
        <v>#REF!</v>
      </c>
      <c r="AF53" s="17" t="e">
        <f>+'15'!#REF!</f>
        <v>#REF!</v>
      </c>
      <c r="AG53" s="37" t="e">
        <f>+'16'!#REF!</f>
        <v>#REF!</v>
      </c>
      <c r="AH53" s="17" t="e">
        <f>+'16'!#REF!</f>
        <v>#REF!</v>
      </c>
      <c r="AI53" s="37" t="e">
        <f>+'17'!#REF!</f>
        <v>#REF!</v>
      </c>
      <c r="AJ53" s="17" t="e">
        <f>+'17'!#REF!</f>
        <v>#REF!</v>
      </c>
      <c r="AK53" s="37" t="e">
        <f>+'18'!#REF!</f>
        <v>#REF!</v>
      </c>
      <c r="AL53" s="17" t="e">
        <f>+'18'!#REF!</f>
        <v>#REF!</v>
      </c>
      <c r="AM53" s="37" t="e">
        <f>+'19'!#REF!</f>
        <v>#REF!</v>
      </c>
      <c r="AN53" s="37" t="e">
        <f>+'19'!#REF!</f>
        <v>#REF!</v>
      </c>
      <c r="AO53" s="37" t="e">
        <f>+'20'!#REF!</f>
        <v>#REF!</v>
      </c>
      <c r="AP53" s="37" t="e">
        <f>+'20'!#REF!</f>
        <v>#REF!</v>
      </c>
      <c r="AQ53" s="37" t="e">
        <f>+'21'!#REF!</f>
        <v>#REF!</v>
      </c>
      <c r="AR53" s="37" t="e">
        <f>+'21'!#REF!</f>
        <v>#REF!</v>
      </c>
      <c r="AS53" s="37" t="e">
        <f>+'22'!#REF!</f>
        <v>#REF!</v>
      </c>
      <c r="AT53" s="37" t="e">
        <f>+'22'!#REF!</f>
        <v>#REF!</v>
      </c>
      <c r="AU53" s="37" t="e">
        <f>+'23'!#REF!</f>
        <v>#REF!</v>
      </c>
      <c r="AV53" s="37" t="e">
        <f>+'23'!#REF!</f>
        <v>#REF!</v>
      </c>
      <c r="AW53" s="37" t="e">
        <f>+'24'!#REF!</f>
        <v>#REF!</v>
      </c>
      <c r="AX53" s="37" t="e">
        <f>+'24'!#REF!</f>
        <v>#REF!</v>
      </c>
      <c r="AY53" s="37" t="e">
        <f>+'25'!#REF!</f>
        <v>#REF!</v>
      </c>
      <c r="AZ53" s="37" t="e">
        <f>+'25'!#REF!</f>
        <v>#REF!</v>
      </c>
      <c r="BA53" s="37" t="e">
        <f>+'26'!#REF!</f>
        <v>#REF!</v>
      </c>
      <c r="BB53" s="37" t="e">
        <f>+'26'!#REF!</f>
        <v>#REF!</v>
      </c>
      <c r="BC53" s="37" t="e">
        <f>+'27'!#REF!</f>
        <v>#REF!</v>
      </c>
      <c r="BD53" s="37" t="e">
        <f>+'27'!#REF!</f>
        <v>#REF!</v>
      </c>
      <c r="BE53" s="37" t="e">
        <f>+'28'!#REF!</f>
        <v>#REF!</v>
      </c>
      <c r="BF53" s="37" t="e">
        <f>+'28'!#REF!</f>
        <v>#REF!</v>
      </c>
      <c r="BG53" s="37" t="e">
        <f>+'29'!#REF!</f>
        <v>#REF!</v>
      </c>
      <c r="BH53" s="37" t="e">
        <f>+'29'!#REF!</f>
        <v>#REF!</v>
      </c>
      <c r="BI53" s="37" t="e">
        <f>+'30'!#REF!</f>
        <v>#REF!</v>
      </c>
      <c r="BJ53" s="37" t="e">
        <f>+'30'!#REF!</f>
        <v>#REF!</v>
      </c>
      <c r="BK53" s="37" t="e">
        <f>+'31'!#REF!</f>
        <v>#REF!</v>
      </c>
      <c r="BL53" s="37" t="e">
        <f>+'31'!#REF!</f>
        <v>#REF!</v>
      </c>
      <c r="BM53" s="37" t="e">
        <f t="shared" si="2"/>
        <v>#REF!</v>
      </c>
      <c r="BN53" s="30" t="e">
        <f>+D53+F53+H53+J53+L53+N53+P53+R53+T53+V53+X53+Z53+AB53+AD53+AF53+AH53+AJ53+AL53+AN53+AP53+AR53+AT53+AV53+AX53+AZ53+BB53+BD53+BF53+BH53+BJ53+BL53</f>
        <v>#REF!</v>
      </c>
    </row>
    <row r="54" spans="1:66" s="71" customFormat="1">
      <c r="A54" s="27">
        <v>17</v>
      </c>
      <c r="B54" s="70" t="s">
        <v>108</v>
      </c>
      <c r="C54" s="37">
        <f>+'01'!C53</f>
        <v>21</v>
      </c>
      <c r="D54" s="30">
        <f>+'01'!D53</f>
        <v>6321</v>
      </c>
      <c r="E54" s="37">
        <f>+'02'!C53</f>
        <v>20</v>
      </c>
      <c r="F54" s="17">
        <f>+'02'!D53</f>
        <v>7288</v>
      </c>
      <c r="G54" s="37">
        <f>+'03'!C53</f>
        <v>17</v>
      </c>
      <c r="H54" s="17">
        <f>+'03'!D53</f>
        <v>6443</v>
      </c>
      <c r="I54" s="37">
        <f>+'04'!C53</f>
        <v>19</v>
      </c>
      <c r="J54" s="17">
        <f>+'04'!D53</f>
        <v>7623</v>
      </c>
      <c r="K54" s="37">
        <f>+'05'!C53</f>
        <v>5</v>
      </c>
      <c r="L54" s="17">
        <f>+'05'!D53</f>
        <v>2048</v>
      </c>
      <c r="M54" s="37">
        <f>+'06'!C53</f>
        <v>0</v>
      </c>
      <c r="N54" s="17">
        <f>+'06'!D53</f>
        <v>0</v>
      </c>
      <c r="O54" s="37">
        <f>+'07'!C53</f>
        <v>16</v>
      </c>
      <c r="P54" s="17">
        <f>+'07'!D53</f>
        <v>3559</v>
      </c>
      <c r="Q54" s="37">
        <f>+'08'!C53</f>
        <v>27</v>
      </c>
      <c r="R54" s="17">
        <f>+'08'!D53</f>
        <v>15855</v>
      </c>
      <c r="S54" s="37">
        <f>+'09'!C53</f>
        <v>15</v>
      </c>
      <c r="T54" s="17">
        <f>+'09'!D53</f>
        <v>4028</v>
      </c>
      <c r="U54" s="37">
        <f>+'10'!C53</f>
        <v>20</v>
      </c>
      <c r="V54" s="17">
        <f>+'10'!D53</f>
        <v>13401</v>
      </c>
      <c r="W54" s="37">
        <f>+'11'!C53</f>
        <v>18</v>
      </c>
      <c r="X54" s="17">
        <f>+'11'!D53</f>
        <v>7605</v>
      </c>
      <c r="Y54" s="37">
        <f>+'12'!C53</f>
        <v>1</v>
      </c>
      <c r="Z54" s="17">
        <f>+'12'!D53</f>
        <v>157</v>
      </c>
      <c r="AA54" s="37">
        <f>+'13'!C53</f>
        <v>0</v>
      </c>
      <c r="AB54" s="17">
        <f>+'13'!D53</f>
        <v>0</v>
      </c>
      <c r="AC54" s="37">
        <f>+'14'!C53</f>
        <v>12</v>
      </c>
      <c r="AD54" s="17">
        <f>+'14'!D53</f>
        <v>5443</v>
      </c>
      <c r="AE54" s="37">
        <f>+'15'!C53</f>
        <v>25</v>
      </c>
      <c r="AF54" s="17">
        <f>+'15'!D53</f>
        <v>10263</v>
      </c>
      <c r="AG54" s="37">
        <f>+'16'!C53</f>
        <v>18</v>
      </c>
      <c r="AH54" s="17">
        <f>+'16'!D53</f>
        <v>8043</v>
      </c>
      <c r="AI54" s="37">
        <f>+'17'!C53</f>
        <v>21</v>
      </c>
      <c r="AJ54" s="17">
        <f>+'17'!D53</f>
        <v>6872</v>
      </c>
      <c r="AK54" s="37">
        <f>+'18'!C53</f>
        <v>18</v>
      </c>
      <c r="AL54" s="17">
        <f>+'18'!D53</f>
        <v>9392</v>
      </c>
      <c r="AM54" s="37">
        <f>+'19'!C53</f>
        <v>3</v>
      </c>
      <c r="AN54" s="37">
        <f>+'19'!D53</f>
        <v>1340</v>
      </c>
      <c r="AO54" s="37">
        <f>+'20'!C53</f>
        <v>0</v>
      </c>
      <c r="AP54" s="37">
        <f>+'20'!D53</f>
        <v>0</v>
      </c>
      <c r="AQ54" s="37">
        <f>+'21'!C53</f>
        <v>12</v>
      </c>
      <c r="AR54" s="37">
        <f>+'21'!D53</f>
        <v>3504</v>
      </c>
      <c r="AS54" s="37">
        <f>+'22'!C53</f>
        <v>21</v>
      </c>
      <c r="AT54" s="37">
        <f>+'22'!D53</f>
        <v>11283</v>
      </c>
      <c r="AU54" s="37">
        <f>+'23'!C53</f>
        <v>24</v>
      </c>
      <c r="AV54" s="37">
        <f>+'23'!D53</f>
        <v>9132</v>
      </c>
      <c r="AW54" s="37">
        <f>+'24'!C53</f>
        <v>24</v>
      </c>
      <c r="AX54" s="37">
        <f>+'24'!D53</f>
        <v>12707</v>
      </c>
      <c r="AY54" s="37">
        <f>+'25'!C53</f>
        <v>18</v>
      </c>
      <c r="AZ54" s="37">
        <f>+'25'!D53</f>
        <v>6335</v>
      </c>
      <c r="BA54" s="37">
        <f>+'26'!C53</f>
        <v>5</v>
      </c>
      <c r="BB54" s="37">
        <f>+'26'!D53</f>
        <v>1732</v>
      </c>
      <c r="BC54" s="37">
        <f>+'27'!C53</f>
        <v>0</v>
      </c>
      <c r="BD54" s="37">
        <f>+'27'!D53</f>
        <v>0</v>
      </c>
      <c r="BE54" s="37">
        <f>+'28'!C53</f>
        <v>10</v>
      </c>
      <c r="BF54" s="37">
        <f>+'28'!D53</f>
        <v>1819</v>
      </c>
      <c r="BG54" s="37">
        <f>+'29'!C53</f>
        <v>18</v>
      </c>
      <c r="BH54" s="37">
        <f>+'29'!D53</f>
        <v>7049</v>
      </c>
      <c r="BI54" s="37">
        <f>+'30'!C53</f>
        <v>21</v>
      </c>
      <c r="BJ54" s="37">
        <f>+'30'!D53</f>
        <v>7117</v>
      </c>
      <c r="BK54" s="37">
        <f>+'31'!C53</f>
        <v>0</v>
      </c>
      <c r="BL54" s="37">
        <f>+'31'!D53</f>
        <v>0</v>
      </c>
      <c r="BM54" s="37">
        <f t="shared" ref="BM54:BM57" si="4">+C54+E54+G54+I54+K54+M54+O54+Q54+S54+U54+W54+Y54+AA54+AC54+AE54+AG54+AI54+AK54+AM54+AO54+AQ54+AS54+AU54+AW54+AY54+BA54+BC54+BE54+BG54+BI54+BK54</f>
        <v>429</v>
      </c>
      <c r="BN54" s="30">
        <f t="shared" ref="BN54:BN57" si="5">+D54+F54+H54+J54+L54+N54+P54+R54+T54+V54+X54+Z54+AB54+AD54+AF54+AH54+AJ54+AL54+AN54+AP54+AR54+AT54+AV54+AX54+AZ54+BB54+BD54+BF54+BH54+BJ54+BL54</f>
        <v>176359</v>
      </c>
    </row>
    <row r="55" spans="1:66" s="71" customFormat="1">
      <c r="A55" s="27">
        <v>18</v>
      </c>
      <c r="B55" s="70" t="s">
        <v>109</v>
      </c>
      <c r="C55" s="37">
        <f>+'01'!C54</f>
        <v>77</v>
      </c>
      <c r="D55" s="30">
        <f>+'01'!D54</f>
        <v>69618</v>
      </c>
      <c r="E55" s="37">
        <f>+'02'!C54</f>
        <v>66</v>
      </c>
      <c r="F55" s="17">
        <f>+'02'!D54</f>
        <v>55874</v>
      </c>
      <c r="G55" s="37">
        <f>+'03'!C54</f>
        <v>87</v>
      </c>
      <c r="H55" s="17">
        <f>+'03'!D54</f>
        <v>61276</v>
      </c>
      <c r="I55" s="37">
        <f>+'04'!C54</f>
        <v>54</v>
      </c>
      <c r="J55" s="17">
        <f>+'04'!D54</f>
        <v>33636</v>
      </c>
      <c r="K55" s="37">
        <f>+'05'!C54</f>
        <v>12</v>
      </c>
      <c r="L55" s="17">
        <f>+'05'!D54</f>
        <v>3671</v>
      </c>
      <c r="M55" s="37">
        <f>+'06'!C54</f>
        <v>0</v>
      </c>
      <c r="N55" s="17">
        <f>+'06'!D54</f>
        <v>0</v>
      </c>
      <c r="O55" s="37">
        <f>+'07'!C54</f>
        <v>49</v>
      </c>
      <c r="P55" s="17">
        <f>+'07'!D54</f>
        <v>24578</v>
      </c>
      <c r="Q55" s="37">
        <f>+'08'!C54</f>
        <v>90</v>
      </c>
      <c r="R55" s="17">
        <f>+'08'!D54</f>
        <v>71956</v>
      </c>
      <c r="S55" s="37">
        <f>+'09'!C54</f>
        <v>59</v>
      </c>
      <c r="T55" s="17">
        <f>+'09'!D54</f>
        <v>30298</v>
      </c>
      <c r="U55" s="37">
        <f>+'10'!C54</f>
        <v>95</v>
      </c>
      <c r="V55" s="17">
        <f>+'10'!D54</f>
        <v>66022</v>
      </c>
      <c r="W55" s="37">
        <f>+'11'!C54</f>
        <v>57</v>
      </c>
      <c r="X55" s="17">
        <f>+'11'!D54</f>
        <v>43950</v>
      </c>
      <c r="Y55" s="37">
        <f>+'12'!C54</f>
        <v>10</v>
      </c>
      <c r="Z55" s="17">
        <f>+'12'!D54</f>
        <v>3379</v>
      </c>
      <c r="AA55" s="37">
        <f>+'13'!C54</f>
        <v>0</v>
      </c>
      <c r="AB55" s="17">
        <f>+'13'!D54</f>
        <v>0</v>
      </c>
      <c r="AC55" s="37">
        <f>+'14'!C54</f>
        <v>60</v>
      </c>
      <c r="AD55" s="17">
        <f>+'14'!D54</f>
        <v>35525</v>
      </c>
      <c r="AE55" s="37">
        <f>+'15'!C54</f>
        <v>101</v>
      </c>
      <c r="AF55" s="17">
        <f>+'15'!D54</f>
        <v>75825</v>
      </c>
      <c r="AG55" s="37">
        <f>+'16'!C54</f>
        <v>70</v>
      </c>
      <c r="AH55" s="17">
        <f>+'16'!D54</f>
        <v>45388</v>
      </c>
      <c r="AI55" s="37">
        <f>+'17'!C54</f>
        <v>100</v>
      </c>
      <c r="AJ55" s="17">
        <f>+'17'!D54</f>
        <v>69367</v>
      </c>
      <c r="AK55" s="37">
        <f>+'18'!C54</f>
        <v>70</v>
      </c>
      <c r="AL55" s="17">
        <f>+'18'!D54</f>
        <v>49947</v>
      </c>
      <c r="AM55" s="37">
        <f>+'19'!C54</f>
        <v>19</v>
      </c>
      <c r="AN55" s="37">
        <f>+'19'!D54</f>
        <v>11040</v>
      </c>
      <c r="AO55" s="37">
        <f>+'20'!C54</f>
        <v>0</v>
      </c>
      <c r="AP55" s="37">
        <f>+'20'!D54</f>
        <v>0</v>
      </c>
      <c r="AQ55" s="37">
        <f>+'21'!C54</f>
        <v>51</v>
      </c>
      <c r="AR55" s="37">
        <f>+'21'!D54</f>
        <v>27707</v>
      </c>
      <c r="AS55" s="37">
        <f>+'22'!C54</f>
        <v>87</v>
      </c>
      <c r="AT55" s="37">
        <f>+'22'!D54</f>
        <v>73940</v>
      </c>
      <c r="AU55" s="37">
        <f>+'23'!C54</f>
        <v>81</v>
      </c>
      <c r="AV55" s="37">
        <f>+'23'!D54</f>
        <v>64624</v>
      </c>
      <c r="AW55" s="37">
        <f>+'24'!C54</f>
        <v>91</v>
      </c>
      <c r="AX55" s="37">
        <f>+'24'!D54</f>
        <v>70205</v>
      </c>
      <c r="AY55" s="37">
        <f>+'25'!C54</f>
        <v>66</v>
      </c>
      <c r="AZ55" s="37">
        <f>+'25'!D54</f>
        <v>46195</v>
      </c>
      <c r="BA55" s="37">
        <f>+'26'!C54</f>
        <v>15</v>
      </c>
      <c r="BB55" s="37">
        <f>+'26'!D54</f>
        <v>8174</v>
      </c>
      <c r="BC55" s="37">
        <f>+'27'!C54</f>
        <v>0</v>
      </c>
      <c r="BD55" s="37">
        <f>+'27'!D54</f>
        <v>0</v>
      </c>
      <c r="BE55" s="37">
        <f>+'28'!C54</f>
        <v>53</v>
      </c>
      <c r="BF55" s="37">
        <f>+'28'!D54</f>
        <v>28060</v>
      </c>
      <c r="BG55" s="37">
        <f>+'29'!C54</f>
        <v>93</v>
      </c>
      <c r="BH55" s="37">
        <f>+'29'!D54</f>
        <v>69447</v>
      </c>
      <c r="BI55" s="37">
        <f>+'30'!C54</f>
        <v>72</v>
      </c>
      <c r="BJ55" s="37">
        <f>+'30'!D54</f>
        <v>53438</v>
      </c>
      <c r="BK55" s="37">
        <f>+'31'!C54</f>
        <v>0</v>
      </c>
      <c r="BL55" s="37">
        <f>+'31'!D54</f>
        <v>0</v>
      </c>
      <c r="BM55" s="37">
        <f t="shared" si="4"/>
        <v>1685</v>
      </c>
      <c r="BN55" s="30">
        <f t="shared" si="5"/>
        <v>1193140</v>
      </c>
    </row>
    <row r="56" spans="1:66" s="71" customFormat="1">
      <c r="A56" s="27">
        <v>19</v>
      </c>
      <c r="B56" s="70" t="s">
        <v>110</v>
      </c>
      <c r="C56" s="37">
        <f>+'01'!C55</f>
        <v>35</v>
      </c>
      <c r="D56" s="30">
        <f>+'01'!D55</f>
        <v>26746</v>
      </c>
      <c r="E56" s="37">
        <f>+'02'!C55</f>
        <v>43</v>
      </c>
      <c r="F56" s="17">
        <f>+'02'!D55</f>
        <v>21956</v>
      </c>
      <c r="G56" s="37">
        <f>+'03'!C55</f>
        <v>34</v>
      </c>
      <c r="H56" s="17">
        <f>+'03'!D55</f>
        <v>19221</v>
      </c>
      <c r="I56" s="37">
        <f>+'04'!C55</f>
        <v>38</v>
      </c>
      <c r="J56" s="17">
        <f>+'04'!D55</f>
        <v>25183</v>
      </c>
      <c r="K56" s="37">
        <f>+'05'!C55</f>
        <v>7</v>
      </c>
      <c r="L56" s="17">
        <f>+'05'!D55</f>
        <v>3169</v>
      </c>
      <c r="M56" s="37">
        <f>+'06'!C55</f>
        <v>0</v>
      </c>
      <c r="N56" s="17">
        <f>+'06'!D55</f>
        <v>0</v>
      </c>
      <c r="O56" s="37">
        <f>+'07'!C55</f>
        <v>37</v>
      </c>
      <c r="P56" s="17">
        <f>+'07'!D55</f>
        <v>18985</v>
      </c>
      <c r="Q56" s="37">
        <f>+'08'!C55</f>
        <v>33</v>
      </c>
      <c r="R56" s="17">
        <f>+'08'!D55</f>
        <v>18828</v>
      </c>
      <c r="S56" s="37">
        <f>+'09'!C55</f>
        <v>31</v>
      </c>
      <c r="T56" s="17">
        <f>+'09'!D55</f>
        <v>13811</v>
      </c>
      <c r="U56" s="37">
        <f>+'10'!C55</f>
        <v>41</v>
      </c>
      <c r="V56" s="17">
        <f>+'10'!D55</f>
        <v>25841</v>
      </c>
      <c r="W56" s="37">
        <f>+'11'!C55</f>
        <v>32</v>
      </c>
      <c r="X56" s="17">
        <f>+'11'!D55</f>
        <v>20545</v>
      </c>
      <c r="Y56" s="37">
        <f>+'12'!C55</f>
        <v>4</v>
      </c>
      <c r="Z56" s="17">
        <f>+'12'!D55</f>
        <v>1378</v>
      </c>
      <c r="AA56" s="37">
        <f>+'13'!C55</f>
        <v>0</v>
      </c>
      <c r="AB56" s="17">
        <f>+'13'!D55</f>
        <v>0</v>
      </c>
      <c r="AC56" s="37">
        <f>+'14'!C55</f>
        <v>37</v>
      </c>
      <c r="AD56" s="17">
        <f>+'14'!D55</f>
        <v>18123</v>
      </c>
      <c r="AE56" s="37">
        <f>+'15'!C55</f>
        <v>37</v>
      </c>
      <c r="AF56" s="17">
        <f>+'15'!D55</f>
        <v>22015</v>
      </c>
      <c r="AG56" s="37">
        <f>+'16'!C55</f>
        <v>35</v>
      </c>
      <c r="AH56" s="17">
        <f>+'16'!D55</f>
        <v>16856</v>
      </c>
      <c r="AI56" s="37">
        <f>+'17'!C55</f>
        <v>46</v>
      </c>
      <c r="AJ56" s="17">
        <f>+'17'!D55</f>
        <v>31856</v>
      </c>
      <c r="AK56" s="37">
        <f>+'18'!C55</f>
        <v>28</v>
      </c>
      <c r="AL56" s="17">
        <f>+'18'!D55</f>
        <v>14986</v>
      </c>
      <c r="AM56" s="37">
        <f>+'19'!C55</f>
        <v>4</v>
      </c>
      <c r="AN56" s="37">
        <f>+'19'!D55</f>
        <v>806</v>
      </c>
      <c r="AO56" s="37">
        <f>+'20'!C55</f>
        <v>0</v>
      </c>
      <c r="AP56" s="37">
        <f>+'20'!D55</f>
        <v>0</v>
      </c>
      <c r="AQ56" s="37">
        <f>+'21'!C55</f>
        <v>38</v>
      </c>
      <c r="AR56" s="37">
        <f>+'21'!D55</f>
        <v>17309</v>
      </c>
      <c r="AS56" s="37">
        <f>+'22'!C55</f>
        <v>50</v>
      </c>
      <c r="AT56" s="37">
        <f>+'22'!D55</f>
        <v>37996</v>
      </c>
      <c r="AU56" s="37">
        <f>+'23'!C55</f>
        <v>37</v>
      </c>
      <c r="AV56" s="37">
        <f>+'23'!D55</f>
        <v>18077</v>
      </c>
      <c r="AW56" s="37">
        <f>+'24'!C55</f>
        <v>42</v>
      </c>
      <c r="AX56" s="37">
        <f>+'24'!D55</f>
        <v>25498</v>
      </c>
      <c r="AY56" s="37">
        <f>+'25'!C55</f>
        <v>46</v>
      </c>
      <c r="AZ56" s="37">
        <f>+'25'!D55</f>
        <v>25705</v>
      </c>
      <c r="BA56" s="37">
        <f>+'26'!C55</f>
        <v>6</v>
      </c>
      <c r="BB56" s="37">
        <f>+'26'!D55</f>
        <v>1910</v>
      </c>
      <c r="BC56" s="37">
        <f>+'27'!C55</f>
        <v>0</v>
      </c>
      <c r="BD56" s="37">
        <f>+'27'!D55</f>
        <v>0</v>
      </c>
      <c r="BE56" s="37">
        <f>+'28'!C55</f>
        <v>35</v>
      </c>
      <c r="BF56" s="37">
        <f>+'28'!D55</f>
        <v>11140</v>
      </c>
      <c r="BG56" s="37">
        <f>+'29'!C55</f>
        <v>39</v>
      </c>
      <c r="BH56" s="37">
        <f>+'29'!D55</f>
        <v>28469</v>
      </c>
      <c r="BI56" s="37">
        <f>+'30'!C55</f>
        <v>44</v>
      </c>
      <c r="BJ56" s="37">
        <f>+'30'!D55</f>
        <v>25582</v>
      </c>
      <c r="BK56" s="37">
        <f>+'31'!C55</f>
        <v>0</v>
      </c>
      <c r="BL56" s="37">
        <f>+'31'!D55</f>
        <v>0</v>
      </c>
      <c r="BM56" s="37">
        <f t="shared" si="4"/>
        <v>859</v>
      </c>
      <c r="BN56" s="30">
        <f t="shared" si="5"/>
        <v>491991</v>
      </c>
    </row>
    <row r="57" spans="1:66" s="71" customFormat="1">
      <c r="A57" s="27">
        <v>20</v>
      </c>
      <c r="B57" s="70" t="s">
        <v>111</v>
      </c>
      <c r="C57" s="37">
        <f>+'01'!C56</f>
        <v>3</v>
      </c>
      <c r="D57" s="30">
        <f>+'01'!D56</f>
        <v>1256</v>
      </c>
      <c r="E57" s="37">
        <f>+'02'!C56</f>
        <v>3</v>
      </c>
      <c r="F57" s="17">
        <f>+'02'!D56</f>
        <v>1546</v>
      </c>
      <c r="G57" s="37">
        <f>+'03'!C56</f>
        <v>4</v>
      </c>
      <c r="H57" s="17">
        <f>+'03'!D56</f>
        <v>1816</v>
      </c>
      <c r="I57" s="37">
        <f>+'04'!C56</f>
        <v>2</v>
      </c>
      <c r="J57" s="17">
        <f>+'04'!D56</f>
        <v>48</v>
      </c>
      <c r="K57" s="37">
        <f>+'05'!C56</f>
        <v>1</v>
      </c>
      <c r="L57" s="17">
        <f>+'05'!D56</f>
        <v>223</v>
      </c>
      <c r="M57" s="37">
        <f>+'06'!C56</f>
        <v>0</v>
      </c>
      <c r="N57" s="17">
        <f>+'06'!D56</f>
        <v>0</v>
      </c>
      <c r="O57" s="37">
        <f>+'07'!C56</f>
        <v>2</v>
      </c>
      <c r="P57" s="17">
        <f>+'07'!D56</f>
        <v>450</v>
      </c>
      <c r="Q57" s="37">
        <f>+'08'!C56</f>
        <v>2</v>
      </c>
      <c r="R57" s="17">
        <f>+'08'!D56</f>
        <v>666</v>
      </c>
      <c r="S57" s="37">
        <f>+'09'!C56</f>
        <v>1</v>
      </c>
      <c r="T57" s="17">
        <f>+'09'!D56</f>
        <v>442</v>
      </c>
      <c r="U57" s="37">
        <f>+'10'!C56</f>
        <v>2</v>
      </c>
      <c r="V57" s="17">
        <f>+'10'!D56</f>
        <v>500</v>
      </c>
      <c r="W57" s="37">
        <f>+'11'!C56</f>
        <v>4</v>
      </c>
      <c r="X57" s="17">
        <f>+'11'!D56</f>
        <v>1014</v>
      </c>
      <c r="Y57" s="37">
        <f>+'12'!C56</f>
        <v>0</v>
      </c>
      <c r="Z57" s="17">
        <f>+'12'!D56</f>
        <v>0</v>
      </c>
      <c r="AA57" s="37">
        <f>+'13'!C56</f>
        <v>0</v>
      </c>
      <c r="AB57" s="17">
        <f>+'13'!D56</f>
        <v>0</v>
      </c>
      <c r="AC57" s="37">
        <f>+'14'!C56</f>
        <v>2</v>
      </c>
      <c r="AD57" s="17">
        <f>+'14'!D56</f>
        <v>356</v>
      </c>
      <c r="AE57" s="37">
        <f>+'15'!C56</f>
        <v>2</v>
      </c>
      <c r="AF57" s="17">
        <f>+'15'!D56</f>
        <v>1104</v>
      </c>
      <c r="AG57" s="37">
        <f>+'16'!C56</f>
        <v>1</v>
      </c>
      <c r="AH57" s="17">
        <f>+'16'!D56</f>
        <v>660</v>
      </c>
      <c r="AI57" s="37">
        <f>+'17'!C56</f>
        <v>3</v>
      </c>
      <c r="AJ57" s="17">
        <f>+'17'!D56</f>
        <v>850</v>
      </c>
      <c r="AK57" s="37">
        <f>+'18'!C56</f>
        <v>2</v>
      </c>
      <c r="AL57" s="17">
        <f>+'18'!D56</f>
        <v>98</v>
      </c>
      <c r="AM57" s="37">
        <f>+'19'!C56</f>
        <v>0</v>
      </c>
      <c r="AN57" s="37">
        <f>+'19'!D56</f>
        <v>0</v>
      </c>
      <c r="AO57" s="37">
        <f>+'20'!C56</f>
        <v>0</v>
      </c>
      <c r="AP57" s="37">
        <f>+'20'!D56</f>
        <v>0</v>
      </c>
      <c r="AQ57" s="37">
        <f>+'21'!C56</f>
        <v>3</v>
      </c>
      <c r="AR57" s="37">
        <f>+'21'!D56</f>
        <v>1345</v>
      </c>
      <c r="AS57" s="37">
        <f>+'22'!C56</f>
        <v>5</v>
      </c>
      <c r="AT57" s="37">
        <f>+'22'!D56</f>
        <v>1106</v>
      </c>
      <c r="AU57" s="37">
        <f>+'23'!C56</f>
        <v>4</v>
      </c>
      <c r="AV57" s="37">
        <f>+'23'!D56</f>
        <v>2077</v>
      </c>
      <c r="AW57" s="37">
        <f>+'24'!C56</f>
        <v>5</v>
      </c>
      <c r="AX57" s="37">
        <f>+'24'!D56</f>
        <v>3208</v>
      </c>
      <c r="AY57" s="37">
        <f>+'25'!C56</f>
        <v>3</v>
      </c>
      <c r="AZ57" s="37">
        <f>+'25'!D56</f>
        <v>758</v>
      </c>
      <c r="BA57" s="37">
        <f>+'26'!C56</f>
        <v>0</v>
      </c>
      <c r="BB57" s="37">
        <f>+'26'!D56</f>
        <v>0</v>
      </c>
      <c r="BC57" s="37">
        <f>+'27'!C56</f>
        <v>0</v>
      </c>
      <c r="BD57" s="37">
        <f>+'27'!D56</f>
        <v>0</v>
      </c>
      <c r="BE57" s="37">
        <f>+'28'!C56</f>
        <v>0</v>
      </c>
      <c r="BF57" s="37">
        <f>+'28'!D56</f>
        <v>0</v>
      </c>
      <c r="BG57" s="37">
        <f>+'29'!C56</f>
        <v>3</v>
      </c>
      <c r="BH57" s="37">
        <f>+'29'!D56</f>
        <v>273</v>
      </c>
      <c r="BI57" s="37">
        <f>+'30'!C56</f>
        <v>2</v>
      </c>
      <c r="BJ57" s="37">
        <f>+'30'!D56</f>
        <v>399</v>
      </c>
      <c r="BK57" s="37">
        <f>+'31'!C56</f>
        <v>0</v>
      </c>
      <c r="BL57" s="37">
        <f>+'31'!D56</f>
        <v>0</v>
      </c>
      <c r="BM57" s="37">
        <f t="shared" si="4"/>
        <v>59</v>
      </c>
      <c r="BN57" s="30">
        <f t="shared" si="5"/>
        <v>20195</v>
      </c>
    </row>
    <row r="58" spans="1:66" s="71" customFormat="1" ht="29.25">
      <c r="A58" s="13">
        <v>21</v>
      </c>
      <c r="B58" s="156" t="s">
        <v>114</v>
      </c>
      <c r="C58" s="37">
        <f>+'01'!C57</f>
        <v>4</v>
      </c>
      <c r="D58" s="30">
        <f>+'01'!D57</f>
        <v>3662</v>
      </c>
      <c r="E58" s="37">
        <f>+'02'!C57</f>
        <v>4</v>
      </c>
      <c r="F58" s="17">
        <f>+'02'!D57</f>
        <v>2657</v>
      </c>
      <c r="G58" s="37">
        <f>+'03'!C57</f>
        <v>3</v>
      </c>
      <c r="H58" s="17">
        <f>+'03'!D57</f>
        <v>1230</v>
      </c>
      <c r="I58" s="37">
        <f>+'04'!C57</f>
        <v>1</v>
      </c>
      <c r="J58" s="17">
        <f>+'04'!D57</f>
        <v>917</v>
      </c>
      <c r="K58" s="37">
        <f>+'05'!C57</f>
        <v>2</v>
      </c>
      <c r="L58" s="17">
        <f>+'05'!D57</f>
        <v>715</v>
      </c>
      <c r="M58" s="37">
        <f>+'06'!C57</f>
        <v>0</v>
      </c>
      <c r="N58" s="17">
        <f>+'06'!D57</f>
        <v>0</v>
      </c>
      <c r="O58" s="37">
        <f>+'07'!C57</f>
        <v>8</v>
      </c>
      <c r="P58" s="17">
        <f>+'07'!D57</f>
        <v>3289</v>
      </c>
      <c r="Q58" s="37">
        <f>+'08'!C57</f>
        <v>5</v>
      </c>
      <c r="R58" s="17">
        <f>+'08'!D57</f>
        <v>3142</v>
      </c>
      <c r="S58" s="37">
        <f>+'09'!C57</f>
        <v>3</v>
      </c>
      <c r="T58" s="17">
        <f>+'09'!D57</f>
        <v>742</v>
      </c>
      <c r="U58" s="37">
        <f>+'10'!C57</f>
        <v>2</v>
      </c>
      <c r="V58" s="17">
        <f>+'10'!D57</f>
        <v>434</v>
      </c>
      <c r="W58" s="37">
        <f>+'11'!C57</f>
        <v>2</v>
      </c>
      <c r="X58" s="17">
        <f>+'11'!D57</f>
        <v>834</v>
      </c>
      <c r="Y58" s="37">
        <f>+'12'!C57</f>
        <v>1</v>
      </c>
      <c r="Z58" s="17">
        <f>+'12'!D57</f>
        <v>388</v>
      </c>
      <c r="AA58" s="37">
        <f>+'13'!C57</f>
        <v>0</v>
      </c>
      <c r="AB58" s="17">
        <f>+'13'!D57</f>
        <v>0</v>
      </c>
      <c r="AC58" s="37">
        <f>+'14'!C57</f>
        <v>4</v>
      </c>
      <c r="AD58" s="17">
        <f>+'14'!D57</f>
        <v>1118</v>
      </c>
      <c r="AE58" s="37">
        <f>+'15'!C57</f>
        <v>4</v>
      </c>
      <c r="AF58" s="17">
        <f>+'15'!D57</f>
        <v>2032</v>
      </c>
      <c r="AG58" s="37">
        <f>+'16'!C57</f>
        <v>0</v>
      </c>
      <c r="AH58" s="17">
        <f>+'16'!D57</f>
        <v>0</v>
      </c>
      <c r="AI58" s="37">
        <f>+'17'!C57</f>
        <v>2</v>
      </c>
      <c r="AJ58" s="17">
        <f>+'17'!D57</f>
        <v>640</v>
      </c>
      <c r="AK58" s="37">
        <f>+'18'!C57</f>
        <v>0</v>
      </c>
      <c r="AL58" s="17">
        <f>+'18'!D57</f>
        <v>0</v>
      </c>
      <c r="AM58" s="37">
        <f>+'19'!C57</f>
        <v>0</v>
      </c>
      <c r="AN58" s="37">
        <f>+'19'!D57</f>
        <v>0</v>
      </c>
      <c r="AO58" s="37">
        <f>+'20'!C57</f>
        <v>0</v>
      </c>
      <c r="AP58" s="37">
        <f>+'20'!D57</f>
        <v>0</v>
      </c>
      <c r="AQ58" s="37">
        <f>+'21'!C57</f>
        <v>3</v>
      </c>
      <c r="AR58" s="37">
        <f>+'21'!D57</f>
        <v>2310</v>
      </c>
      <c r="AS58" s="37">
        <f>+'22'!C57</f>
        <v>0</v>
      </c>
      <c r="AT58" s="37">
        <f>+'22'!D57</f>
        <v>0</v>
      </c>
      <c r="AU58" s="37">
        <f>+'23'!C57</f>
        <v>0</v>
      </c>
      <c r="AV58" s="37">
        <f>+'23'!D57</f>
        <v>0</v>
      </c>
      <c r="AW58" s="37">
        <f>+'24'!C57</f>
        <v>0</v>
      </c>
      <c r="AX58" s="37">
        <f>+'24'!D57</f>
        <v>0</v>
      </c>
      <c r="AY58" s="37">
        <f>+'25'!C57</f>
        <v>2</v>
      </c>
      <c r="AZ58" s="37">
        <f>+'25'!D57</f>
        <v>2122</v>
      </c>
      <c r="BA58" s="37">
        <f>+'26'!C57</f>
        <v>0</v>
      </c>
      <c r="BB58" s="37">
        <f>+'26'!D57</f>
        <v>0</v>
      </c>
      <c r="BC58" s="37">
        <f>+'27'!C57</f>
        <v>0</v>
      </c>
      <c r="BD58" s="37">
        <f>+'27'!D57</f>
        <v>0</v>
      </c>
      <c r="BE58" s="37">
        <f>+'28'!C57</f>
        <v>2</v>
      </c>
      <c r="BF58" s="37">
        <f>+'28'!D57</f>
        <v>505</v>
      </c>
      <c r="BG58" s="37">
        <f>+'29'!C57</f>
        <v>1</v>
      </c>
      <c r="BH58" s="37">
        <f>+'29'!D57</f>
        <v>480</v>
      </c>
      <c r="BI58" s="37">
        <f>+'30'!C57</f>
        <v>2</v>
      </c>
      <c r="BJ58" s="37">
        <f>+'30'!D57</f>
        <v>1745</v>
      </c>
      <c r="BK58" s="37">
        <f>+'31'!C57</f>
        <v>0</v>
      </c>
      <c r="BL58" s="37">
        <f>+'31'!D57</f>
        <v>0</v>
      </c>
      <c r="BM58" s="37">
        <f t="shared" ref="BM58:BM60" si="6">+C58+E58+G58+I58+K58+M58+O58+Q58+S58+U58+W58+Y58+AA58+AC58+AE58+AG58+AI58+AK58+AM58+AO58+AQ58+AS58+AU58+AW58+AY58+BA58+BC58+BE58+BG58+BI58+BK58</f>
        <v>55</v>
      </c>
      <c r="BN58" s="30">
        <f>+D58+F58+H58+J58+L58+N58+P58+R58+T58+V58+X58+Z58+AB58+AD58+AF58+AH58+AJ58+AL58+AN58+AP58+AR58+AT58+AV58+AX58+AZ58+BB58+BD58+BF58+BH58+BJ58+BL58</f>
        <v>28962</v>
      </c>
    </row>
    <row r="59" spans="1:66" ht="26.25">
      <c r="A59" s="135">
        <v>22</v>
      </c>
      <c r="B59" s="263" t="s">
        <v>254</v>
      </c>
      <c r="C59" s="37">
        <f>+'01'!C58</f>
        <v>3</v>
      </c>
      <c r="D59" s="30">
        <f>+'01'!D58</f>
        <v>4659.25</v>
      </c>
      <c r="E59" s="37">
        <f>+'02'!C58</f>
        <v>1</v>
      </c>
      <c r="F59" s="17">
        <f>+'02'!D58</f>
        <v>43565</v>
      </c>
      <c r="G59" s="37">
        <f>+'03'!C58</f>
        <v>1</v>
      </c>
      <c r="H59" s="17">
        <f>+'03'!D58</f>
        <v>910</v>
      </c>
      <c r="I59" s="37">
        <f>+'04'!C58</f>
        <v>0</v>
      </c>
      <c r="J59" s="17">
        <f>+'04'!D58</f>
        <v>0</v>
      </c>
      <c r="K59" s="37">
        <f>+'05'!C58</f>
        <v>0</v>
      </c>
      <c r="L59" s="17">
        <f>+'05'!D58</f>
        <v>0</v>
      </c>
      <c r="M59" s="37">
        <f>+'06'!C58</f>
        <v>0</v>
      </c>
      <c r="N59" s="17">
        <f>+'06'!D58</f>
        <v>0</v>
      </c>
      <c r="O59" s="37">
        <f>+'07'!C58</f>
        <v>2</v>
      </c>
      <c r="P59" s="17">
        <f>+'07'!D58</f>
        <v>12750</v>
      </c>
      <c r="Q59" s="37">
        <f>+'08'!C58</f>
        <v>1</v>
      </c>
      <c r="R59" s="17">
        <f>+'08'!D58</f>
        <v>3337</v>
      </c>
      <c r="S59" s="37">
        <f>+'09'!C58</f>
        <v>1</v>
      </c>
      <c r="T59" s="17">
        <f>+'09'!D58</f>
        <v>50</v>
      </c>
      <c r="U59" s="37">
        <f>+'10'!C58</f>
        <v>0</v>
      </c>
      <c r="V59" s="17">
        <f>+'10'!D58</f>
        <v>0</v>
      </c>
      <c r="W59" s="37">
        <f>+'11'!C58</f>
        <v>1</v>
      </c>
      <c r="X59" s="17">
        <f>+'11'!D58</f>
        <v>913</v>
      </c>
      <c r="Y59" s="37">
        <f>+'12'!C58</f>
        <v>0</v>
      </c>
      <c r="Z59" s="17">
        <f>+'12'!D58</f>
        <v>0</v>
      </c>
      <c r="AA59" s="37">
        <f>+'13'!C58</f>
        <v>0</v>
      </c>
      <c r="AB59" s="17">
        <f>+'13'!D58</f>
        <v>0</v>
      </c>
      <c r="AC59" s="37">
        <f>+'14'!C58</f>
        <v>0</v>
      </c>
      <c r="AD59" s="17">
        <f>+'14'!D58</f>
        <v>0</v>
      </c>
      <c r="AE59" s="37">
        <f>+'15'!C58</f>
        <v>2</v>
      </c>
      <c r="AF59" s="17">
        <f>+'15'!D58</f>
        <v>2408</v>
      </c>
      <c r="AG59" s="37">
        <f>+'16'!C58</f>
        <v>1</v>
      </c>
      <c r="AH59" s="17">
        <f>+'16'!D58</f>
        <v>1575</v>
      </c>
      <c r="AI59" s="37">
        <f>+'17'!C58</f>
        <v>0</v>
      </c>
      <c r="AJ59" s="17">
        <f>+'17'!D58</f>
        <v>0</v>
      </c>
      <c r="AK59" s="37">
        <f>+'18'!C58</f>
        <v>1</v>
      </c>
      <c r="AL59" s="17">
        <f>+'18'!D58</f>
        <v>9810</v>
      </c>
      <c r="AM59" s="37">
        <f>+'19'!C58</f>
        <v>0</v>
      </c>
      <c r="AN59" s="37">
        <f>+'19'!D58</f>
        <v>0</v>
      </c>
      <c r="AO59" s="37">
        <f>+'20'!C58</f>
        <v>2</v>
      </c>
      <c r="AP59" s="37">
        <f>+'20'!D58</f>
        <v>552</v>
      </c>
      <c r="AQ59" s="37">
        <f>+'21'!C58</f>
        <v>0</v>
      </c>
      <c r="AR59" s="37">
        <f>+'21'!D58</f>
        <v>0</v>
      </c>
      <c r="AS59" s="37">
        <f>+'22'!C58</f>
        <v>0</v>
      </c>
      <c r="AT59" s="37">
        <f>+'22'!D58</f>
        <v>0</v>
      </c>
      <c r="AU59" s="37">
        <f>+'23'!C58</f>
        <v>2</v>
      </c>
      <c r="AV59" s="37">
        <f>+'23'!D58</f>
        <v>2062</v>
      </c>
      <c r="AW59" s="37">
        <f>+'24'!C58</f>
        <v>2</v>
      </c>
      <c r="AX59" s="37">
        <f>+'24'!D58</f>
        <v>8662.5</v>
      </c>
      <c r="AY59" s="37">
        <f>+'25'!C58</f>
        <v>1</v>
      </c>
      <c r="AZ59" s="37">
        <f>+'25'!D58</f>
        <v>425</v>
      </c>
      <c r="BA59" s="37">
        <f>+'26'!C58</f>
        <v>1</v>
      </c>
      <c r="BB59" s="37">
        <f>+'26'!D58</f>
        <v>1444</v>
      </c>
      <c r="BC59" s="37">
        <f>+'27'!C58</f>
        <v>0</v>
      </c>
      <c r="BD59" s="37">
        <f>+'27'!D58</f>
        <v>0</v>
      </c>
      <c r="BE59" s="37">
        <f>+'28'!C58</f>
        <v>0</v>
      </c>
      <c r="BF59" s="37">
        <f>+'28'!D58</f>
        <v>0</v>
      </c>
      <c r="BG59" s="37">
        <f>+'29'!C58</f>
        <v>1</v>
      </c>
      <c r="BH59" s="37">
        <f>+'29'!D58</f>
        <v>18290</v>
      </c>
      <c r="BI59" s="37">
        <f>+'30'!C58</f>
        <v>0</v>
      </c>
      <c r="BJ59" s="37">
        <f>+'30'!D58</f>
        <v>0</v>
      </c>
      <c r="BK59" s="37">
        <f>+'31'!C58</f>
        <v>0</v>
      </c>
      <c r="BL59" s="37">
        <f>+'31'!D58</f>
        <v>0</v>
      </c>
      <c r="BM59" s="37">
        <f t="shared" si="6"/>
        <v>23</v>
      </c>
      <c r="BN59" s="30">
        <f>+D59+F59+H59+J59+L59+N59+P59+R59+T59+V59+X59+Z59+AB59+AD59+AF59+AH59+AJ59+AL59+AN59+AP59+AR59+AT59+AV59+AX59+AZ59+BB59+BD59+BF59+BH59+BJ59+BL59</f>
        <v>111412.75</v>
      </c>
    </row>
    <row r="60" spans="1:66" ht="26.25">
      <c r="A60" s="135"/>
      <c r="B60" s="263" t="s">
        <v>255</v>
      </c>
      <c r="C60" s="37">
        <f>+'01'!C59</f>
        <v>0</v>
      </c>
      <c r="D60" s="30">
        <f>+'01'!D59</f>
        <v>0</v>
      </c>
      <c r="E60" s="37">
        <f>+'02'!C59</f>
        <v>0</v>
      </c>
      <c r="F60" s="17">
        <f>+'02'!D59</f>
        <v>0</v>
      </c>
      <c r="G60" s="37">
        <f>+'03'!C59</f>
        <v>1</v>
      </c>
      <c r="H60" s="17">
        <f>+'03'!D59</f>
        <v>41971.75</v>
      </c>
      <c r="I60" s="37">
        <f>+'04'!C59</f>
        <v>0</v>
      </c>
      <c r="J60" s="17">
        <f>+'04'!D59</f>
        <v>0</v>
      </c>
      <c r="K60" s="37">
        <f>+'05'!C59</f>
        <v>0</v>
      </c>
      <c r="L60" s="17">
        <f>+'05'!D59</f>
        <v>0</v>
      </c>
      <c r="M60" s="37">
        <f>+'06'!C59</f>
        <v>0</v>
      </c>
      <c r="N60" s="17">
        <f>+'06'!D59</f>
        <v>0</v>
      </c>
      <c r="O60" s="37">
        <f>+'07'!C59</f>
        <v>0</v>
      </c>
      <c r="P60" s="17">
        <f>+'07'!D59</f>
        <v>0</v>
      </c>
      <c r="Q60" s="37">
        <f>+'08'!C59</f>
        <v>0</v>
      </c>
      <c r="R60" s="17">
        <f>+'08'!D59</f>
        <v>0</v>
      </c>
      <c r="S60" s="37">
        <f>+'09'!C59</f>
        <v>0</v>
      </c>
      <c r="T60" s="17">
        <f>+'09'!D59</f>
        <v>0</v>
      </c>
      <c r="U60" s="37">
        <f>+'10'!C59</f>
        <v>0</v>
      </c>
      <c r="V60" s="17">
        <f>+'10'!D59</f>
        <v>0</v>
      </c>
      <c r="W60" s="37">
        <f>+'11'!C59</f>
        <v>0</v>
      </c>
      <c r="X60" s="17">
        <f>+'11'!D59</f>
        <v>0</v>
      </c>
      <c r="Y60" s="37">
        <f>+'12'!C59</f>
        <v>0</v>
      </c>
      <c r="Z60" s="17">
        <f>+'12'!D59</f>
        <v>0</v>
      </c>
      <c r="AA60" s="37">
        <f>+'13'!C59</f>
        <v>0</v>
      </c>
      <c r="AB60" s="17">
        <f>+'13'!D59</f>
        <v>0</v>
      </c>
      <c r="AC60" s="37">
        <f>+'14'!C59</f>
        <v>0</v>
      </c>
      <c r="AD60" s="17">
        <f>+'14'!D59</f>
        <v>0</v>
      </c>
      <c r="AE60" s="37">
        <f>+'15'!C59</f>
        <v>0</v>
      </c>
      <c r="AF60" s="17">
        <f>+'15'!D59</f>
        <v>0</v>
      </c>
      <c r="AG60" s="37">
        <f>+'16'!C59</f>
        <v>0</v>
      </c>
      <c r="AH60" s="17">
        <f>+'16'!D59</f>
        <v>0</v>
      </c>
      <c r="AI60" s="37">
        <f>+'17'!C59</f>
        <v>0</v>
      </c>
      <c r="AJ60" s="17">
        <f>+'17'!D59</f>
        <v>0</v>
      </c>
      <c r="AK60" s="37">
        <f>+'18'!C59</f>
        <v>0</v>
      </c>
      <c r="AL60" s="17">
        <f>+'18'!D59</f>
        <v>0</v>
      </c>
      <c r="AM60" s="37">
        <f>+'19'!C59</f>
        <v>0</v>
      </c>
      <c r="AN60" s="37">
        <f>+'19'!D59</f>
        <v>0</v>
      </c>
      <c r="AO60" s="37">
        <f>+'20'!C59</f>
        <v>0</v>
      </c>
      <c r="AP60" s="37">
        <f>+'20'!D59</f>
        <v>0</v>
      </c>
      <c r="AQ60" s="37">
        <f>+'21'!C59</f>
        <v>0</v>
      </c>
      <c r="AR60" s="37">
        <f>+'21'!D59</f>
        <v>0</v>
      </c>
      <c r="AS60" s="37">
        <f>+'22'!C59</f>
        <v>0</v>
      </c>
      <c r="AT60" s="37">
        <f>+'22'!D59</f>
        <v>0</v>
      </c>
      <c r="AU60" s="37">
        <f>+'23'!C59</f>
        <v>0</v>
      </c>
      <c r="AV60" s="37">
        <f>+'23'!D59</f>
        <v>0</v>
      </c>
      <c r="AW60" s="37">
        <f>+'24'!C59</f>
        <v>0</v>
      </c>
      <c r="AX60" s="37">
        <f>+'24'!D59</f>
        <v>0</v>
      </c>
      <c r="AY60" s="37">
        <f>+'25'!C59</f>
        <v>0</v>
      </c>
      <c r="AZ60" s="37">
        <f>+'25'!D59</f>
        <v>0</v>
      </c>
      <c r="BA60" s="37">
        <f>+'26'!C59</f>
        <v>0</v>
      </c>
      <c r="BB60" s="37">
        <f>+'26'!D59</f>
        <v>0</v>
      </c>
      <c r="BC60" s="37">
        <f>+'27'!C59</f>
        <v>0</v>
      </c>
      <c r="BD60" s="37">
        <f>+'27'!D59</f>
        <v>0</v>
      </c>
      <c r="BE60" s="37">
        <f>+'28'!C59</f>
        <v>0</v>
      </c>
      <c r="BF60" s="37">
        <f>+'28'!D59</f>
        <v>0</v>
      </c>
      <c r="BG60" s="37">
        <f>+'29'!C59</f>
        <v>0</v>
      </c>
      <c r="BH60" s="37">
        <f>+'29'!D59</f>
        <v>0</v>
      </c>
      <c r="BI60" s="37">
        <f>+'30'!C59</f>
        <v>0</v>
      </c>
      <c r="BJ60" s="37">
        <f>+'30'!D59</f>
        <v>0</v>
      </c>
      <c r="BK60" s="37">
        <f>+'31'!C59</f>
        <v>0</v>
      </c>
      <c r="BL60" s="37">
        <f>+'31'!D59</f>
        <v>0</v>
      </c>
      <c r="BM60" s="37">
        <f t="shared" si="6"/>
        <v>1</v>
      </c>
      <c r="BN60" s="30">
        <f>+D60+F60+H60+J60+L60+N60+P60+R60+T60+V60+X60+Z60+AB60+AD60+AF60+AH60+AJ60+AL60+AN60+AP60+AR60+AT60+AV60+AX60+AZ60+BB60+BD60+BF60+BH60+BJ60+BL60</f>
        <v>41971.75</v>
      </c>
    </row>
    <row r="61" spans="1:66">
      <c r="A61" s="10"/>
      <c r="B61" s="16"/>
      <c r="C61" s="36"/>
      <c r="D61" s="56"/>
      <c r="E61" s="36"/>
      <c r="F61" s="7"/>
      <c r="G61" s="36"/>
      <c r="H61" s="7"/>
      <c r="I61" s="36"/>
      <c r="J61" s="7"/>
      <c r="K61" s="36"/>
      <c r="L61" s="7"/>
      <c r="M61" s="36"/>
      <c r="N61" s="7"/>
      <c r="O61" s="36"/>
      <c r="P61" s="7"/>
      <c r="Q61" s="36"/>
      <c r="R61" s="7"/>
      <c r="S61" s="36"/>
      <c r="T61" s="7"/>
      <c r="U61" s="36"/>
      <c r="V61" s="7"/>
      <c r="W61" s="36"/>
      <c r="X61" s="7"/>
      <c r="Y61" s="36"/>
      <c r="Z61" s="7"/>
      <c r="AA61" s="36"/>
      <c r="AB61" s="7"/>
      <c r="AC61" s="36"/>
      <c r="AD61" s="7"/>
      <c r="AE61" s="36"/>
      <c r="AF61" s="7"/>
      <c r="AG61" s="36"/>
      <c r="AH61" s="7"/>
      <c r="AI61" s="36"/>
      <c r="AJ61" s="7"/>
      <c r="AK61" s="36"/>
      <c r="AL61" s="7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56"/>
    </row>
    <row r="62" spans="1:66" s="31" customFormat="1">
      <c r="A62" s="30"/>
      <c r="B62" s="55" t="s">
        <v>38</v>
      </c>
      <c r="C62" s="37" t="e">
        <f t="shared" ref="C62:S62" si="7">SUM(C5:C59)</f>
        <v>#REF!</v>
      </c>
      <c r="D62" s="30" t="e">
        <f t="shared" si="7"/>
        <v>#REF!</v>
      </c>
      <c r="E62" s="37" t="e">
        <f t="shared" si="7"/>
        <v>#REF!</v>
      </c>
      <c r="F62" s="30" t="e">
        <f t="shared" si="7"/>
        <v>#REF!</v>
      </c>
      <c r="G62" s="37" t="e">
        <f t="shared" si="7"/>
        <v>#REF!</v>
      </c>
      <c r="H62" s="30" t="e">
        <f t="shared" si="7"/>
        <v>#REF!</v>
      </c>
      <c r="I62" s="37" t="e">
        <f t="shared" si="7"/>
        <v>#REF!</v>
      </c>
      <c r="J62" s="30" t="e">
        <f t="shared" si="7"/>
        <v>#REF!</v>
      </c>
      <c r="K62" s="37" t="e">
        <f t="shared" si="7"/>
        <v>#REF!</v>
      </c>
      <c r="L62" s="30" t="e">
        <f t="shared" si="7"/>
        <v>#REF!</v>
      </c>
      <c r="M62" s="37" t="e">
        <f t="shared" si="7"/>
        <v>#REF!</v>
      </c>
      <c r="N62" s="30" t="e">
        <f t="shared" si="7"/>
        <v>#REF!</v>
      </c>
      <c r="O62" s="37" t="e">
        <f t="shared" si="7"/>
        <v>#REF!</v>
      </c>
      <c r="P62" s="30" t="e">
        <f t="shared" si="7"/>
        <v>#REF!</v>
      </c>
      <c r="Q62" s="37" t="e">
        <f t="shared" si="7"/>
        <v>#REF!</v>
      </c>
      <c r="R62" s="30" t="e">
        <f t="shared" si="7"/>
        <v>#REF!</v>
      </c>
      <c r="S62" s="37" t="e">
        <f t="shared" si="7"/>
        <v>#REF!</v>
      </c>
      <c r="T62" s="30" t="e">
        <f>SUM(T5:T60)</f>
        <v>#REF!</v>
      </c>
      <c r="U62" s="37" t="e">
        <f t="shared" ref="U62:BN62" si="8">SUM(U5:U59)</f>
        <v>#REF!</v>
      </c>
      <c r="V62" s="30" t="e">
        <f t="shared" si="8"/>
        <v>#REF!</v>
      </c>
      <c r="W62" s="37" t="e">
        <f t="shared" si="8"/>
        <v>#REF!</v>
      </c>
      <c r="X62" s="30" t="e">
        <f t="shared" si="8"/>
        <v>#REF!</v>
      </c>
      <c r="Y62" s="37" t="e">
        <f t="shared" si="8"/>
        <v>#REF!</v>
      </c>
      <c r="Z62" s="30" t="e">
        <f t="shared" si="8"/>
        <v>#REF!</v>
      </c>
      <c r="AA62" s="37" t="e">
        <f t="shared" si="8"/>
        <v>#REF!</v>
      </c>
      <c r="AB62" s="30" t="e">
        <f t="shared" si="8"/>
        <v>#REF!</v>
      </c>
      <c r="AC62" s="37" t="e">
        <f t="shared" si="8"/>
        <v>#REF!</v>
      </c>
      <c r="AD62" s="30" t="e">
        <f t="shared" si="8"/>
        <v>#REF!</v>
      </c>
      <c r="AE62" s="37" t="e">
        <f t="shared" si="8"/>
        <v>#REF!</v>
      </c>
      <c r="AF62" s="30" t="e">
        <f t="shared" si="8"/>
        <v>#REF!</v>
      </c>
      <c r="AG62" s="37" t="e">
        <f t="shared" si="8"/>
        <v>#REF!</v>
      </c>
      <c r="AH62" s="30" t="e">
        <f t="shared" si="8"/>
        <v>#REF!</v>
      </c>
      <c r="AI62" s="37" t="e">
        <f t="shared" si="8"/>
        <v>#REF!</v>
      </c>
      <c r="AJ62" s="30" t="e">
        <f t="shared" si="8"/>
        <v>#REF!</v>
      </c>
      <c r="AK62" s="37" t="e">
        <f t="shared" si="8"/>
        <v>#REF!</v>
      </c>
      <c r="AL62" s="30" t="e">
        <f t="shared" si="8"/>
        <v>#REF!</v>
      </c>
      <c r="AM62" s="37" t="e">
        <f t="shared" si="8"/>
        <v>#REF!</v>
      </c>
      <c r="AN62" s="30" t="e">
        <f t="shared" si="8"/>
        <v>#REF!</v>
      </c>
      <c r="AO62" s="37" t="e">
        <f t="shared" si="8"/>
        <v>#REF!</v>
      </c>
      <c r="AP62" s="30" t="e">
        <f t="shared" si="8"/>
        <v>#REF!</v>
      </c>
      <c r="AQ62" s="37" t="e">
        <f t="shared" si="8"/>
        <v>#REF!</v>
      </c>
      <c r="AR62" s="30" t="e">
        <f t="shared" si="8"/>
        <v>#REF!</v>
      </c>
      <c r="AS62" s="37" t="e">
        <f t="shared" si="8"/>
        <v>#REF!</v>
      </c>
      <c r="AT62" s="30" t="e">
        <f t="shared" si="8"/>
        <v>#REF!</v>
      </c>
      <c r="AU62" s="37" t="e">
        <f t="shared" si="8"/>
        <v>#REF!</v>
      </c>
      <c r="AV62" s="30" t="e">
        <f t="shared" si="8"/>
        <v>#REF!</v>
      </c>
      <c r="AW62" s="37" t="e">
        <f t="shared" si="8"/>
        <v>#REF!</v>
      </c>
      <c r="AX62" s="30" t="e">
        <f t="shared" si="8"/>
        <v>#REF!</v>
      </c>
      <c r="AY62" s="37" t="e">
        <f t="shared" si="8"/>
        <v>#REF!</v>
      </c>
      <c r="AZ62" s="30" t="e">
        <f t="shared" si="8"/>
        <v>#REF!</v>
      </c>
      <c r="BA62" s="37" t="e">
        <f t="shared" si="8"/>
        <v>#REF!</v>
      </c>
      <c r="BB62" s="30" t="e">
        <f t="shared" si="8"/>
        <v>#REF!</v>
      </c>
      <c r="BC62" s="37" t="e">
        <f t="shared" si="8"/>
        <v>#REF!</v>
      </c>
      <c r="BD62" s="30" t="e">
        <f t="shared" si="8"/>
        <v>#REF!</v>
      </c>
      <c r="BE62" s="37" t="e">
        <f t="shared" si="8"/>
        <v>#REF!</v>
      </c>
      <c r="BF62" s="30" t="e">
        <f t="shared" si="8"/>
        <v>#REF!</v>
      </c>
      <c r="BG62" s="37" t="e">
        <f t="shared" si="8"/>
        <v>#REF!</v>
      </c>
      <c r="BH62" s="30" t="e">
        <f t="shared" si="8"/>
        <v>#REF!</v>
      </c>
      <c r="BI62" s="37" t="e">
        <f t="shared" si="8"/>
        <v>#REF!</v>
      </c>
      <c r="BJ62" s="30" t="e">
        <f t="shared" si="8"/>
        <v>#REF!</v>
      </c>
      <c r="BK62" s="37" t="e">
        <f t="shared" si="8"/>
        <v>#REF!</v>
      </c>
      <c r="BL62" s="30" t="e">
        <f t="shared" si="8"/>
        <v>#REF!</v>
      </c>
      <c r="BM62" s="37" t="e">
        <f t="shared" si="8"/>
        <v>#REF!</v>
      </c>
      <c r="BN62" s="30" t="e">
        <f t="shared" si="8"/>
        <v>#REF!</v>
      </c>
    </row>
    <row r="64" spans="1:66">
      <c r="BN64" s="22">
        <f>32710+3223</f>
        <v>35933</v>
      </c>
    </row>
  </sheetData>
  <mergeCells count="35">
    <mergeCell ref="BE3:BF3"/>
    <mergeCell ref="BG3:BH3"/>
    <mergeCell ref="BI3:BJ3"/>
    <mergeCell ref="BM3:BN3"/>
    <mergeCell ref="BK3:BL3"/>
    <mergeCell ref="BC3:BD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AE3:AF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G3:H3"/>
    <mergeCell ref="A1:B1"/>
    <mergeCell ref="A2:B2"/>
    <mergeCell ref="A3:B3"/>
    <mergeCell ref="C3:D3"/>
    <mergeCell ref="E3:F3"/>
  </mergeCells>
  <pageMargins left="0.11811023622047245" right="0" top="0.74803149606299213" bottom="0.74803149606299213" header="0.31496062992125984" footer="0.31496062992125984"/>
  <pageSetup paperSize="9" scale="4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1"/>
  <sheetViews>
    <sheetView workbookViewId="0">
      <selection activeCell="D20" sqref="D20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1.45312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5.08984375" style="119" bestFit="1" customWidth="1"/>
    <col min="13" max="16384" width="8.7265625" style="40"/>
  </cols>
  <sheetData>
    <row r="1" spans="1:15">
      <c r="A1" s="299" t="s">
        <v>0</v>
      </c>
      <c r="B1" s="299"/>
      <c r="C1" s="299"/>
      <c r="D1" s="299"/>
    </row>
    <row r="2" spans="1:15">
      <c r="A2" s="299" t="s">
        <v>279</v>
      </c>
      <c r="B2" s="299"/>
      <c r="C2" s="299"/>
      <c r="D2" s="299"/>
    </row>
    <row r="3" spans="1:15">
      <c r="A3" s="41" t="s">
        <v>1</v>
      </c>
      <c r="B3" s="42" t="s">
        <v>2</v>
      </c>
      <c r="C3" s="42" t="s">
        <v>3</v>
      </c>
      <c r="D3" s="43" t="s">
        <v>4</v>
      </c>
    </row>
    <row r="4" spans="1:15">
      <c r="A4" s="46">
        <v>1</v>
      </c>
      <c r="B4" s="45" t="s">
        <v>5</v>
      </c>
      <c r="C4" s="46"/>
      <c r="D4" s="47"/>
    </row>
    <row r="5" spans="1:15">
      <c r="A5" s="46">
        <v>2</v>
      </c>
      <c r="B5" s="45" t="s">
        <v>6</v>
      </c>
      <c r="C5" s="46"/>
      <c r="D5" s="47"/>
    </row>
    <row r="6" spans="1:15">
      <c r="A6" s="44">
        <v>3</v>
      </c>
      <c r="B6" s="48" t="s">
        <v>7</v>
      </c>
      <c r="C6" s="44">
        <v>354</v>
      </c>
      <c r="D6" s="49">
        <v>1196065.3500000001</v>
      </c>
    </row>
    <row r="7" spans="1:15">
      <c r="A7" s="44"/>
      <c r="B7" s="258" t="s">
        <v>251</v>
      </c>
      <c r="C7" s="44"/>
      <c r="D7" s="49"/>
    </row>
    <row r="8" spans="1:15">
      <c r="A8" s="44"/>
      <c r="B8" s="48" t="s">
        <v>8</v>
      </c>
      <c r="C8" s="44"/>
      <c r="D8" s="49"/>
    </row>
    <row r="9" spans="1:15">
      <c r="A9" s="44">
        <v>4</v>
      </c>
      <c r="B9" s="48" t="s">
        <v>9</v>
      </c>
      <c r="C9" s="44">
        <v>1</v>
      </c>
      <c r="D9" s="49">
        <v>14625.57</v>
      </c>
    </row>
    <row r="10" spans="1:15">
      <c r="A10" s="44"/>
      <c r="B10" s="258" t="s">
        <v>250</v>
      </c>
      <c r="C10" s="44"/>
      <c r="D10" s="49"/>
    </row>
    <row r="11" spans="1:15">
      <c r="A11" s="44"/>
      <c r="B11" s="48" t="s">
        <v>10</v>
      </c>
      <c r="C11" s="44"/>
      <c r="D11" s="49"/>
    </row>
    <row r="12" spans="1:15">
      <c r="A12" s="44">
        <v>5</v>
      </c>
      <c r="B12" s="48" t="s">
        <v>11</v>
      </c>
      <c r="C12" s="44">
        <v>76</v>
      </c>
      <c r="D12" s="49">
        <v>250757</v>
      </c>
    </row>
    <row r="13" spans="1:15">
      <c r="A13" s="44"/>
      <c r="B13" s="48" t="s">
        <v>12</v>
      </c>
      <c r="C13" s="44"/>
      <c r="D13" s="49"/>
    </row>
    <row r="14" spans="1:15">
      <c r="A14" s="44">
        <v>6</v>
      </c>
      <c r="B14" s="48" t="s">
        <v>13</v>
      </c>
      <c r="C14" s="44"/>
      <c r="D14" s="49"/>
    </row>
    <row r="15" spans="1:15">
      <c r="A15" s="44"/>
      <c r="B15" s="48" t="s">
        <v>14</v>
      </c>
      <c r="C15" s="44"/>
      <c r="D15" s="49"/>
    </row>
    <row r="16" spans="1:15">
      <c r="A16" s="46">
        <v>7</v>
      </c>
      <c r="B16" s="45" t="s">
        <v>15</v>
      </c>
      <c r="C16" s="46">
        <f>8+1</f>
        <v>9</v>
      </c>
      <c r="D16" s="47">
        <v>7239</v>
      </c>
      <c r="O16" s="40" t="s">
        <v>115</v>
      </c>
    </row>
    <row r="17" spans="1:16">
      <c r="A17" s="46"/>
      <c r="B17" s="45" t="s">
        <v>16</v>
      </c>
      <c r="C17" s="46">
        <f>1+2+1</f>
        <v>4</v>
      </c>
      <c r="D17" s="47">
        <v>127214</v>
      </c>
    </row>
    <row r="18" spans="1:16">
      <c r="A18" s="44">
        <v>8</v>
      </c>
      <c r="B18" s="48" t="s">
        <v>17</v>
      </c>
      <c r="C18" s="44">
        <f>1+1+2+2+1</f>
        <v>7</v>
      </c>
      <c r="D18" s="49">
        <v>25213.75</v>
      </c>
      <c r="P18" s="40" t="s">
        <v>115</v>
      </c>
    </row>
    <row r="19" spans="1:16">
      <c r="A19" s="44"/>
      <c r="B19" s="48" t="s">
        <v>18</v>
      </c>
      <c r="C19" s="44">
        <f>1+1</f>
        <v>2</v>
      </c>
      <c r="D19" s="49">
        <v>125498.75</v>
      </c>
    </row>
    <row r="20" spans="1:16">
      <c r="A20" s="161">
        <v>9</v>
      </c>
      <c r="B20" s="160" t="s">
        <v>19</v>
      </c>
      <c r="C20" s="161"/>
      <c r="D20" s="162"/>
    </row>
    <row r="21" spans="1:16">
      <c r="A21" s="50"/>
      <c r="B21" s="160" t="s">
        <v>20</v>
      </c>
      <c r="C21" s="161"/>
      <c r="D21" s="162"/>
    </row>
    <row r="22" spans="1:16" s="51" customFormat="1">
      <c r="A22" s="46">
        <v>10</v>
      </c>
      <c r="B22" s="45" t="s">
        <v>21</v>
      </c>
      <c r="C22" s="46">
        <v>676</v>
      </c>
      <c r="D22" s="47">
        <v>1660407.46</v>
      </c>
      <c r="F22" s="117"/>
      <c r="H22" s="117"/>
      <c r="J22" s="117"/>
      <c r="L22" s="120"/>
    </row>
    <row r="23" spans="1:16">
      <c r="A23" s="46"/>
      <c r="B23" s="45" t="s">
        <v>22</v>
      </c>
      <c r="C23" s="46">
        <v>8</v>
      </c>
      <c r="D23" s="47">
        <v>6699.49</v>
      </c>
    </row>
    <row r="24" spans="1:16">
      <c r="A24" s="46"/>
      <c r="B24" s="45" t="s">
        <v>23</v>
      </c>
      <c r="C24" s="46"/>
      <c r="D24" s="47"/>
    </row>
    <row r="25" spans="1:16">
      <c r="A25" s="46"/>
      <c r="B25" s="45" t="s">
        <v>24</v>
      </c>
      <c r="C25" s="46"/>
      <c r="D25" s="47"/>
    </row>
    <row r="26" spans="1:16">
      <c r="A26" s="46"/>
      <c r="B26" s="45" t="s">
        <v>25</v>
      </c>
      <c r="C26" s="46">
        <v>5</v>
      </c>
      <c r="D26" s="47">
        <v>9047.5</v>
      </c>
    </row>
    <row r="27" spans="1:16">
      <c r="A27" s="46"/>
      <c r="B27" s="45" t="s">
        <v>26</v>
      </c>
      <c r="C27" s="46">
        <v>6</v>
      </c>
      <c r="D27" s="47">
        <v>4980.5</v>
      </c>
      <c r="E27" s="173">
        <f>SUM(D22:D27)</f>
        <v>1681134.95</v>
      </c>
    </row>
    <row r="28" spans="1:16">
      <c r="A28" s="44">
        <v>11</v>
      </c>
      <c r="B28" s="271" t="s">
        <v>270</v>
      </c>
      <c r="C28" s="46">
        <v>25</v>
      </c>
      <c r="D28" s="47">
        <v>1098330.8899999999</v>
      </c>
      <c r="E28" s="173"/>
    </row>
    <row r="29" spans="1:16">
      <c r="A29" s="46"/>
      <c r="B29" s="272" t="s">
        <v>267</v>
      </c>
      <c r="C29" s="46">
        <v>4</v>
      </c>
      <c r="D29" s="47">
        <v>282249.59999999998</v>
      </c>
      <c r="E29" s="173"/>
    </row>
    <row r="30" spans="1:16">
      <c r="A30" s="46"/>
      <c r="B30" s="271" t="s">
        <v>266</v>
      </c>
      <c r="C30" s="46"/>
      <c r="D30" s="47"/>
      <c r="E30" s="173"/>
    </row>
    <row r="31" spans="1:16">
      <c r="A31" s="46"/>
      <c r="B31" s="271" t="s">
        <v>271</v>
      </c>
      <c r="C31" s="46"/>
      <c r="D31" s="47"/>
      <c r="E31" s="173"/>
    </row>
    <row r="32" spans="1:16">
      <c r="A32" s="46"/>
      <c r="B32" s="271" t="s">
        <v>272</v>
      </c>
      <c r="C32" s="46"/>
      <c r="D32" s="47"/>
      <c r="E32" s="173">
        <f>SUM(D28:D32)</f>
        <v>1380580.4899999998</v>
      </c>
    </row>
    <row r="33" spans="1:13">
      <c r="A33" s="50">
        <v>12</v>
      </c>
      <c r="B33" s="258" t="s">
        <v>69</v>
      </c>
      <c r="C33" s="50">
        <v>922</v>
      </c>
      <c r="D33" s="52">
        <v>1222242.4099999999</v>
      </c>
    </row>
    <row r="34" spans="1:13">
      <c r="A34" s="50"/>
      <c r="B34" s="258" t="s">
        <v>256</v>
      </c>
      <c r="C34" s="50">
        <v>316</v>
      </c>
      <c r="D34" s="52">
        <v>370752.2</v>
      </c>
    </row>
    <row r="35" spans="1:13">
      <c r="A35" s="50"/>
      <c r="B35" s="258" t="s">
        <v>72</v>
      </c>
      <c r="C35" s="50">
        <v>25</v>
      </c>
      <c r="D35" s="52">
        <v>22118</v>
      </c>
    </row>
    <row r="36" spans="1:13">
      <c r="A36" s="50"/>
      <c r="B36" s="258" t="s">
        <v>257</v>
      </c>
      <c r="C36" s="50">
        <v>250</v>
      </c>
      <c r="D36" s="52">
        <v>296031.35999999999</v>
      </c>
    </row>
    <row r="37" spans="1:13">
      <c r="A37" s="50"/>
      <c r="B37" s="258" t="s">
        <v>258</v>
      </c>
      <c r="C37" s="50">
        <v>35</v>
      </c>
      <c r="D37" s="52">
        <v>5820</v>
      </c>
      <c r="E37" s="276">
        <f>SUM(D33:D37)</f>
        <v>1916963.9699999997</v>
      </c>
    </row>
    <row r="38" spans="1:13">
      <c r="A38" s="50">
        <v>13</v>
      </c>
      <c r="B38" s="271" t="s">
        <v>259</v>
      </c>
      <c r="C38" s="50">
        <v>34</v>
      </c>
      <c r="D38" s="52">
        <v>1535726.25</v>
      </c>
    </row>
    <row r="39" spans="1:13">
      <c r="A39" s="50"/>
      <c r="B39" s="271" t="s">
        <v>260</v>
      </c>
      <c r="C39" s="50">
        <v>19</v>
      </c>
      <c r="D39" s="52">
        <v>567205.23</v>
      </c>
    </row>
    <row r="40" spans="1:13">
      <c r="A40" s="50"/>
      <c r="B40" s="271" t="s">
        <v>261</v>
      </c>
      <c r="C40" s="50">
        <v>1</v>
      </c>
      <c r="D40" s="52">
        <v>2527</v>
      </c>
    </row>
    <row r="41" spans="1:13">
      <c r="A41" s="50"/>
      <c r="B41" s="271" t="s">
        <v>262</v>
      </c>
      <c r="C41" s="50">
        <v>24</v>
      </c>
      <c r="D41" s="52">
        <v>754506.97</v>
      </c>
    </row>
    <row r="42" spans="1:13">
      <c r="A42" s="50"/>
      <c r="B42" s="272" t="s">
        <v>263</v>
      </c>
      <c r="C42" s="50">
        <v>5</v>
      </c>
      <c r="D42" s="52">
        <v>248522.75</v>
      </c>
      <c r="E42" s="172"/>
    </row>
    <row r="43" spans="1:13">
      <c r="A43" s="50"/>
      <c r="B43" s="272" t="s">
        <v>264</v>
      </c>
      <c r="C43" s="50"/>
      <c r="D43" s="52"/>
      <c r="E43" s="172"/>
    </row>
    <row r="44" spans="1:13">
      <c r="A44" s="50"/>
      <c r="B44" s="272" t="s">
        <v>265</v>
      </c>
      <c r="C44" s="50"/>
      <c r="D44" s="52"/>
      <c r="E44" s="172">
        <f>SUM(D38:D44)</f>
        <v>3108488.2</v>
      </c>
    </row>
    <row r="45" spans="1:13">
      <c r="A45" s="46">
        <v>14</v>
      </c>
      <c r="B45" s="45" t="s">
        <v>36</v>
      </c>
      <c r="C45" s="46">
        <v>74</v>
      </c>
      <c r="D45" s="47">
        <v>99602.5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45</v>
      </c>
      <c r="C46" s="46">
        <v>1</v>
      </c>
      <c r="D46" s="47">
        <v>1321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118"/>
      <c r="M46" s="72">
        <v>0</v>
      </c>
    </row>
    <row r="47" spans="1:13">
      <c r="A47" s="46">
        <v>15</v>
      </c>
      <c r="B47" s="271" t="s">
        <v>273</v>
      </c>
      <c r="C47" s="46">
        <v>4</v>
      </c>
      <c r="D47" s="47">
        <v>50833</v>
      </c>
      <c r="F47" s="118"/>
      <c r="G47" s="72"/>
      <c r="H47" s="118"/>
      <c r="I47" s="72"/>
      <c r="J47" s="118"/>
      <c r="K47" s="72"/>
      <c r="L47" s="118"/>
      <c r="M47" s="72"/>
    </row>
    <row r="48" spans="1:13">
      <c r="A48" s="46"/>
      <c r="B48" s="271" t="s">
        <v>274</v>
      </c>
      <c r="C48" s="46">
        <v>1</v>
      </c>
      <c r="D48" s="47">
        <v>34746.5</v>
      </c>
      <c r="F48" s="118"/>
      <c r="G48" s="72"/>
      <c r="H48" s="118"/>
      <c r="I48" s="72"/>
      <c r="J48" s="118"/>
      <c r="K48" s="72"/>
      <c r="L48" s="118"/>
      <c r="M48" s="72"/>
    </row>
    <row r="49" spans="1:13">
      <c r="A49" s="46"/>
      <c r="B49" s="271" t="s">
        <v>275</v>
      </c>
      <c r="C49" s="46">
        <v>1</v>
      </c>
      <c r="D49" s="47">
        <v>28533.5</v>
      </c>
      <c r="F49" s="118"/>
      <c r="G49" s="72"/>
      <c r="H49" s="118"/>
      <c r="I49" s="72"/>
      <c r="J49" s="118"/>
      <c r="K49" s="72"/>
      <c r="L49" s="118"/>
      <c r="M49" s="72"/>
    </row>
    <row r="50" spans="1:13">
      <c r="A50" s="50">
        <v>16</v>
      </c>
      <c r="B50" s="160" t="s">
        <v>37</v>
      </c>
      <c r="C50" s="50">
        <v>4</v>
      </c>
      <c r="D50" s="52">
        <v>6976.5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160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49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21</v>
      </c>
      <c r="D53" s="47">
        <v>6321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55+22</f>
        <v>77</v>
      </c>
      <c r="D54" s="52">
        <f>43563+26055</f>
        <v>69618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41">
        <v>20</v>
      </c>
      <c r="B55" s="144" t="s">
        <v>107</v>
      </c>
      <c r="C55" s="46">
        <v>35</v>
      </c>
      <c r="D55" s="47">
        <v>26746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8">
        <v>21</v>
      </c>
      <c r="B56" s="154" t="s">
        <v>112</v>
      </c>
      <c r="C56" s="149">
        <v>3</v>
      </c>
      <c r="D56" s="150">
        <v>1256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41">
        <v>22</v>
      </c>
      <c r="B57" s="144" t="s">
        <v>114</v>
      </c>
      <c r="C57" s="46">
        <v>4</v>
      </c>
      <c r="D57" s="47">
        <v>3662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41">
        <v>23</v>
      </c>
      <c r="B58" s="262" t="s">
        <v>254</v>
      </c>
      <c r="C58" s="46">
        <f>2+1</f>
        <v>3</v>
      </c>
      <c r="D58" s="47">
        <f>1816.5+2842.75</f>
        <v>4659.25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 s="127" customFormat="1">
      <c r="A60" s="124"/>
      <c r="B60" s="125"/>
      <c r="C60" s="124"/>
      <c r="D60" s="126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10168056.280000001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1"/>
  <sheetViews>
    <sheetView topLeftCell="A7" workbookViewId="0">
      <selection activeCell="D20" sqref="D20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1.9062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280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351</v>
      </c>
      <c r="D6" s="49">
        <v>991915.36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</v>
      </c>
      <c r="D9" s="49">
        <v>10241.75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56</v>
      </c>
      <c r="D12" s="49">
        <v>204218.5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/>
      <c r="D14" s="49"/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12</v>
      </c>
      <c r="D16" s="47">
        <v>30121</v>
      </c>
    </row>
    <row r="17" spans="1:12">
      <c r="A17" s="46"/>
      <c r="B17" s="45" t="s">
        <v>16</v>
      </c>
      <c r="C17" s="46">
        <v>1</v>
      </c>
      <c r="D17" s="47">
        <v>11539</v>
      </c>
    </row>
    <row r="18" spans="1:12">
      <c r="A18" s="44">
        <v>8</v>
      </c>
      <c r="B18" s="48" t="s">
        <v>17</v>
      </c>
      <c r="C18" s="50">
        <f>1+1</f>
        <v>2</v>
      </c>
      <c r="D18" s="52">
        <v>27194.5</v>
      </c>
    </row>
    <row r="19" spans="1:12">
      <c r="A19" s="44"/>
      <c r="B19" s="48" t="s">
        <v>18</v>
      </c>
      <c r="C19" s="50">
        <v>2</v>
      </c>
      <c r="D19" s="52">
        <v>132334.75</v>
      </c>
    </row>
    <row r="20" spans="1:12">
      <c r="A20" s="161">
        <v>9</v>
      </c>
      <c r="B20" s="160" t="s">
        <v>19</v>
      </c>
      <c r="C20" s="161"/>
      <c r="D20" s="162"/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699</v>
      </c>
      <c r="D22" s="47">
        <v>938187.56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10</v>
      </c>
      <c r="D23" s="47">
        <v>10215.86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5</v>
      </c>
      <c r="D26" s="47">
        <v>7115.5</v>
      </c>
    </row>
    <row r="27" spans="1:12">
      <c r="A27" s="46">
        <v>11</v>
      </c>
      <c r="B27" s="45" t="s">
        <v>26</v>
      </c>
      <c r="C27" s="46">
        <v>2</v>
      </c>
      <c r="D27" s="47">
        <v>664</v>
      </c>
      <c r="E27" s="173">
        <f>SUM(D22:D27)</f>
        <v>956182.92</v>
      </c>
    </row>
    <row r="28" spans="1:12">
      <c r="A28" s="46"/>
      <c r="B28" s="271" t="s">
        <v>270</v>
      </c>
      <c r="C28" s="46">
        <v>14</v>
      </c>
      <c r="D28" s="47">
        <v>430639.9</v>
      </c>
      <c r="E28" s="173"/>
    </row>
    <row r="29" spans="1:12">
      <c r="A29" s="46"/>
      <c r="B29" s="272" t="s">
        <v>267</v>
      </c>
      <c r="C29" s="46">
        <v>2</v>
      </c>
      <c r="D29" s="47">
        <v>104949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>
        <v>1</v>
      </c>
      <c r="D31" s="47">
        <v>11313.75</v>
      </c>
      <c r="E31" s="173"/>
    </row>
    <row r="32" spans="1:12">
      <c r="A32" s="46"/>
      <c r="B32" s="271" t="s">
        <v>272</v>
      </c>
      <c r="C32" s="46">
        <v>2</v>
      </c>
      <c r="D32" s="47">
        <v>78269.75</v>
      </c>
      <c r="E32" s="173">
        <f>SUM(D28:D32)</f>
        <v>625172.4</v>
      </c>
    </row>
    <row r="33" spans="1:13">
      <c r="A33" s="50">
        <v>12</v>
      </c>
      <c r="B33" s="258" t="s">
        <v>69</v>
      </c>
      <c r="C33" s="50">
        <v>910</v>
      </c>
      <c r="D33" s="52">
        <v>1266343.77</v>
      </c>
    </row>
    <row r="34" spans="1:13">
      <c r="A34" s="50"/>
      <c r="B34" s="258" t="s">
        <v>256</v>
      </c>
      <c r="C34" s="50">
        <v>313</v>
      </c>
      <c r="D34" s="52">
        <v>615414.86</v>
      </c>
    </row>
    <row r="35" spans="1:13">
      <c r="A35" s="50"/>
      <c r="B35" s="258" t="s">
        <v>72</v>
      </c>
      <c r="C35" s="50">
        <v>21</v>
      </c>
      <c r="D35" s="52">
        <v>35414</v>
      </c>
    </row>
    <row r="36" spans="1:13">
      <c r="A36" s="50"/>
      <c r="B36" s="258" t="s">
        <v>257</v>
      </c>
      <c r="C36" s="50">
        <v>221</v>
      </c>
      <c r="D36" s="52">
        <v>283884.75</v>
      </c>
    </row>
    <row r="37" spans="1:13">
      <c r="A37" s="50"/>
      <c r="B37" s="258" t="s">
        <v>258</v>
      </c>
      <c r="C37" s="50">
        <v>44</v>
      </c>
      <c r="D37" s="52">
        <v>2685</v>
      </c>
      <c r="E37" s="276">
        <f>SUM(D33:D37)</f>
        <v>2203742.38</v>
      </c>
    </row>
    <row r="38" spans="1:13">
      <c r="A38" s="50">
        <v>13</v>
      </c>
      <c r="B38" s="271" t="s">
        <v>259</v>
      </c>
      <c r="C38" s="50">
        <v>59</v>
      </c>
      <c r="D38" s="52">
        <v>2169107.6800000002</v>
      </c>
    </row>
    <row r="39" spans="1:13">
      <c r="A39" s="50"/>
      <c r="B39" s="271" t="s">
        <v>260</v>
      </c>
      <c r="C39" s="50">
        <v>20</v>
      </c>
      <c r="D39" s="52">
        <v>575516.5</v>
      </c>
    </row>
    <row r="40" spans="1:13">
      <c r="A40" s="50"/>
      <c r="B40" s="271" t="s">
        <v>261</v>
      </c>
      <c r="C40" s="50"/>
      <c r="D40" s="52"/>
    </row>
    <row r="41" spans="1:13">
      <c r="A41" s="50"/>
      <c r="B41" s="271" t="s">
        <v>262</v>
      </c>
      <c r="C41" s="50">
        <v>19</v>
      </c>
      <c r="D41" s="52">
        <v>993293.46</v>
      </c>
    </row>
    <row r="42" spans="1:13">
      <c r="A42" s="50"/>
      <c r="B42" s="272" t="s">
        <v>263</v>
      </c>
      <c r="C42" s="50">
        <v>4</v>
      </c>
      <c r="D42" s="52">
        <v>1083490</v>
      </c>
      <c r="E42" s="172"/>
    </row>
    <row r="43" spans="1:13">
      <c r="A43" s="50"/>
      <c r="B43" s="272" t="s">
        <v>264</v>
      </c>
      <c r="C43" s="50">
        <v>1</v>
      </c>
      <c r="D43" s="52">
        <v>20846.75</v>
      </c>
      <c r="E43" s="172"/>
    </row>
    <row r="44" spans="1:13">
      <c r="A44" s="50"/>
      <c r="B44" s="272" t="s">
        <v>265</v>
      </c>
      <c r="C44" s="50"/>
      <c r="D44" s="52"/>
      <c r="E44" s="172">
        <f>SUM(D38:D44)</f>
        <v>4842254.3900000006</v>
      </c>
    </row>
    <row r="45" spans="1:13">
      <c r="A45" s="46">
        <v>14</v>
      </c>
      <c r="B45" s="45" t="s">
        <v>36</v>
      </c>
      <c r="C45" s="46">
        <v>63</v>
      </c>
      <c r="D45" s="47">
        <v>77565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45</v>
      </c>
      <c r="C46" s="46">
        <v>2</v>
      </c>
      <c r="D46" s="47">
        <v>6417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118">
        <v>0</v>
      </c>
      <c r="M46" s="72">
        <v>0</v>
      </c>
    </row>
    <row r="47" spans="1:13">
      <c r="A47" s="46">
        <v>15</v>
      </c>
      <c r="B47" s="271" t="s">
        <v>273</v>
      </c>
      <c r="C47" s="46">
        <v>2</v>
      </c>
      <c r="D47" s="47">
        <v>43455.03</v>
      </c>
      <c r="F47" s="118"/>
      <c r="G47" s="72"/>
      <c r="H47" s="118"/>
      <c r="I47" s="72"/>
      <c r="J47" s="118"/>
      <c r="K47" s="72"/>
      <c r="L47" s="118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118"/>
      <c r="M48" s="72"/>
    </row>
    <row r="49" spans="1:13">
      <c r="A49" s="46"/>
      <c r="B49" s="271" t="s">
        <v>275</v>
      </c>
      <c r="C49" s="46">
        <v>3</v>
      </c>
      <c r="D49" s="47">
        <v>94690.25</v>
      </c>
      <c r="F49" s="118"/>
      <c r="G49" s="72"/>
      <c r="H49" s="118"/>
      <c r="I49" s="72"/>
      <c r="J49" s="118"/>
      <c r="K49" s="72"/>
      <c r="L49" s="118"/>
      <c r="M49" s="72"/>
    </row>
    <row r="50" spans="1:13">
      <c r="A50" s="50">
        <v>16</v>
      </c>
      <c r="B50" s="160" t="s">
        <v>37</v>
      </c>
      <c r="C50" s="50">
        <v>2</v>
      </c>
      <c r="D50" s="52">
        <v>5246.5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160" t="s">
        <v>46</v>
      </c>
      <c r="C51" s="50">
        <v>1</v>
      </c>
      <c r="D51" s="52">
        <v>333</v>
      </c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20</v>
      </c>
      <c r="D53" s="47">
        <v>7288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53+13</f>
        <v>66</v>
      </c>
      <c r="D54" s="52">
        <f>44960+10914</f>
        <v>55874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41">
        <v>20</v>
      </c>
      <c r="B55" s="144" t="s">
        <v>107</v>
      </c>
      <c r="C55" s="46">
        <v>43</v>
      </c>
      <c r="D55" s="47">
        <v>21956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8">
        <v>21</v>
      </c>
      <c r="B56" s="154" t="s">
        <v>112</v>
      </c>
      <c r="C56" s="149">
        <v>3</v>
      </c>
      <c r="D56" s="150">
        <v>1546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41">
        <v>22</v>
      </c>
      <c r="B57" s="144" t="s">
        <v>114</v>
      </c>
      <c r="C57" s="46">
        <v>4</v>
      </c>
      <c r="D57" s="47">
        <v>2657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41">
        <v>23</v>
      </c>
      <c r="B58" s="262" t="s">
        <v>254</v>
      </c>
      <c r="C58" s="46">
        <v>1</v>
      </c>
      <c r="D58" s="47">
        <v>43565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10395509.729999999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1"/>
  <sheetViews>
    <sheetView workbookViewId="0">
      <selection activeCell="D20" sqref="D20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1.3632812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281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21</v>
      </c>
      <c r="D6" s="49">
        <v>1013029.39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5</v>
      </c>
      <c r="D9" s="49">
        <v>1002440.27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55</v>
      </c>
      <c r="D12" s="49">
        <v>99684.5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1</v>
      </c>
      <c r="D14" s="49">
        <v>251744.69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f>17+1+1</f>
        <v>19</v>
      </c>
      <c r="D16" s="47">
        <v>58020</v>
      </c>
    </row>
    <row r="17" spans="1:12">
      <c r="A17" s="46"/>
      <c r="B17" s="45" t="s">
        <v>16</v>
      </c>
      <c r="C17" s="46">
        <f>3+2</f>
        <v>5</v>
      </c>
      <c r="D17" s="47">
        <v>154651.5</v>
      </c>
    </row>
    <row r="18" spans="1:12">
      <c r="A18" s="44">
        <v>8</v>
      </c>
      <c r="B18" s="48" t="s">
        <v>17</v>
      </c>
      <c r="C18" s="50">
        <f>2+2</f>
        <v>4</v>
      </c>
      <c r="D18" s="52">
        <v>14609.61</v>
      </c>
    </row>
    <row r="19" spans="1:12">
      <c r="A19" s="44"/>
      <c r="B19" s="48" t="s">
        <v>18</v>
      </c>
      <c r="C19" s="44">
        <f>1+1</f>
        <v>2</v>
      </c>
      <c r="D19" s="49">
        <v>192659.1</v>
      </c>
    </row>
    <row r="20" spans="1:12">
      <c r="A20" s="161">
        <v>9</v>
      </c>
      <c r="B20" s="160" t="s">
        <v>19</v>
      </c>
      <c r="C20" s="161"/>
      <c r="D20" s="162"/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667</v>
      </c>
      <c r="D22" s="47">
        <v>865509.33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12</v>
      </c>
      <c r="D23" s="47">
        <v>12373.25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6</v>
      </c>
      <c r="D26" s="47">
        <v>2410</v>
      </c>
    </row>
    <row r="27" spans="1:12">
      <c r="A27" s="46"/>
      <c r="B27" s="45" t="s">
        <v>26</v>
      </c>
      <c r="C27" s="46">
        <v>5</v>
      </c>
      <c r="D27" s="47">
        <v>2192.5</v>
      </c>
      <c r="E27" s="173">
        <f>SUM(D22:D27)</f>
        <v>882485.08</v>
      </c>
    </row>
    <row r="28" spans="1:12">
      <c r="A28" s="46">
        <v>11</v>
      </c>
      <c r="B28" s="271" t="s">
        <v>270</v>
      </c>
      <c r="C28" s="46">
        <v>35</v>
      </c>
      <c r="D28" s="47">
        <v>1498993.19</v>
      </c>
      <c r="E28" s="173"/>
    </row>
    <row r="29" spans="1:12">
      <c r="A29" s="46"/>
      <c r="B29" s="272" t="s">
        <v>267</v>
      </c>
      <c r="C29" s="46">
        <v>2</v>
      </c>
      <c r="D29" s="47">
        <v>48009.5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1547002.69</v>
      </c>
    </row>
    <row r="33" spans="1:13">
      <c r="A33" s="50">
        <v>12</v>
      </c>
      <c r="B33" s="258" t="s">
        <v>69</v>
      </c>
      <c r="C33" s="50">
        <v>901</v>
      </c>
      <c r="D33" s="52">
        <v>1167566.58</v>
      </c>
    </row>
    <row r="34" spans="1:13">
      <c r="A34" s="50"/>
      <c r="B34" s="258" t="s">
        <v>256</v>
      </c>
      <c r="C34" s="50">
        <v>366</v>
      </c>
      <c r="D34" s="52">
        <v>674531.67</v>
      </c>
    </row>
    <row r="35" spans="1:13">
      <c r="A35" s="50"/>
      <c r="B35" s="258" t="s">
        <v>72</v>
      </c>
      <c r="C35" s="50">
        <v>21</v>
      </c>
      <c r="D35" s="52">
        <v>27541.25</v>
      </c>
    </row>
    <row r="36" spans="1:13">
      <c r="A36" s="50"/>
      <c r="B36" s="258" t="s">
        <v>257</v>
      </c>
      <c r="C36" s="50">
        <v>237</v>
      </c>
      <c r="D36" s="52">
        <v>405519.99</v>
      </c>
    </row>
    <row r="37" spans="1:13">
      <c r="A37" s="50"/>
      <c r="B37" s="258" t="s">
        <v>258</v>
      </c>
      <c r="C37" s="50">
        <v>38</v>
      </c>
      <c r="D37" s="52">
        <v>1555</v>
      </c>
      <c r="E37" s="276">
        <f>SUM(D33:D37)</f>
        <v>2276714.4900000002</v>
      </c>
    </row>
    <row r="38" spans="1:13">
      <c r="A38" s="50">
        <v>13</v>
      </c>
      <c r="B38" s="258" t="s">
        <v>259</v>
      </c>
      <c r="C38" s="50">
        <v>26</v>
      </c>
      <c r="D38" s="52">
        <v>816129.47</v>
      </c>
    </row>
    <row r="39" spans="1:13">
      <c r="A39" s="50"/>
      <c r="B39" s="258" t="s">
        <v>260</v>
      </c>
      <c r="C39" s="50">
        <v>25</v>
      </c>
      <c r="D39" s="52">
        <v>1243635.74</v>
      </c>
    </row>
    <row r="40" spans="1:13">
      <c r="A40" s="50"/>
      <c r="B40" s="258" t="s">
        <v>261</v>
      </c>
      <c r="C40" s="50">
        <v>1</v>
      </c>
      <c r="D40" s="52">
        <v>162342.51</v>
      </c>
    </row>
    <row r="41" spans="1:13">
      <c r="A41" s="50"/>
      <c r="B41" s="258" t="s">
        <v>262</v>
      </c>
      <c r="C41" s="50">
        <v>23</v>
      </c>
      <c r="D41" s="52">
        <v>1611545.78</v>
      </c>
    </row>
    <row r="42" spans="1:13">
      <c r="A42" s="50"/>
      <c r="B42" s="269" t="s">
        <v>263</v>
      </c>
      <c r="C42" s="50">
        <v>7</v>
      </c>
      <c r="D42" s="52">
        <v>640976.75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4474630.25</v>
      </c>
    </row>
    <row r="45" spans="1:13">
      <c r="A45" s="46">
        <v>14</v>
      </c>
      <c r="B45" s="45" t="s">
        <v>36</v>
      </c>
      <c r="C45" s="46">
        <v>66</v>
      </c>
      <c r="D45" s="47">
        <v>65053.36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3</v>
      </c>
      <c r="D46" s="47">
        <v>2872.5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119">
        <v>0</v>
      </c>
      <c r="M46" s="72">
        <v>0</v>
      </c>
    </row>
    <row r="47" spans="1:13">
      <c r="A47" s="46">
        <v>15</v>
      </c>
      <c r="B47" s="271" t="s">
        <v>273</v>
      </c>
      <c r="C47" s="46">
        <v>5</v>
      </c>
      <c r="D47" s="47">
        <v>151866.82999999999</v>
      </c>
      <c r="F47" s="118"/>
      <c r="G47" s="72"/>
      <c r="H47" s="118"/>
      <c r="I47" s="72"/>
      <c r="J47" s="118"/>
      <c r="K47" s="72"/>
      <c r="M47" s="72"/>
    </row>
    <row r="48" spans="1:13">
      <c r="A48" s="46"/>
      <c r="B48" s="271" t="s">
        <v>274</v>
      </c>
      <c r="C48" s="46">
        <v>1</v>
      </c>
      <c r="D48" s="47">
        <v>98162.87</v>
      </c>
      <c r="F48" s="118"/>
      <c r="G48" s="72"/>
      <c r="H48" s="118"/>
      <c r="I48" s="72"/>
      <c r="J48" s="118"/>
      <c r="K48" s="72"/>
      <c r="M48" s="72"/>
    </row>
    <row r="49" spans="1:13">
      <c r="A49" s="46"/>
      <c r="B49" s="271" t="s">
        <v>275</v>
      </c>
      <c r="C49" s="46">
        <v>6</v>
      </c>
      <c r="D49" s="47">
        <v>132423.5</v>
      </c>
      <c r="F49" s="118"/>
      <c r="G49" s="72"/>
      <c r="H49" s="118"/>
      <c r="I49" s="72"/>
      <c r="J49" s="118"/>
      <c r="K49" s="72"/>
      <c r="M49" s="72"/>
    </row>
    <row r="50" spans="1:13">
      <c r="A50" s="50">
        <v>16</v>
      </c>
      <c r="B50" s="48" t="s">
        <v>37</v>
      </c>
      <c r="C50" s="50">
        <v>3</v>
      </c>
      <c r="D50" s="52">
        <v>1519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17</v>
      </c>
      <c r="D53" s="47">
        <v>6443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63+24</f>
        <v>87</v>
      </c>
      <c r="D54" s="52">
        <f>41644+19632</f>
        <v>61276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34</v>
      </c>
      <c r="D55" s="47">
        <v>19221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4</v>
      </c>
      <c r="D56" s="150">
        <v>1816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3</v>
      </c>
      <c r="D57" s="47">
        <v>1230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1</v>
      </c>
      <c r="D58" s="47">
        <v>910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>
        <v>1</v>
      </c>
      <c r="D59" s="47">
        <v>41971.75</v>
      </c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12552437.379999997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1"/>
  <sheetViews>
    <sheetView topLeftCell="A13" workbookViewId="0">
      <selection activeCell="D20" sqref="D20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282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285</v>
      </c>
      <c r="D6" s="49">
        <v>1091659.6100000001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8</v>
      </c>
      <c r="D9" s="49">
        <v>301960.53999999998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59</v>
      </c>
      <c r="D12" s="49">
        <v>173171.75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1</v>
      </c>
      <c r="D14" s="49">
        <v>28292.75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f>18+1</f>
        <v>19</v>
      </c>
      <c r="D16" s="47">
        <v>19277.5</v>
      </c>
    </row>
    <row r="17" spans="1:12">
      <c r="A17" s="46"/>
      <c r="B17" s="45" t="s">
        <v>16</v>
      </c>
      <c r="C17" s="46">
        <f>6+1+1</f>
        <v>8</v>
      </c>
      <c r="D17" s="47">
        <v>205807.5</v>
      </c>
    </row>
    <row r="18" spans="1:12">
      <c r="A18" s="44">
        <v>8</v>
      </c>
      <c r="B18" s="48" t="s">
        <v>17</v>
      </c>
      <c r="C18" s="44">
        <f>2+1+1+1</f>
        <v>5</v>
      </c>
      <c r="D18" s="49">
        <v>5605.25</v>
      </c>
    </row>
    <row r="19" spans="1:12">
      <c r="A19" s="44"/>
      <c r="B19" s="48" t="s">
        <v>18</v>
      </c>
      <c r="C19" s="44">
        <f>1+1</f>
        <v>2</v>
      </c>
      <c r="D19" s="49">
        <v>194130.65</v>
      </c>
    </row>
    <row r="20" spans="1:12">
      <c r="A20" s="161">
        <v>9</v>
      </c>
      <c r="B20" s="160" t="s">
        <v>19</v>
      </c>
      <c r="C20" s="161"/>
      <c r="D20" s="162"/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642</v>
      </c>
      <c r="D22" s="47">
        <v>774877.8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12</v>
      </c>
      <c r="D23" s="47">
        <v>17662.25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7</v>
      </c>
      <c r="D26" s="47">
        <v>14704.75</v>
      </c>
    </row>
    <row r="27" spans="1:12">
      <c r="A27" s="46"/>
      <c r="B27" s="45" t="s">
        <v>26</v>
      </c>
      <c r="C27" s="46">
        <v>3</v>
      </c>
      <c r="D27" s="47">
        <v>1899.25</v>
      </c>
      <c r="E27" s="173">
        <f>SUM(D22:D27)</f>
        <v>809144.05</v>
      </c>
    </row>
    <row r="28" spans="1:12">
      <c r="A28" s="46">
        <v>11</v>
      </c>
      <c r="B28" s="271" t="s">
        <v>270</v>
      </c>
      <c r="C28" s="46">
        <v>26</v>
      </c>
      <c r="D28" s="47">
        <v>862996.33</v>
      </c>
      <c r="E28" s="173"/>
    </row>
    <row r="29" spans="1:12">
      <c r="A29" s="46"/>
      <c r="B29" s="272" t="s">
        <v>267</v>
      </c>
      <c r="C29" s="46">
        <v>3</v>
      </c>
      <c r="D29" s="47">
        <v>725753.17</v>
      </c>
      <c r="E29" s="173"/>
    </row>
    <row r="30" spans="1:12">
      <c r="A30" s="46"/>
      <c r="B30" s="271" t="s">
        <v>266</v>
      </c>
      <c r="C30" s="46">
        <v>1</v>
      </c>
      <c r="D30" s="47">
        <v>35573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>
        <v>1</v>
      </c>
      <c r="D32" s="47">
        <v>25216.54</v>
      </c>
      <c r="E32" s="173">
        <f>SUM(D28:D32)</f>
        <v>1649539.04</v>
      </c>
    </row>
    <row r="33" spans="1:13">
      <c r="A33" s="50">
        <v>12</v>
      </c>
      <c r="B33" s="258" t="s">
        <v>69</v>
      </c>
      <c r="C33" s="50">
        <v>874</v>
      </c>
      <c r="D33" s="52">
        <v>1112166.07</v>
      </c>
    </row>
    <row r="34" spans="1:13">
      <c r="A34" s="50"/>
      <c r="B34" s="258" t="s">
        <v>256</v>
      </c>
      <c r="C34" s="50">
        <v>318</v>
      </c>
      <c r="D34" s="52">
        <v>529573.55000000005</v>
      </c>
    </row>
    <row r="35" spans="1:13">
      <c r="A35" s="50"/>
      <c r="B35" s="258" t="s">
        <v>72</v>
      </c>
      <c r="C35" s="50">
        <v>20</v>
      </c>
      <c r="D35" s="52">
        <v>28076.86</v>
      </c>
    </row>
    <row r="36" spans="1:13">
      <c r="A36" s="50"/>
      <c r="B36" s="258" t="s">
        <v>257</v>
      </c>
      <c r="C36" s="50">
        <v>246</v>
      </c>
      <c r="D36" s="52">
        <v>342527.99</v>
      </c>
    </row>
    <row r="37" spans="1:13">
      <c r="A37" s="50"/>
      <c r="B37" s="258" t="s">
        <v>258</v>
      </c>
      <c r="C37" s="50">
        <v>32</v>
      </c>
      <c r="D37" s="52">
        <v>1838</v>
      </c>
    </row>
    <row r="38" spans="1:13">
      <c r="A38" s="50">
        <v>13</v>
      </c>
      <c r="B38" s="258" t="s">
        <v>259</v>
      </c>
      <c r="C38" s="50">
        <v>32</v>
      </c>
      <c r="D38" s="52">
        <v>1251111.17</v>
      </c>
      <c r="E38" s="276">
        <f>SUM(D33:D38)</f>
        <v>3265293.64</v>
      </c>
    </row>
    <row r="39" spans="1:13">
      <c r="A39" s="50"/>
      <c r="B39" s="258" t="s">
        <v>260</v>
      </c>
      <c r="C39" s="50">
        <v>25</v>
      </c>
      <c r="D39" s="52">
        <v>1717552.71</v>
      </c>
    </row>
    <row r="40" spans="1:13">
      <c r="A40" s="50"/>
      <c r="B40" s="258" t="s">
        <v>261</v>
      </c>
      <c r="C40" s="50">
        <v>2</v>
      </c>
      <c r="D40" s="52">
        <v>40984.47</v>
      </c>
    </row>
    <row r="41" spans="1:13">
      <c r="A41" s="50"/>
      <c r="B41" s="258" t="s">
        <v>262</v>
      </c>
      <c r="C41" s="50">
        <v>18</v>
      </c>
      <c r="D41" s="52">
        <v>1219605.82</v>
      </c>
    </row>
    <row r="42" spans="1:13">
      <c r="A42" s="50"/>
      <c r="B42" s="269" t="s">
        <v>263</v>
      </c>
      <c r="C42" s="50">
        <v>3</v>
      </c>
      <c r="D42" s="52">
        <v>71301.25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4300555.42</v>
      </c>
    </row>
    <row r="45" spans="1:13">
      <c r="A45" s="46">
        <v>14</v>
      </c>
      <c r="B45" s="45" t="s">
        <v>36</v>
      </c>
      <c r="C45" s="46">
        <v>83</v>
      </c>
      <c r="D45" s="47">
        <v>84567.75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2</v>
      </c>
      <c r="D46" s="47">
        <v>410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3</v>
      </c>
      <c r="D47" s="47">
        <v>95133.19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1</v>
      </c>
      <c r="D49" s="47">
        <v>387010.5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>
        <v>1</v>
      </c>
      <c r="D50" s="52">
        <v>190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/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19</v>
      </c>
      <c r="D53" s="47">
        <v>7623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39+15</f>
        <v>54</v>
      </c>
      <c r="D54" s="52">
        <f>25295+8341</f>
        <v>33636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38</v>
      </c>
      <c r="D55" s="47">
        <v>25183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2</v>
      </c>
      <c r="D56" s="150">
        <v>48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1</v>
      </c>
      <c r="D57" s="47">
        <v>917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11428044.970000003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1"/>
  <sheetViews>
    <sheetView topLeftCell="A13" workbookViewId="0">
      <selection activeCell="D20" sqref="D20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7.453125" style="40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283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46</v>
      </c>
      <c r="D6" s="49">
        <v>201880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13</v>
      </c>
      <c r="D9" s="49">
        <v>2011182.78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11</v>
      </c>
      <c r="D12" s="49">
        <v>8111.5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2</v>
      </c>
      <c r="D14" s="49">
        <v>97963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f>13+1+1</f>
        <v>15</v>
      </c>
      <c r="D16" s="47">
        <v>23759.75</v>
      </c>
    </row>
    <row r="17" spans="1:12">
      <c r="A17" s="46"/>
      <c r="B17" s="45" t="s">
        <v>16</v>
      </c>
      <c r="C17" s="46">
        <v>2</v>
      </c>
      <c r="D17" s="47">
        <v>50020.05</v>
      </c>
    </row>
    <row r="18" spans="1:12">
      <c r="A18" s="44">
        <v>8</v>
      </c>
      <c r="B18" s="48" t="s">
        <v>17</v>
      </c>
      <c r="C18" s="50">
        <f>3+1+1</f>
        <v>5</v>
      </c>
      <c r="D18" s="52">
        <v>236441.60000000001</v>
      </c>
    </row>
    <row r="19" spans="1:12">
      <c r="A19" s="44"/>
      <c r="B19" s="48" t="s">
        <v>18</v>
      </c>
      <c r="C19" s="44">
        <f>1+1+1+1+1</f>
        <v>5</v>
      </c>
      <c r="D19" s="49">
        <v>89096</v>
      </c>
    </row>
    <row r="20" spans="1:12">
      <c r="A20" s="161">
        <v>9</v>
      </c>
      <c r="B20" s="160" t="s">
        <v>19</v>
      </c>
      <c r="C20" s="161"/>
      <c r="D20" s="162"/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185</v>
      </c>
      <c r="D22" s="47">
        <v>226607</v>
      </c>
      <c r="F22" s="117"/>
      <c r="H22" s="117"/>
      <c r="J22" s="117"/>
      <c r="L22" s="120"/>
    </row>
    <row r="23" spans="1:12">
      <c r="A23" s="46"/>
      <c r="B23" s="45" t="s">
        <v>22</v>
      </c>
      <c r="C23" s="46"/>
      <c r="D23" s="47"/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/>
      <c r="D26" s="47"/>
    </row>
    <row r="27" spans="1:12">
      <c r="A27" s="46"/>
      <c r="B27" s="45" t="s">
        <v>26</v>
      </c>
      <c r="C27" s="46"/>
      <c r="D27" s="47"/>
      <c r="E27" s="173">
        <f>SUM(D22:D27)</f>
        <v>226607</v>
      </c>
    </row>
    <row r="28" spans="1:12">
      <c r="A28" s="46">
        <v>11</v>
      </c>
      <c r="B28" s="271" t="s">
        <v>270</v>
      </c>
      <c r="C28" s="46">
        <v>19</v>
      </c>
      <c r="D28" s="47">
        <v>1344580.41</v>
      </c>
      <c r="E28" s="173"/>
    </row>
    <row r="29" spans="1:12">
      <c r="A29" s="46"/>
      <c r="B29" s="272" t="s">
        <v>267</v>
      </c>
      <c r="C29" s="46">
        <v>2</v>
      </c>
      <c r="D29" s="47">
        <v>73593.25</v>
      </c>
      <c r="E29" s="173"/>
    </row>
    <row r="30" spans="1:12">
      <c r="A30" s="46"/>
      <c r="B30" s="271" t="s">
        <v>266</v>
      </c>
      <c r="C30" s="46">
        <v>1</v>
      </c>
      <c r="D30" s="47">
        <v>11461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1429634.66</v>
      </c>
    </row>
    <row r="33" spans="1:13">
      <c r="A33" s="50">
        <v>12</v>
      </c>
      <c r="B33" s="258" t="s">
        <v>69</v>
      </c>
      <c r="C33" s="50">
        <v>174</v>
      </c>
      <c r="D33" s="52">
        <v>244067.75</v>
      </c>
      <c r="E33" s="276"/>
    </row>
    <row r="34" spans="1:13">
      <c r="A34" s="50"/>
      <c r="B34" s="258" t="s">
        <v>256</v>
      </c>
      <c r="C34" s="50">
        <v>42</v>
      </c>
      <c r="D34" s="52">
        <v>61069</v>
      </c>
    </row>
    <row r="35" spans="1:13">
      <c r="A35" s="50"/>
      <c r="B35" s="258" t="s">
        <v>72</v>
      </c>
      <c r="C35" s="50">
        <v>7</v>
      </c>
      <c r="D35" s="52">
        <v>19832</v>
      </c>
    </row>
    <row r="36" spans="1:13">
      <c r="A36" s="50"/>
      <c r="B36" s="258" t="s">
        <v>257</v>
      </c>
      <c r="C36" s="50">
        <v>58</v>
      </c>
      <c r="D36" s="52">
        <v>56114.25</v>
      </c>
    </row>
    <row r="37" spans="1:13">
      <c r="A37" s="50"/>
      <c r="B37" s="258" t="s">
        <v>258</v>
      </c>
      <c r="C37" s="50"/>
      <c r="D37" s="52"/>
      <c r="E37" s="276">
        <f>SUM(D33:D37)</f>
        <v>381083</v>
      </c>
    </row>
    <row r="38" spans="1:13">
      <c r="A38" s="50">
        <v>13</v>
      </c>
      <c r="B38" s="258" t="s">
        <v>259</v>
      </c>
      <c r="C38" s="50">
        <v>41</v>
      </c>
      <c r="D38" s="52">
        <v>1898325.61</v>
      </c>
    </row>
    <row r="39" spans="1:13">
      <c r="A39" s="50"/>
      <c r="B39" s="258" t="s">
        <v>260</v>
      </c>
      <c r="C39" s="50">
        <v>22</v>
      </c>
      <c r="D39" s="52">
        <v>1157793.43</v>
      </c>
    </row>
    <row r="40" spans="1:13">
      <c r="A40" s="50"/>
      <c r="B40" s="258" t="s">
        <v>261</v>
      </c>
      <c r="C40" s="50">
        <v>1</v>
      </c>
      <c r="D40" s="52">
        <v>63156.5</v>
      </c>
    </row>
    <row r="41" spans="1:13">
      <c r="A41" s="50"/>
      <c r="B41" s="258" t="s">
        <v>262</v>
      </c>
      <c r="C41" s="50">
        <v>16</v>
      </c>
      <c r="D41" s="52">
        <v>1334709.92</v>
      </c>
    </row>
    <row r="42" spans="1:13">
      <c r="A42" s="50"/>
      <c r="B42" s="269" t="s">
        <v>263</v>
      </c>
      <c r="C42" s="50">
        <v>4</v>
      </c>
      <c r="D42" s="52">
        <v>36374.25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4490359.71</v>
      </c>
    </row>
    <row r="45" spans="1:13">
      <c r="A45" s="46">
        <v>14</v>
      </c>
      <c r="B45" s="45" t="s">
        <v>36</v>
      </c>
      <c r="C45" s="46">
        <v>9</v>
      </c>
      <c r="D45" s="47">
        <v>7652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/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2</v>
      </c>
      <c r="D47" s="47">
        <v>133925.53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3</v>
      </c>
      <c r="D49" s="47">
        <v>27459.5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5</v>
      </c>
      <c r="D53" s="47">
        <v>2048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5+7</f>
        <v>12</v>
      </c>
      <c r="D54" s="52">
        <f>1551+2120</f>
        <v>3671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7</v>
      </c>
      <c r="D55" s="47">
        <v>3169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1</v>
      </c>
      <c r="D56" s="150">
        <v>223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2</v>
      </c>
      <c r="D57" s="47">
        <v>715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9425002.0800000001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61"/>
  <sheetViews>
    <sheetView workbookViewId="0">
      <selection activeCell="D19" sqref="D19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7.453125" style="40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284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127</v>
      </c>
      <c r="D6" s="49">
        <v>258386.09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4</v>
      </c>
      <c r="D9" s="49">
        <v>119707.28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3</v>
      </c>
      <c r="D12" s="49">
        <v>2595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1</v>
      </c>
      <c r="D14" s="49">
        <v>18868.54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10</v>
      </c>
      <c r="D16" s="47">
        <v>10755</v>
      </c>
    </row>
    <row r="17" spans="1:12">
      <c r="A17" s="46"/>
      <c r="B17" s="45" t="s">
        <v>16</v>
      </c>
      <c r="C17" s="46">
        <v>3</v>
      </c>
      <c r="D17" s="47">
        <v>61025.29</v>
      </c>
    </row>
    <row r="18" spans="1:12">
      <c r="A18" s="44">
        <v>8</v>
      </c>
      <c r="B18" s="48" t="s">
        <v>17</v>
      </c>
      <c r="C18" s="161">
        <f>1+1</f>
        <v>2</v>
      </c>
      <c r="D18" s="162">
        <v>99126.25</v>
      </c>
    </row>
    <row r="19" spans="1:12">
      <c r="A19" s="44"/>
      <c r="B19" s="48" t="s">
        <v>18</v>
      </c>
      <c r="C19" s="161"/>
      <c r="D19" s="162"/>
    </row>
    <row r="20" spans="1:12">
      <c r="A20" s="161">
        <v>9</v>
      </c>
      <c r="B20" s="160" t="s">
        <v>19</v>
      </c>
      <c r="C20" s="161"/>
      <c r="D20" s="162"/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137</v>
      </c>
      <c r="D22" s="47">
        <v>133636.25</v>
      </c>
      <c r="F22" s="117"/>
      <c r="H22" s="117"/>
      <c r="J22" s="117"/>
      <c r="L22" s="120"/>
    </row>
    <row r="23" spans="1:12">
      <c r="A23" s="46"/>
      <c r="B23" s="45" t="s">
        <v>22</v>
      </c>
      <c r="C23" s="46"/>
      <c r="D23" s="47"/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/>
      <c r="D26" s="47"/>
    </row>
    <row r="27" spans="1:12">
      <c r="A27" s="46"/>
      <c r="B27" s="45" t="s">
        <v>26</v>
      </c>
      <c r="C27" s="46"/>
      <c r="D27" s="47"/>
      <c r="E27" s="173">
        <f>SUM(D22:D27)</f>
        <v>133636.25</v>
      </c>
    </row>
    <row r="28" spans="1:12">
      <c r="A28" s="46">
        <v>11</v>
      </c>
      <c r="B28" s="271" t="s">
        <v>270</v>
      </c>
      <c r="C28" s="46">
        <v>18</v>
      </c>
      <c r="D28" s="47">
        <v>1667736.13</v>
      </c>
      <c r="E28" s="173"/>
    </row>
    <row r="29" spans="1:12">
      <c r="A29" s="46"/>
      <c r="B29" s="272" t="s">
        <v>267</v>
      </c>
      <c r="C29" s="46">
        <v>1</v>
      </c>
      <c r="D29" s="47">
        <v>106301.5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1774037.63</v>
      </c>
    </row>
    <row r="33" spans="1:13">
      <c r="A33" s="50">
        <v>12</v>
      </c>
      <c r="B33" s="258" t="s">
        <v>69</v>
      </c>
      <c r="C33" s="50">
        <v>142</v>
      </c>
      <c r="D33" s="52">
        <v>124433.5</v>
      </c>
    </row>
    <row r="34" spans="1:13">
      <c r="A34" s="50"/>
      <c r="B34" s="258" t="s">
        <v>256</v>
      </c>
      <c r="C34" s="50">
        <v>34</v>
      </c>
      <c r="D34" s="52">
        <v>116071.5</v>
      </c>
    </row>
    <row r="35" spans="1:13">
      <c r="A35" s="50"/>
      <c r="B35" s="258" t="s">
        <v>72</v>
      </c>
      <c r="C35" s="50">
        <v>3</v>
      </c>
      <c r="D35" s="52">
        <v>1765</v>
      </c>
    </row>
    <row r="36" spans="1:13">
      <c r="A36" s="50"/>
      <c r="B36" s="258" t="s">
        <v>257</v>
      </c>
      <c r="C36" s="50">
        <v>58</v>
      </c>
      <c r="D36" s="52">
        <v>76640.25</v>
      </c>
    </row>
    <row r="37" spans="1:13">
      <c r="A37" s="50"/>
      <c r="B37" s="258" t="s">
        <v>258</v>
      </c>
      <c r="C37" s="50"/>
      <c r="D37" s="52"/>
      <c r="E37" s="276">
        <f>SUM(D33:D37)</f>
        <v>318910.25</v>
      </c>
    </row>
    <row r="38" spans="1:13">
      <c r="A38" s="50">
        <v>13</v>
      </c>
      <c r="B38" s="258" t="s">
        <v>259</v>
      </c>
      <c r="C38" s="50">
        <v>28</v>
      </c>
      <c r="D38" s="52">
        <v>1106423.51</v>
      </c>
    </row>
    <row r="39" spans="1:13">
      <c r="A39" s="50"/>
      <c r="B39" s="258" t="s">
        <v>260</v>
      </c>
      <c r="C39" s="50">
        <v>14</v>
      </c>
      <c r="D39" s="52">
        <v>493655.86</v>
      </c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>
        <v>14</v>
      </c>
      <c r="D41" s="52">
        <v>493544.22</v>
      </c>
    </row>
    <row r="42" spans="1:13">
      <c r="A42" s="50"/>
      <c r="B42" s="269" t="s">
        <v>263</v>
      </c>
      <c r="C42" s="50">
        <v>3</v>
      </c>
      <c r="D42" s="52">
        <v>33857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2127480.59</v>
      </c>
    </row>
    <row r="45" spans="1:13">
      <c r="A45" s="46">
        <v>14</v>
      </c>
      <c r="B45" s="45" t="s">
        <v>36</v>
      </c>
      <c r="C45" s="46">
        <v>17</v>
      </c>
      <c r="D45" s="47">
        <v>11894.5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4</v>
      </c>
      <c r="D47" s="47">
        <v>140694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1</v>
      </c>
      <c r="D48" s="47">
        <v>106401.72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1</v>
      </c>
      <c r="D49" s="47">
        <v>94487.5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/>
      <c r="D53" s="47"/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/>
      <c r="D54" s="52"/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/>
      <c r="D55" s="47"/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/>
      <c r="D56" s="150"/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5278005.8899999997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1"/>
  <sheetViews>
    <sheetView topLeftCell="A7" workbookViewId="0">
      <selection activeCell="D20" sqref="D20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285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384</v>
      </c>
      <c r="D6" s="49">
        <v>1297943.49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6</v>
      </c>
      <c r="D9" s="49">
        <v>395076.87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57</v>
      </c>
      <c r="D12" s="49">
        <v>194220.5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2</v>
      </c>
      <c r="D14" s="49">
        <v>19090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23</v>
      </c>
      <c r="D16" s="47">
        <v>20087</v>
      </c>
    </row>
    <row r="17" spans="1:12">
      <c r="A17" s="46"/>
      <c r="B17" s="45" t="s">
        <v>16</v>
      </c>
      <c r="C17" s="46">
        <v>2</v>
      </c>
      <c r="D17" s="47">
        <v>36617.5</v>
      </c>
    </row>
    <row r="18" spans="1:12">
      <c r="A18" s="44">
        <v>8</v>
      </c>
      <c r="B18" s="48" t="s">
        <v>17</v>
      </c>
      <c r="C18" s="50"/>
      <c r="D18" s="52"/>
    </row>
    <row r="19" spans="1:12">
      <c r="A19" s="44"/>
      <c r="B19" s="48" t="s">
        <v>18</v>
      </c>
      <c r="C19" s="50">
        <f>2+1+1</f>
        <v>4</v>
      </c>
      <c r="D19" s="52">
        <v>3809.75</v>
      </c>
    </row>
    <row r="20" spans="1:12">
      <c r="A20" s="161">
        <v>9</v>
      </c>
      <c r="B20" s="160" t="s">
        <v>19</v>
      </c>
      <c r="C20" s="161">
        <v>22</v>
      </c>
      <c r="D20" s="162">
        <v>180409.49</v>
      </c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782</v>
      </c>
      <c r="D22" s="47">
        <v>978100.91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18</v>
      </c>
      <c r="D23" s="47">
        <v>13612.5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/>
      <c r="D26" s="47"/>
    </row>
    <row r="27" spans="1:12">
      <c r="A27" s="46"/>
      <c r="B27" s="45" t="s">
        <v>26</v>
      </c>
      <c r="C27" s="46">
        <v>2</v>
      </c>
      <c r="D27" s="47">
        <v>1726.5</v>
      </c>
      <c r="E27" s="173">
        <f>SUM(D22:D27)</f>
        <v>993439.91</v>
      </c>
    </row>
    <row r="28" spans="1:12">
      <c r="A28" s="46">
        <v>11</v>
      </c>
      <c r="B28" s="271" t="s">
        <v>270</v>
      </c>
      <c r="C28" s="46">
        <v>16</v>
      </c>
      <c r="D28" s="47">
        <v>771498.1</v>
      </c>
      <c r="E28" s="173"/>
    </row>
    <row r="29" spans="1:12">
      <c r="A29" s="46"/>
      <c r="B29" s="272" t="s">
        <v>267</v>
      </c>
      <c r="C29" s="46">
        <v>2</v>
      </c>
      <c r="D29" s="47">
        <v>32986.25</v>
      </c>
      <c r="E29" s="173"/>
    </row>
    <row r="30" spans="1:12">
      <c r="A30" s="46"/>
      <c r="B30" s="271" t="s">
        <v>266</v>
      </c>
      <c r="C30" s="46">
        <v>1</v>
      </c>
      <c r="D30" s="47">
        <v>20123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824607.35</v>
      </c>
    </row>
    <row r="33" spans="1:13">
      <c r="A33" s="50">
        <v>12</v>
      </c>
      <c r="B33" s="258" t="s">
        <v>69</v>
      </c>
      <c r="C33" s="50">
        <v>990</v>
      </c>
      <c r="D33" s="52">
        <v>1387628.48</v>
      </c>
    </row>
    <row r="34" spans="1:13">
      <c r="A34" s="50"/>
      <c r="B34" s="258" t="s">
        <v>256</v>
      </c>
      <c r="C34" s="50">
        <v>366</v>
      </c>
      <c r="D34" s="52">
        <v>570201.81000000006</v>
      </c>
    </row>
    <row r="35" spans="1:13">
      <c r="A35" s="50"/>
      <c r="B35" s="258" t="s">
        <v>72</v>
      </c>
      <c r="C35" s="50">
        <v>24</v>
      </c>
      <c r="D35" s="52">
        <v>61644.75</v>
      </c>
    </row>
    <row r="36" spans="1:13">
      <c r="A36" s="50"/>
      <c r="B36" s="258" t="s">
        <v>257</v>
      </c>
      <c r="C36" s="50">
        <v>261</v>
      </c>
      <c r="D36" s="52">
        <v>293437.86</v>
      </c>
    </row>
    <row r="37" spans="1:13">
      <c r="A37" s="50"/>
      <c r="B37" s="258" t="s">
        <v>258</v>
      </c>
      <c r="C37" s="50">
        <v>77</v>
      </c>
      <c r="D37" s="52">
        <v>7272.5</v>
      </c>
      <c r="E37" s="276">
        <f>SUM(D33:D37)</f>
        <v>2320185.4</v>
      </c>
    </row>
    <row r="38" spans="1:13">
      <c r="A38" s="50">
        <v>13</v>
      </c>
      <c r="B38" s="258" t="s">
        <v>259</v>
      </c>
      <c r="C38" s="50">
        <v>29</v>
      </c>
      <c r="D38" s="52">
        <v>1621478.16</v>
      </c>
    </row>
    <row r="39" spans="1:13">
      <c r="A39" s="50"/>
      <c r="B39" s="258" t="s">
        <v>260</v>
      </c>
      <c r="C39" s="50">
        <v>19</v>
      </c>
      <c r="D39" s="52">
        <v>783751.39</v>
      </c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>
        <v>14</v>
      </c>
      <c r="D41" s="52">
        <v>1915723.14</v>
      </c>
    </row>
    <row r="42" spans="1:13">
      <c r="A42" s="50"/>
      <c r="B42" s="269" t="s">
        <v>263</v>
      </c>
      <c r="C42" s="50">
        <v>11</v>
      </c>
      <c r="D42" s="52">
        <v>99323.5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>
        <v>1</v>
      </c>
      <c r="D44" s="52">
        <v>22944.720000000001</v>
      </c>
      <c r="E44" s="172">
        <f>SUM(D38:D44)</f>
        <v>4443220.9099999992</v>
      </c>
    </row>
    <row r="45" spans="1:13">
      <c r="A45" s="46">
        <v>14</v>
      </c>
      <c r="B45" s="45" t="s">
        <v>36</v>
      </c>
      <c r="C45" s="46">
        <v>89</v>
      </c>
      <c r="D45" s="47">
        <v>71145.87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6</v>
      </c>
      <c r="D46" s="47">
        <v>16377.49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3</v>
      </c>
      <c r="D47" s="47">
        <v>96036.27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2</v>
      </c>
      <c r="D48" s="47">
        <v>49020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1</v>
      </c>
      <c r="D49" s="47">
        <v>36193.25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>
        <v>1</v>
      </c>
      <c r="D52" s="126">
        <v>246629.84</v>
      </c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16</v>
      </c>
      <c r="D53" s="47">
        <v>3559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31+18</f>
        <v>49</v>
      </c>
      <c r="D54" s="52">
        <f>15747+8831</f>
        <v>24578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37</v>
      </c>
      <c r="D55" s="47">
        <v>18985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2</v>
      </c>
      <c r="D56" s="150">
        <v>450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8</v>
      </c>
      <c r="D57" s="47">
        <v>3289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2</v>
      </c>
      <c r="D58" s="47">
        <v>12750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11307721.890000001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1"/>
  <sheetViews>
    <sheetView topLeftCell="A13" workbookViewId="0">
      <selection activeCell="D20" sqref="D20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286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401</v>
      </c>
      <c r="D6" s="49">
        <v>996194.45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113" t="s">
        <v>9</v>
      </c>
      <c r="C9" s="44">
        <v>2</v>
      </c>
      <c r="D9" s="49">
        <v>39275.5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47</v>
      </c>
      <c r="D12" s="49">
        <v>148808.5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113" t="s">
        <v>13</v>
      </c>
      <c r="C14" s="44"/>
      <c r="D14" s="49"/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10</v>
      </c>
      <c r="D16" s="47">
        <v>24517.75</v>
      </c>
    </row>
    <row r="17" spans="1:12">
      <c r="A17" s="46"/>
      <c r="B17" s="45" t="s">
        <v>16</v>
      </c>
      <c r="C17" s="46">
        <f>1+2</f>
        <v>3</v>
      </c>
      <c r="D17" s="47">
        <v>110000</v>
      </c>
    </row>
    <row r="18" spans="1:12">
      <c r="A18" s="44">
        <v>8</v>
      </c>
      <c r="B18" s="113" t="s">
        <v>17</v>
      </c>
      <c r="C18" s="44">
        <f>1+19+1</f>
        <v>21</v>
      </c>
      <c r="D18" s="49">
        <v>115636.25</v>
      </c>
    </row>
    <row r="19" spans="1:12">
      <c r="A19" s="44"/>
      <c r="B19" s="48" t="s">
        <v>18</v>
      </c>
      <c r="C19" s="44">
        <f>1+1+6</f>
        <v>8</v>
      </c>
      <c r="D19" s="49">
        <v>1427767.17</v>
      </c>
    </row>
    <row r="20" spans="1:12">
      <c r="A20" s="161">
        <v>9</v>
      </c>
      <c r="B20" s="160" t="s">
        <v>19</v>
      </c>
      <c r="C20" s="161">
        <v>44</v>
      </c>
      <c r="D20" s="162">
        <v>168326.84</v>
      </c>
    </row>
    <row r="21" spans="1:12">
      <c r="A21" s="161"/>
      <c r="B21" s="160" t="s">
        <v>20</v>
      </c>
      <c r="C21" s="161">
        <v>12</v>
      </c>
      <c r="D21" s="162">
        <v>366945.81</v>
      </c>
    </row>
    <row r="22" spans="1:12" s="51" customFormat="1">
      <c r="A22" s="46">
        <v>10</v>
      </c>
      <c r="B22" s="45" t="s">
        <v>21</v>
      </c>
      <c r="C22" s="46">
        <v>712</v>
      </c>
      <c r="D22" s="47">
        <v>838568.94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23</v>
      </c>
      <c r="D23" s="47">
        <v>61550.25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4</v>
      </c>
      <c r="D26" s="47">
        <v>5847.5</v>
      </c>
    </row>
    <row r="27" spans="1:12">
      <c r="A27" s="46"/>
      <c r="B27" s="45" t="s">
        <v>26</v>
      </c>
      <c r="C27" s="46">
        <v>4</v>
      </c>
      <c r="D27" s="47">
        <v>1560</v>
      </c>
      <c r="E27" s="173">
        <f>SUM(D22:D27)</f>
        <v>907526.69</v>
      </c>
    </row>
    <row r="28" spans="1:12">
      <c r="A28" s="46">
        <v>11</v>
      </c>
      <c r="B28" s="271" t="s">
        <v>270</v>
      </c>
      <c r="C28" s="46">
        <v>23</v>
      </c>
      <c r="D28" s="47">
        <v>852919.58</v>
      </c>
      <c r="E28" s="173"/>
    </row>
    <row r="29" spans="1:12">
      <c r="A29" s="46"/>
      <c r="B29" s="272" t="s">
        <v>267</v>
      </c>
      <c r="C29" s="46">
        <v>2</v>
      </c>
      <c r="D29" s="47">
        <v>127695.47</v>
      </c>
      <c r="E29" s="173"/>
    </row>
    <row r="30" spans="1:12">
      <c r="A30" s="46"/>
      <c r="B30" s="271" t="s">
        <v>266</v>
      </c>
      <c r="C30" s="46">
        <v>1</v>
      </c>
      <c r="D30" s="47">
        <v>30908.47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1011523.5199999999</v>
      </c>
    </row>
    <row r="33" spans="1:13">
      <c r="A33" s="50">
        <v>12</v>
      </c>
      <c r="B33" s="258" t="s">
        <v>69</v>
      </c>
      <c r="C33" s="50">
        <v>956</v>
      </c>
      <c r="D33" s="52">
        <v>1241451.93</v>
      </c>
    </row>
    <row r="34" spans="1:13">
      <c r="A34" s="50"/>
      <c r="B34" s="258" t="s">
        <v>256</v>
      </c>
      <c r="C34" s="50">
        <v>374</v>
      </c>
      <c r="D34" s="52">
        <v>638330.56999999995</v>
      </c>
    </row>
    <row r="35" spans="1:13">
      <c r="A35" s="50"/>
      <c r="B35" s="258" t="s">
        <v>72</v>
      </c>
      <c r="C35" s="50">
        <v>21</v>
      </c>
      <c r="D35" s="52">
        <v>16419.990000000002</v>
      </c>
    </row>
    <row r="36" spans="1:13">
      <c r="A36" s="50"/>
      <c r="B36" s="258" t="s">
        <v>257</v>
      </c>
      <c r="C36" s="50">
        <v>254</v>
      </c>
      <c r="D36" s="52">
        <v>344016.35</v>
      </c>
    </row>
    <row r="37" spans="1:13">
      <c r="A37" s="50"/>
      <c r="B37" s="258" t="s">
        <v>258</v>
      </c>
      <c r="C37" s="50">
        <v>34</v>
      </c>
      <c r="D37" s="52">
        <v>9643</v>
      </c>
      <c r="E37" s="276">
        <f>SUM(D33:D37)</f>
        <v>2249861.84</v>
      </c>
    </row>
    <row r="38" spans="1:13">
      <c r="A38" s="50">
        <v>13</v>
      </c>
      <c r="B38" s="258" t="s">
        <v>259</v>
      </c>
      <c r="C38" s="50">
        <v>45</v>
      </c>
      <c r="D38" s="52">
        <v>1777126.92</v>
      </c>
    </row>
    <row r="39" spans="1:13">
      <c r="A39" s="50"/>
      <c r="B39" s="258" t="s">
        <v>260</v>
      </c>
      <c r="C39" s="50">
        <v>25</v>
      </c>
      <c r="D39" s="52">
        <v>1147823.49</v>
      </c>
    </row>
    <row r="40" spans="1:13">
      <c r="A40" s="50"/>
      <c r="B40" s="258" t="s">
        <v>261</v>
      </c>
      <c r="C40" s="50">
        <v>2</v>
      </c>
      <c r="D40" s="52">
        <v>65669.25</v>
      </c>
    </row>
    <row r="41" spans="1:13">
      <c r="A41" s="50"/>
      <c r="B41" s="258" t="s">
        <v>262</v>
      </c>
      <c r="C41" s="50">
        <v>19</v>
      </c>
      <c r="D41" s="52">
        <v>753466.3</v>
      </c>
    </row>
    <row r="42" spans="1:13">
      <c r="A42" s="50"/>
      <c r="B42" s="269" t="s">
        <v>263</v>
      </c>
      <c r="C42" s="50">
        <v>3</v>
      </c>
      <c r="D42" s="52">
        <v>39470.5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3783556.46</v>
      </c>
    </row>
    <row r="45" spans="1:13">
      <c r="A45" s="46">
        <v>14</v>
      </c>
      <c r="B45" s="45" t="s">
        <v>36</v>
      </c>
      <c r="C45" s="46">
        <v>92</v>
      </c>
      <c r="D45" s="47">
        <v>93009.87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3</v>
      </c>
      <c r="D46" s="47">
        <v>7111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2</v>
      </c>
      <c r="D47" s="47">
        <v>39553.199999999997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1</v>
      </c>
      <c r="D48" s="47">
        <v>11700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/>
      <c r="D49" s="47"/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>
        <v>1</v>
      </c>
      <c r="D50" s="52">
        <v>130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/>
      <c r="I51" s="72"/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27</v>
      </c>
      <c r="D53" s="47">
        <v>15855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65+25</f>
        <v>90</v>
      </c>
      <c r="D54" s="52">
        <f>50222+21734</f>
        <v>71956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33</v>
      </c>
      <c r="D55" s="47">
        <v>18828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2</v>
      </c>
      <c r="D56" s="150">
        <v>666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5</v>
      </c>
      <c r="D57" s="47">
        <v>3142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1</v>
      </c>
      <c r="D58" s="47">
        <v>3337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/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1"/>
  <sheetViews>
    <sheetView topLeftCell="A43" workbookViewId="0">
      <selection activeCell="D55" sqref="D55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1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287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344</v>
      </c>
      <c r="D6" s="49">
        <v>1017542.35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18</v>
      </c>
      <c r="D9" s="49">
        <v>606366.98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59</v>
      </c>
      <c r="D12" s="49">
        <v>221222.5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3</v>
      </c>
      <c r="D14" s="49">
        <v>29935.54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f>11+1+1</f>
        <v>13</v>
      </c>
      <c r="D16" s="47">
        <v>24679.25</v>
      </c>
    </row>
    <row r="17" spans="1:12">
      <c r="A17" s="46"/>
      <c r="B17" s="45" t="s">
        <v>16</v>
      </c>
      <c r="C17" s="46">
        <f>1+1+1</f>
        <v>3</v>
      </c>
      <c r="D17" s="47">
        <v>118398.25</v>
      </c>
    </row>
    <row r="18" spans="1:12">
      <c r="A18" s="44">
        <v>8</v>
      </c>
      <c r="B18" s="48" t="s">
        <v>17</v>
      </c>
      <c r="C18" s="44">
        <f>1+1</f>
        <v>2</v>
      </c>
      <c r="D18" s="49">
        <v>1111</v>
      </c>
    </row>
    <row r="19" spans="1:12">
      <c r="A19" s="44"/>
      <c r="B19" s="48" t="s">
        <v>18</v>
      </c>
      <c r="C19" s="44">
        <f>1+1</f>
        <v>2</v>
      </c>
      <c r="D19" s="49">
        <v>128417.54</v>
      </c>
    </row>
    <row r="20" spans="1:12">
      <c r="A20" s="161">
        <v>9</v>
      </c>
      <c r="B20" s="160" t="s">
        <v>19</v>
      </c>
      <c r="C20" s="161">
        <v>6</v>
      </c>
      <c r="D20" s="162">
        <v>41760</v>
      </c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686</v>
      </c>
      <c r="D22" s="47">
        <v>983400.33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16</v>
      </c>
      <c r="D23" s="47">
        <v>31911.1</v>
      </c>
    </row>
    <row r="24" spans="1:12">
      <c r="A24" s="46"/>
      <c r="B24" s="45" t="s">
        <v>23</v>
      </c>
      <c r="C24" s="46">
        <v>36</v>
      </c>
      <c r="D24" s="47"/>
    </row>
    <row r="25" spans="1:12">
      <c r="A25" s="46"/>
      <c r="B25" s="45" t="s">
        <v>24</v>
      </c>
      <c r="C25" s="46">
        <v>2</v>
      </c>
      <c r="D25" s="47"/>
    </row>
    <row r="26" spans="1:12">
      <c r="A26" s="46"/>
      <c r="B26" s="45" t="s">
        <v>25</v>
      </c>
      <c r="C26" s="46"/>
      <c r="D26" s="47">
        <v>18964</v>
      </c>
    </row>
    <row r="27" spans="1:12">
      <c r="A27" s="46"/>
      <c r="B27" s="45" t="s">
        <v>26</v>
      </c>
      <c r="C27" s="46"/>
      <c r="D27" s="47">
        <v>706.5</v>
      </c>
      <c r="E27" s="173">
        <f>SUM(D22:D27)</f>
        <v>1034981.9299999999</v>
      </c>
    </row>
    <row r="28" spans="1:12">
      <c r="A28" s="46">
        <v>11</v>
      </c>
      <c r="B28" s="271" t="s">
        <v>270</v>
      </c>
      <c r="C28" s="46">
        <v>24</v>
      </c>
      <c r="D28" s="47">
        <v>698918.18</v>
      </c>
      <c r="E28" s="173"/>
    </row>
    <row r="29" spans="1:12">
      <c r="A29" s="46"/>
      <c r="B29" s="272" t="s">
        <v>267</v>
      </c>
      <c r="C29" s="46">
        <v>1</v>
      </c>
      <c r="D29" s="47">
        <v>23367.5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722285.68</v>
      </c>
    </row>
    <row r="33" spans="1:13">
      <c r="A33" s="50">
        <v>12</v>
      </c>
      <c r="B33" s="258" t="s">
        <v>69</v>
      </c>
      <c r="C33" s="50">
        <v>931</v>
      </c>
      <c r="D33" s="52">
        <v>1462710.2</v>
      </c>
    </row>
    <row r="34" spans="1:13">
      <c r="A34" s="50"/>
      <c r="B34" s="258" t="s">
        <v>256</v>
      </c>
      <c r="C34" s="50">
        <v>324</v>
      </c>
      <c r="D34" s="52">
        <v>611267.23</v>
      </c>
    </row>
    <row r="35" spans="1:13">
      <c r="A35" s="50"/>
      <c r="B35" s="258" t="s">
        <v>72</v>
      </c>
      <c r="C35" s="50">
        <v>20</v>
      </c>
      <c r="D35" s="52">
        <v>26275.5</v>
      </c>
    </row>
    <row r="36" spans="1:13">
      <c r="A36" s="50"/>
      <c r="B36" s="258" t="s">
        <v>257</v>
      </c>
      <c r="C36" s="50">
        <v>237</v>
      </c>
      <c r="D36" s="52">
        <v>373718.22</v>
      </c>
    </row>
    <row r="37" spans="1:13">
      <c r="A37" s="50"/>
      <c r="B37" s="258" t="s">
        <v>258</v>
      </c>
      <c r="C37" s="50">
        <v>39</v>
      </c>
      <c r="D37" s="52">
        <v>585</v>
      </c>
      <c r="E37" s="276">
        <f>SUM(D33:D37)</f>
        <v>2474556.1499999994</v>
      </c>
    </row>
    <row r="38" spans="1:13">
      <c r="A38" s="50">
        <v>13</v>
      </c>
      <c r="B38" s="258" t="s">
        <v>259</v>
      </c>
      <c r="C38" s="50">
        <v>47</v>
      </c>
      <c r="D38" s="52">
        <v>2927898.45</v>
      </c>
    </row>
    <row r="39" spans="1:13">
      <c r="A39" s="50"/>
      <c r="B39" s="258" t="s">
        <v>260</v>
      </c>
      <c r="C39" s="50">
        <v>21</v>
      </c>
      <c r="D39" s="52">
        <v>966376.92</v>
      </c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>
        <v>19</v>
      </c>
      <c r="D41" s="52">
        <v>1372885.92</v>
      </c>
    </row>
    <row r="42" spans="1:13">
      <c r="A42" s="50"/>
      <c r="B42" s="269" t="s">
        <v>263</v>
      </c>
      <c r="C42" s="50">
        <v>9</v>
      </c>
      <c r="D42" s="52">
        <v>162319.98000000001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5429481.2700000005</v>
      </c>
    </row>
    <row r="45" spans="1:13">
      <c r="A45" s="46">
        <v>14</v>
      </c>
      <c r="B45" s="45" t="s">
        <v>36</v>
      </c>
      <c r="C45" s="46">
        <v>66</v>
      </c>
      <c r="D45" s="47">
        <v>81143.86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2</v>
      </c>
      <c r="D47" s="47">
        <v>60038.5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1</v>
      </c>
      <c r="D48" s="47">
        <v>22317.5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1</v>
      </c>
      <c r="D49" s="47">
        <v>89453.75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15</v>
      </c>
      <c r="D53" s="47">
        <v>4028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33+26</f>
        <v>59</v>
      </c>
      <c r="D54" s="52">
        <f>13970+16328</f>
        <v>30298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31</v>
      </c>
      <c r="D55" s="47">
        <v>13811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1</v>
      </c>
      <c r="D56" s="150">
        <v>442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3</v>
      </c>
      <c r="D57" s="47">
        <v>742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1</v>
      </c>
      <c r="D58" s="47">
        <v>50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12153063.050000001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61"/>
  <sheetViews>
    <sheetView topLeftCell="A46" workbookViewId="0">
      <selection activeCell="D54" sqref="D54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288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386</v>
      </c>
      <c r="D6" s="49">
        <v>1108876.3500000001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16</v>
      </c>
      <c r="D9" s="49">
        <v>520167.66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62</v>
      </c>
      <c r="D12" s="49">
        <v>98994.25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2</v>
      </c>
      <c r="D14" s="49">
        <v>27436.75</v>
      </c>
    </row>
    <row r="15" spans="1:4">
      <c r="A15" s="44"/>
      <c r="B15" s="48" t="s">
        <v>14</v>
      </c>
      <c r="C15" s="44">
        <v>2</v>
      </c>
      <c r="D15" s="49">
        <v>12192</v>
      </c>
    </row>
    <row r="16" spans="1:4">
      <c r="A16" s="46">
        <v>7</v>
      </c>
      <c r="B16" s="45" t="s">
        <v>15</v>
      </c>
      <c r="C16" s="46">
        <f>9+1</f>
        <v>10</v>
      </c>
      <c r="D16" s="47">
        <v>12590.25</v>
      </c>
    </row>
    <row r="17" spans="1:12">
      <c r="A17" s="46"/>
      <c r="B17" s="45" t="s">
        <v>16</v>
      </c>
      <c r="C17" s="46">
        <v>3</v>
      </c>
      <c r="D17" s="47">
        <v>68207</v>
      </c>
    </row>
    <row r="18" spans="1:12">
      <c r="A18" s="44">
        <v>8</v>
      </c>
      <c r="B18" s="48" t="s">
        <v>17</v>
      </c>
      <c r="C18" s="44">
        <f>1+1+1</f>
        <v>3</v>
      </c>
      <c r="D18" s="49">
        <v>2200</v>
      </c>
    </row>
    <row r="19" spans="1:12">
      <c r="A19" s="44"/>
      <c r="B19" s="48" t="s">
        <v>18</v>
      </c>
      <c r="C19" s="44">
        <f>1+1</f>
        <v>2</v>
      </c>
      <c r="D19" s="49">
        <v>35649.25</v>
      </c>
    </row>
    <row r="20" spans="1:12">
      <c r="A20" s="161">
        <v>9</v>
      </c>
      <c r="B20" s="160" t="s">
        <v>19</v>
      </c>
      <c r="C20" s="161"/>
      <c r="D20" s="162"/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691</v>
      </c>
      <c r="D22" s="47">
        <v>936833.08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8</v>
      </c>
      <c r="D23" s="47">
        <v>6565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8</v>
      </c>
      <c r="D26" s="47">
        <v>6296</v>
      </c>
    </row>
    <row r="27" spans="1:12">
      <c r="A27" s="46"/>
      <c r="B27" s="45" t="s">
        <v>26</v>
      </c>
      <c r="C27" s="46">
        <v>3</v>
      </c>
      <c r="D27" s="47">
        <v>944.5</v>
      </c>
      <c r="E27" s="173">
        <f>SUM(D22:D27)</f>
        <v>950638.58</v>
      </c>
    </row>
    <row r="28" spans="1:12">
      <c r="A28" s="46">
        <v>11</v>
      </c>
      <c r="B28" s="271" t="s">
        <v>270</v>
      </c>
      <c r="C28" s="46">
        <v>21</v>
      </c>
      <c r="D28" s="47">
        <v>642768.02</v>
      </c>
      <c r="E28" s="173"/>
    </row>
    <row r="29" spans="1:12">
      <c r="A29" s="46"/>
      <c r="B29" s="272" t="s">
        <v>267</v>
      </c>
      <c r="C29" s="46">
        <v>1</v>
      </c>
      <c r="D29" s="47">
        <v>81201.25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723969.27</v>
      </c>
    </row>
    <row r="33" spans="1:13">
      <c r="A33" s="50">
        <v>12</v>
      </c>
      <c r="B33" s="258" t="s">
        <v>69</v>
      </c>
      <c r="C33" s="50">
        <v>973</v>
      </c>
      <c r="D33" s="52">
        <v>1366664.06</v>
      </c>
    </row>
    <row r="34" spans="1:13">
      <c r="A34" s="50"/>
      <c r="B34" s="258" t="s">
        <v>256</v>
      </c>
      <c r="C34" s="50">
        <v>342</v>
      </c>
      <c r="D34" s="52">
        <v>658466.92000000004</v>
      </c>
    </row>
    <row r="35" spans="1:13">
      <c r="A35" s="50"/>
      <c r="B35" s="258" t="s">
        <v>72</v>
      </c>
      <c r="C35" s="50">
        <v>24</v>
      </c>
      <c r="D35" s="52">
        <v>67903</v>
      </c>
    </row>
    <row r="36" spans="1:13">
      <c r="A36" s="50"/>
      <c r="B36" s="258" t="s">
        <v>257</v>
      </c>
      <c r="C36" s="50">
        <v>250</v>
      </c>
      <c r="D36" s="52">
        <v>417374.86</v>
      </c>
    </row>
    <row r="37" spans="1:13">
      <c r="A37" s="50"/>
      <c r="B37" s="258" t="s">
        <v>258</v>
      </c>
      <c r="C37" s="50">
        <v>50</v>
      </c>
      <c r="D37" s="52">
        <v>2430</v>
      </c>
      <c r="E37" s="276">
        <f>SUM(D33:D37)</f>
        <v>2512838.84</v>
      </c>
    </row>
    <row r="38" spans="1:13">
      <c r="A38" s="50">
        <v>13</v>
      </c>
      <c r="B38" s="258" t="s">
        <v>259</v>
      </c>
      <c r="C38" s="50">
        <v>50</v>
      </c>
      <c r="D38" s="52">
        <v>1960123.87</v>
      </c>
    </row>
    <row r="39" spans="1:13">
      <c r="A39" s="50"/>
      <c r="B39" s="258" t="s">
        <v>260</v>
      </c>
      <c r="C39" s="50">
        <v>33</v>
      </c>
      <c r="D39" s="52">
        <v>1601905.36</v>
      </c>
    </row>
    <row r="40" spans="1:13">
      <c r="A40" s="50"/>
      <c r="B40" s="258" t="s">
        <v>261</v>
      </c>
      <c r="C40" s="50">
        <v>1</v>
      </c>
      <c r="D40" s="52">
        <v>24780.54</v>
      </c>
    </row>
    <row r="41" spans="1:13">
      <c r="A41" s="50"/>
      <c r="B41" s="258" t="s">
        <v>262</v>
      </c>
      <c r="C41" s="50">
        <v>20</v>
      </c>
      <c r="D41" s="52">
        <v>1304515.0900000001</v>
      </c>
    </row>
    <row r="42" spans="1:13">
      <c r="A42" s="50"/>
      <c r="B42" s="269" t="s">
        <v>263</v>
      </c>
      <c r="C42" s="50">
        <v>5</v>
      </c>
      <c r="D42" s="52">
        <v>74526.75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4965851.6100000003</v>
      </c>
    </row>
    <row r="45" spans="1:13">
      <c r="A45" s="46">
        <v>14</v>
      </c>
      <c r="B45" s="45" t="s">
        <v>36</v>
      </c>
      <c r="C45" s="46">
        <v>70</v>
      </c>
      <c r="D45" s="47">
        <v>90666.33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1</v>
      </c>
      <c r="D47" s="47">
        <v>22980.13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1</v>
      </c>
      <c r="D48" s="47">
        <v>17435.28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2</v>
      </c>
      <c r="D49" s="47">
        <v>128628.69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/>
      <c r="M51" s="72"/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20</v>
      </c>
      <c r="D53" s="47">
        <v>13401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73+22</f>
        <v>95</v>
      </c>
      <c r="D54" s="52">
        <f>52734+13288</f>
        <v>66022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41</v>
      </c>
      <c r="D55" s="47">
        <v>25841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2</v>
      </c>
      <c r="D56" s="150">
        <v>500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2</v>
      </c>
      <c r="D57" s="47">
        <v>434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11405520.239999998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1"/>
  <sheetViews>
    <sheetView topLeftCell="A13" workbookViewId="0">
      <selection activeCell="D20" sqref="D20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289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389</v>
      </c>
      <c r="D6" s="49">
        <v>986978.24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11</v>
      </c>
      <c r="D9" s="49">
        <v>511836.05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43</v>
      </c>
      <c r="D12" s="49">
        <v>101994.75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2</v>
      </c>
      <c r="D14" s="49">
        <v>27597.75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f>20+1+2+1</f>
        <v>24</v>
      </c>
      <c r="D16" s="47">
        <v>31367.5</v>
      </c>
    </row>
    <row r="17" spans="1:12">
      <c r="A17" s="46"/>
      <c r="B17" s="45" t="s">
        <v>16</v>
      </c>
      <c r="C17" s="46">
        <v>3</v>
      </c>
      <c r="D17" s="47">
        <v>52150</v>
      </c>
    </row>
    <row r="18" spans="1:12">
      <c r="A18" s="44">
        <v>8</v>
      </c>
      <c r="B18" s="48" t="s">
        <v>17</v>
      </c>
      <c r="C18" s="44">
        <f>1+1+1+2+1</f>
        <v>6</v>
      </c>
      <c r="D18" s="49">
        <v>15872.46</v>
      </c>
    </row>
    <row r="19" spans="1:12">
      <c r="A19" s="44"/>
      <c r="B19" s="48" t="s">
        <v>18</v>
      </c>
      <c r="C19" s="44">
        <f>2+1</f>
        <v>3</v>
      </c>
      <c r="D19" s="49">
        <v>263533.25</v>
      </c>
    </row>
    <row r="20" spans="1:12">
      <c r="A20" s="161">
        <v>9</v>
      </c>
      <c r="B20" s="160" t="s">
        <v>19</v>
      </c>
      <c r="C20" s="161"/>
      <c r="D20" s="162"/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644</v>
      </c>
      <c r="D22" s="47">
        <v>730131.14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13</v>
      </c>
      <c r="D23" s="47">
        <v>15900.5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7</v>
      </c>
      <c r="D26" s="47">
        <v>3360</v>
      </c>
    </row>
    <row r="27" spans="1:12">
      <c r="A27" s="46"/>
      <c r="B27" s="45" t="s">
        <v>26</v>
      </c>
      <c r="C27" s="46">
        <v>6</v>
      </c>
      <c r="D27" s="47">
        <v>6848.25</v>
      </c>
      <c r="E27" s="173">
        <f>SUM(D22:D27)</f>
        <v>756239.89</v>
      </c>
    </row>
    <row r="28" spans="1:12">
      <c r="A28" s="46">
        <v>11</v>
      </c>
      <c r="B28" s="271" t="s">
        <v>270</v>
      </c>
      <c r="C28" s="46">
        <v>20</v>
      </c>
      <c r="D28" s="47">
        <v>718547.52</v>
      </c>
      <c r="E28" s="173"/>
    </row>
    <row r="29" spans="1:12">
      <c r="A29" s="46"/>
      <c r="B29" s="272" t="s">
        <v>267</v>
      </c>
      <c r="C29" s="46">
        <v>2</v>
      </c>
      <c r="D29" s="47">
        <v>86994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805541.52</v>
      </c>
    </row>
    <row r="33" spans="1:13">
      <c r="A33" s="50">
        <v>12</v>
      </c>
      <c r="B33" s="258" t="s">
        <v>69</v>
      </c>
      <c r="C33" s="50">
        <v>828</v>
      </c>
      <c r="D33" s="52">
        <v>1122964.57</v>
      </c>
    </row>
    <row r="34" spans="1:13">
      <c r="A34" s="50"/>
      <c r="B34" s="258" t="s">
        <v>256</v>
      </c>
      <c r="C34" s="50">
        <v>282</v>
      </c>
      <c r="D34" s="52">
        <v>412806.98</v>
      </c>
    </row>
    <row r="35" spans="1:13">
      <c r="A35" s="50"/>
      <c r="B35" s="258" t="s">
        <v>72</v>
      </c>
      <c r="C35" s="50">
        <v>18</v>
      </c>
      <c r="D35" s="52">
        <v>55226.61</v>
      </c>
    </row>
    <row r="36" spans="1:13">
      <c r="A36" s="50"/>
      <c r="B36" s="258" t="s">
        <v>257</v>
      </c>
      <c r="C36" s="50">
        <v>216</v>
      </c>
      <c r="D36" s="52">
        <v>263328.25</v>
      </c>
    </row>
    <row r="37" spans="1:13">
      <c r="A37" s="50"/>
      <c r="B37" s="258" t="s">
        <v>258</v>
      </c>
      <c r="C37" s="50">
        <v>48</v>
      </c>
      <c r="D37" s="52">
        <v>4718</v>
      </c>
      <c r="E37" s="276">
        <f>SUM(D33:D37)</f>
        <v>1859044.4100000001</v>
      </c>
    </row>
    <row r="38" spans="1:13">
      <c r="A38" s="50">
        <v>13</v>
      </c>
      <c r="B38" s="258" t="s">
        <v>259</v>
      </c>
      <c r="C38" s="50">
        <v>45</v>
      </c>
      <c r="D38" s="52">
        <v>1446952.05</v>
      </c>
    </row>
    <row r="39" spans="1:13">
      <c r="A39" s="50"/>
      <c r="B39" s="258" t="s">
        <v>260</v>
      </c>
      <c r="C39" s="50">
        <v>27</v>
      </c>
      <c r="D39" s="52">
        <v>1509485.77</v>
      </c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>
        <v>16</v>
      </c>
      <c r="D41" s="52">
        <v>869365.35</v>
      </c>
    </row>
    <row r="42" spans="1:13">
      <c r="A42" s="50"/>
      <c r="B42" s="269" t="s">
        <v>263</v>
      </c>
      <c r="C42" s="50">
        <v>7</v>
      </c>
      <c r="D42" s="52">
        <v>422138.5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4247941.67</v>
      </c>
    </row>
    <row r="45" spans="1:13">
      <c r="A45" s="46">
        <v>14</v>
      </c>
      <c r="B45" s="45" t="s">
        <v>36</v>
      </c>
      <c r="C45" s="46">
        <v>83</v>
      </c>
      <c r="D45" s="47">
        <v>92454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5</v>
      </c>
      <c r="D47" s="47">
        <v>80854.78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1</v>
      </c>
      <c r="D49" s="47">
        <v>16750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>
        <v>1</v>
      </c>
      <c r="D50" s="52">
        <v>1313.5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18</v>
      </c>
      <c r="D53" s="47">
        <v>7605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38+19</f>
        <v>57</v>
      </c>
      <c r="D54" s="52">
        <f>33010+10940</f>
        <v>43950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32</v>
      </c>
      <c r="D55" s="47">
        <v>20545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4</v>
      </c>
      <c r="D56" s="150">
        <v>1014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2</v>
      </c>
      <c r="D57" s="47">
        <v>834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1</v>
      </c>
      <c r="D58" s="47">
        <v>913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9926330.7699999996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61"/>
  <sheetViews>
    <sheetView topLeftCell="A10" workbookViewId="0">
      <selection activeCell="D20" sqref="D20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7.453125" style="40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290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30</v>
      </c>
      <c r="D6" s="49">
        <v>110870.75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4</v>
      </c>
      <c r="D9" s="49">
        <v>97675.5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8</v>
      </c>
      <c r="D12" s="49">
        <v>11465.25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2</v>
      </c>
      <c r="D14" s="49">
        <v>18074.75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f>10+1</f>
        <v>11</v>
      </c>
      <c r="D16" s="47">
        <v>33764.199999999997</v>
      </c>
    </row>
    <row r="17" spans="1:12">
      <c r="A17" s="46"/>
      <c r="B17" s="45" t="s">
        <v>16</v>
      </c>
      <c r="C17" s="46">
        <v>1</v>
      </c>
      <c r="D17" s="47">
        <v>18635</v>
      </c>
    </row>
    <row r="18" spans="1:12">
      <c r="A18" s="44">
        <v>8</v>
      </c>
      <c r="B18" s="48" t="s">
        <v>17</v>
      </c>
      <c r="C18" s="44">
        <f>1+1+1+1</f>
        <v>4</v>
      </c>
      <c r="D18" s="49">
        <v>6342</v>
      </c>
    </row>
    <row r="19" spans="1:12">
      <c r="A19" s="44"/>
      <c r="B19" s="48" t="s">
        <v>18</v>
      </c>
      <c r="C19" s="44">
        <v>1</v>
      </c>
      <c r="D19" s="49">
        <v>58909.97</v>
      </c>
    </row>
    <row r="20" spans="1:12">
      <c r="A20" s="161">
        <v>9</v>
      </c>
      <c r="B20" s="160" t="s">
        <v>19</v>
      </c>
      <c r="C20" s="161"/>
      <c r="D20" s="162"/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140</v>
      </c>
      <c r="D22" s="47">
        <v>80634.75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</v>
      </c>
      <c r="D23" s="47">
        <v>8150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/>
      <c r="D26" s="47"/>
    </row>
    <row r="27" spans="1:12">
      <c r="A27" s="46"/>
      <c r="B27" s="45" t="s">
        <v>26</v>
      </c>
      <c r="C27" s="46">
        <v>1</v>
      </c>
      <c r="D27" s="47">
        <v>510</v>
      </c>
      <c r="E27" s="173">
        <f>SUM(D22:D27)</f>
        <v>89294.75</v>
      </c>
    </row>
    <row r="28" spans="1:12">
      <c r="A28" s="46">
        <v>11</v>
      </c>
      <c r="B28" s="271" t="s">
        <v>270</v>
      </c>
      <c r="C28" s="46">
        <v>16</v>
      </c>
      <c r="D28" s="47">
        <v>1426684.08</v>
      </c>
      <c r="E28" s="173"/>
    </row>
    <row r="29" spans="1:12">
      <c r="A29" s="46"/>
      <c r="B29" s="272" t="s">
        <v>267</v>
      </c>
      <c r="C29" s="46">
        <v>1</v>
      </c>
      <c r="D29" s="47">
        <v>49087.25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1475771.33</v>
      </c>
    </row>
    <row r="33" spans="1:13">
      <c r="A33" s="50">
        <v>12</v>
      </c>
      <c r="B33" s="258" t="s">
        <v>69</v>
      </c>
      <c r="C33" s="50">
        <v>144</v>
      </c>
      <c r="D33" s="52">
        <v>228290</v>
      </c>
    </row>
    <row r="34" spans="1:13">
      <c r="A34" s="50"/>
      <c r="B34" s="258" t="s">
        <v>256</v>
      </c>
      <c r="C34" s="50">
        <v>39</v>
      </c>
      <c r="D34" s="52">
        <v>106269.5</v>
      </c>
    </row>
    <row r="35" spans="1:13">
      <c r="A35" s="50"/>
      <c r="B35" s="258" t="s">
        <v>72</v>
      </c>
      <c r="C35" s="50">
        <v>6</v>
      </c>
      <c r="D35" s="52">
        <v>14794.5</v>
      </c>
    </row>
    <row r="36" spans="1:13">
      <c r="A36" s="50"/>
      <c r="B36" s="258" t="s">
        <v>257</v>
      </c>
      <c r="C36" s="50">
        <v>53</v>
      </c>
      <c r="D36" s="52">
        <v>96479.25</v>
      </c>
    </row>
    <row r="37" spans="1:13">
      <c r="A37" s="50"/>
      <c r="B37" s="258" t="s">
        <v>258</v>
      </c>
      <c r="C37" s="50"/>
      <c r="D37" s="52"/>
      <c r="E37" s="276">
        <f>SUM(D33:D37)</f>
        <v>445833.25</v>
      </c>
    </row>
    <row r="38" spans="1:13">
      <c r="A38" s="50">
        <v>13</v>
      </c>
      <c r="B38" s="258" t="s">
        <v>259</v>
      </c>
      <c r="C38" s="50">
        <v>29</v>
      </c>
      <c r="D38" s="52">
        <v>1711422.97</v>
      </c>
    </row>
    <row r="39" spans="1:13">
      <c r="A39" s="50"/>
      <c r="B39" s="258" t="s">
        <v>260</v>
      </c>
      <c r="C39" s="50">
        <v>11</v>
      </c>
      <c r="D39" s="52">
        <v>385144.25</v>
      </c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>
        <v>22</v>
      </c>
      <c r="D41" s="52">
        <v>931177.85</v>
      </c>
    </row>
    <row r="42" spans="1:13">
      <c r="A42" s="50"/>
      <c r="B42" s="269" t="s">
        <v>263</v>
      </c>
      <c r="C42" s="50">
        <v>9</v>
      </c>
      <c r="D42" s="52">
        <v>230003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3257748.07</v>
      </c>
    </row>
    <row r="45" spans="1:13">
      <c r="A45" s="46">
        <v>14</v>
      </c>
      <c r="B45" s="45" t="s">
        <v>36</v>
      </c>
      <c r="C45" s="46">
        <v>14</v>
      </c>
      <c r="D45" s="47">
        <v>31920.5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2</v>
      </c>
      <c r="D47" s="47">
        <v>80430.429999999993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2</v>
      </c>
      <c r="D48" s="47">
        <v>46814.07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2</v>
      </c>
      <c r="D49" s="47">
        <v>20911.25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</v>
      </c>
      <c r="D53" s="47">
        <v>157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6+4</f>
        <v>10</v>
      </c>
      <c r="D54" s="52">
        <f>2386+993</f>
        <v>3379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4</v>
      </c>
      <c r="D55" s="47">
        <v>1378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/>
      <c r="D56" s="150"/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1</v>
      </c>
      <c r="D57" s="47">
        <v>388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5809763.0699999994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61"/>
  <sheetViews>
    <sheetView workbookViewId="0">
      <selection activeCell="D20" sqref="D20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7.453125" style="40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291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130</v>
      </c>
      <c r="D6" s="49">
        <v>170846.61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5</v>
      </c>
      <c r="D9" s="49">
        <v>355525.54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3</v>
      </c>
      <c r="D12" s="49">
        <v>1080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3</v>
      </c>
      <c r="D14" s="49">
        <v>211667.87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8</v>
      </c>
      <c r="D16" s="47">
        <v>10921.75</v>
      </c>
    </row>
    <row r="17" spans="1:12">
      <c r="A17" s="46"/>
      <c r="B17" s="45" t="s">
        <v>16</v>
      </c>
      <c r="C17" s="46">
        <v>2</v>
      </c>
      <c r="D17" s="47">
        <v>36471.75</v>
      </c>
    </row>
    <row r="18" spans="1:12">
      <c r="A18" s="44">
        <v>8</v>
      </c>
      <c r="B18" s="48" t="s">
        <v>17</v>
      </c>
      <c r="C18" s="44">
        <v>1</v>
      </c>
      <c r="D18" s="49">
        <v>1250</v>
      </c>
    </row>
    <row r="19" spans="1:12">
      <c r="A19" s="44"/>
      <c r="B19" s="48" t="s">
        <v>18</v>
      </c>
      <c r="C19" s="44">
        <v>1</v>
      </c>
      <c r="D19" s="49">
        <v>42362.75</v>
      </c>
    </row>
    <row r="20" spans="1:12">
      <c r="A20" s="161">
        <v>9</v>
      </c>
      <c r="B20" s="160" t="s">
        <v>19</v>
      </c>
      <c r="C20" s="161"/>
      <c r="D20" s="162"/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115</v>
      </c>
      <c r="D22" s="47">
        <v>110851.5</v>
      </c>
      <c r="F22" s="117"/>
      <c r="H22" s="117"/>
      <c r="J22" s="117"/>
      <c r="L22" s="120"/>
    </row>
    <row r="23" spans="1:12">
      <c r="A23" s="46"/>
      <c r="B23" s="45" t="s">
        <v>22</v>
      </c>
      <c r="C23" s="46"/>
      <c r="D23" s="47"/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/>
      <c r="D26" s="47"/>
    </row>
    <row r="27" spans="1:12">
      <c r="A27" s="46"/>
      <c r="B27" s="45" t="s">
        <v>26</v>
      </c>
      <c r="C27" s="46"/>
      <c r="D27" s="47"/>
      <c r="E27" s="173">
        <f>SUM(D22:D27)</f>
        <v>110851.5</v>
      </c>
    </row>
    <row r="28" spans="1:12">
      <c r="A28" s="46">
        <v>11</v>
      </c>
      <c r="B28" s="271" t="s">
        <v>270</v>
      </c>
      <c r="C28" s="46">
        <v>21</v>
      </c>
      <c r="D28" s="47">
        <v>632274.63</v>
      </c>
      <c r="E28" s="173"/>
    </row>
    <row r="29" spans="1:12">
      <c r="A29" s="46"/>
      <c r="B29" s="272" t="s">
        <v>267</v>
      </c>
      <c r="C29" s="46">
        <v>1</v>
      </c>
      <c r="D29" s="47">
        <v>69711.289999999994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155</v>
      </c>
      <c r="D33" s="52">
        <v>205904.75</v>
      </c>
    </row>
    <row r="34" spans="1:13">
      <c r="A34" s="50"/>
      <c r="B34" s="258" t="s">
        <v>256</v>
      </c>
      <c r="C34" s="50">
        <v>28</v>
      </c>
      <c r="D34" s="52">
        <v>55080.75</v>
      </c>
    </row>
    <row r="35" spans="1:13">
      <c r="A35" s="50"/>
      <c r="B35" s="258" t="s">
        <v>72</v>
      </c>
      <c r="C35" s="50">
        <v>2</v>
      </c>
      <c r="D35" s="52">
        <v>1319</v>
      </c>
    </row>
    <row r="36" spans="1:13">
      <c r="A36" s="50"/>
      <c r="B36" s="258" t="s">
        <v>257</v>
      </c>
      <c r="C36" s="50">
        <v>47</v>
      </c>
      <c r="D36" s="52">
        <v>37130</v>
      </c>
    </row>
    <row r="37" spans="1:13">
      <c r="A37" s="50"/>
      <c r="B37" s="258" t="s">
        <v>258</v>
      </c>
      <c r="C37" s="50"/>
      <c r="D37" s="52"/>
    </row>
    <row r="38" spans="1:13">
      <c r="A38" s="50">
        <v>13</v>
      </c>
      <c r="B38" s="258" t="s">
        <v>259</v>
      </c>
      <c r="C38" s="50">
        <v>20</v>
      </c>
      <c r="D38" s="52">
        <v>1068711.01</v>
      </c>
    </row>
    <row r="39" spans="1:13">
      <c r="A39" s="50"/>
      <c r="B39" s="258" t="s">
        <v>260</v>
      </c>
      <c r="C39" s="50">
        <v>9</v>
      </c>
      <c r="D39" s="52">
        <v>346250.2</v>
      </c>
    </row>
    <row r="40" spans="1:13">
      <c r="A40" s="50"/>
      <c r="B40" s="258" t="s">
        <v>261</v>
      </c>
      <c r="C40" s="50">
        <v>1</v>
      </c>
      <c r="D40" s="52">
        <v>10467.120000000001</v>
      </c>
    </row>
    <row r="41" spans="1:13">
      <c r="A41" s="50"/>
      <c r="B41" s="258" t="s">
        <v>262</v>
      </c>
      <c r="C41" s="50">
        <v>15</v>
      </c>
      <c r="D41" s="52">
        <v>765619.56</v>
      </c>
    </row>
    <row r="42" spans="1:13">
      <c r="A42" s="50"/>
      <c r="B42" s="269" t="s">
        <v>263</v>
      </c>
      <c r="C42" s="50">
        <v>5</v>
      </c>
      <c r="D42" s="52">
        <v>21966.25</v>
      </c>
      <c r="E42" s="172">
        <f>SUM(D33:D42)</f>
        <v>2512448.64</v>
      </c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/>
    </row>
    <row r="45" spans="1:13">
      <c r="A45" s="46">
        <v>14</v>
      </c>
      <c r="B45" s="45" t="s">
        <v>36</v>
      </c>
      <c r="C45" s="46">
        <v>22</v>
      </c>
      <c r="D45" s="47">
        <v>24216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1</v>
      </c>
      <c r="D46" s="47">
        <v>13120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7</v>
      </c>
      <c r="D47" s="47">
        <v>169483.83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1</v>
      </c>
      <c r="D48" s="47">
        <v>84226.5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/>
      <c r="D49" s="47"/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/>
      <c r="D53" s="47"/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/>
      <c r="D54" s="52"/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/>
      <c r="D55" s="47"/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/>
      <c r="D56" s="150"/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4446458.66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61"/>
  <sheetViews>
    <sheetView topLeftCell="A10" workbookViewId="0">
      <selection activeCell="D19" sqref="D19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292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263</v>
      </c>
      <c r="D6" s="49">
        <v>1018355.86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6</v>
      </c>
      <c r="D9" s="49">
        <v>601392.47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47</v>
      </c>
      <c r="D12" s="49">
        <v>99846.75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1</v>
      </c>
      <c r="D14" s="49">
        <v>13183.5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f>10+1</f>
        <v>11</v>
      </c>
      <c r="D16" s="47">
        <v>28001.25</v>
      </c>
    </row>
    <row r="17" spans="1:12">
      <c r="A17" s="46"/>
      <c r="B17" s="45" t="s">
        <v>16</v>
      </c>
      <c r="C17" s="46">
        <f>1+2+1</f>
        <v>4</v>
      </c>
      <c r="D17" s="47">
        <v>151340</v>
      </c>
    </row>
    <row r="18" spans="1:12">
      <c r="A18" s="44">
        <v>8</v>
      </c>
      <c r="B18" s="48" t="s">
        <v>17</v>
      </c>
      <c r="C18" s="44">
        <f>1+1+1+1</f>
        <v>4</v>
      </c>
      <c r="D18" s="49">
        <v>4080.5</v>
      </c>
    </row>
    <row r="19" spans="1:12">
      <c r="A19" s="44"/>
      <c r="B19" s="48" t="s">
        <v>18</v>
      </c>
      <c r="C19" s="44"/>
      <c r="D19" s="49"/>
    </row>
    <row r="20" spans="1:12">
      <c r="A20" s="161">
        <v>9</v>
      </c>
      <c r="B20" s="160" t="s">
        <v>19</v>
      </c>
      <c r="C20" s="161">
        <v>23</v>
      </c>
      <c r="D20" s="162">
        <v>44650</v>
      </c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653</v>
      </c>
      <c r="D22" s="47">
        <v>821070.08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16</v>
      </c>
      <c r="D23" s="47">
        <v>43878.25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85</v>
      </c>
      <c r="D26" s="47">
        <v>50550</v>
      </c>
    </row>
    <row r="27" spans="1:12">
      <c r="A27" s="46"/>
      <c r="B27" s="45" t="s">
        <v>26</v>
      </c>
      <c r="C27" s="46">
        <v>2</v>
      </c>
      <c r="D27" s="47">
        <v>930</v>
      </c>
      <c r="E27" s="173">
        <f>SUM(D22:D27)</f>
        <v>916428.33</v>
      </c>
    </row>
    <row r="28" spans="1:12">
      <c r="A28" s="46">
        <v>11</v>
      </c>
      <c r="B28" s="271" t="s">
        <v>270</v>
      </c>
      <c r="C28" s="46">
        <v>20</v>
      </c>
      <c r="D28" s="47">
        <v>494504.48</v>
      </c>
      <c r="E28" s="173"/>
    </row>
    <row r="29" spans="1:12">
      <c r="A29" s="46"/>
      <c r="B29" s="272" t="s">
        <v>267</v>
      </c>
      <c r="C29" s="46"/>
      <c r="D29" s="47"/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1007</v>
      </c>
      <c r="D33" s="52">
        <v>1440432.35</v>
      </c>
    </row>
    <row r="34" spans="1:13">
      <c r="A34" s="50"/>
      <c r="B34" s="258" t="s">
        <v>256</v>
      </c>
      <c r="C34" s="50">
        <v>321</v>
      </c>
      <c r="D34" s="52">
        <v>609629.16</v>
      </c>
    </row>
    <row r="35" spans="1:13">
      <c r="A35" s="50"/>
      <c r="B35" s="258" t="s">
        <v>72</v>
      </c>
      <c r="C35" s="50">
        <v>18</v>
      </c>
      <c r="D35" s="52">
        <v>28028</v>
      </c>
    </row>
    <row r="36" spans="1:13">
      <c r="A36" s="50"/>
      <c r="B36" s="258" t="s">
        <v>257</v>
      </c>
      <c r="C36" s="50">
        <v>264</v>
      </c>
      <c r="D36" s="52">
        <v>327272.09999999998</v>
      </c>
    </row>
    <row r="37" spans="1:13">
      <c r="A37" s="50"/>
      <c r="B37" s="258" t="s">
        <v>258</v>
      </c>
      <c r="C37" s="50">
        <v>47</v>
      </c>
      <c r="D37" s="52">
        <v>2693</v>
      </c>
      <c r="E37" s="276">
        <f>SUM(D33:D37)</f>
        <v>2408054.6100000003</v>
      </c>
    </row>
    <row r="38" spans="1:13">
      <c r="A38" s="50">
        <v>13</v>
      </c>
      <c r="B38" s="258" t="s">
        <v>259</v>
      </c>
      <c r="C38" s="50">
        <v>31</v>
      </c>
      <c r="D38" s="52">
        <v>1340010.8600000001</v>
      </c>
    </row>
    <row r="39" spans="1:13">
      <c r="A39" s="50"/>
      <c r="B39" s="258" t="s">
        <v>260</v>
      </c>
      <c r="C39" s="50">
        <v>17</v>
      </c>
      <c r="D39" s="52">
        <v>846031.64</v>
      </c>
    </row>
    <row r="40" spans="1:13">
      <c r="A40" s="50"/>
      <c r="B40" s="258" t="s">
        <v>261</v>
      </c>
      <c r="C40" s="50">
        <v>1</v>
      </c>
      <c r="D40" s="52">
        <v>37954.75</v>
      </c>
    </row>
    <row r="41" spans="1:13">
      <c r="A41" s="50"/>
      <c r="B41" s="258" t="s">
        <v>262</v>
      </c>
      <c r="C41" s="50">
        <v>11</v>
      </c>
      <c r="D41" s="52">
        <v>781156.11</v>
      </c>
    </row>
    <row r="42" spans="1:13">
      <c r="A42" s="50"/>
      <c r="B42" s="269" t="s">
        <v>263</v>
      </c>
      <c r="C42" s="50">
        <v>7</v>
      </c>
      <c r="D42" s="52">
        <v>340052.25</v>
      </c>
      <c r="E42" s="172">
        <f>SUM(D38:D42)</f>
        <v>3345205.61</v>
      </c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/>
    </row>
    <row r="45" spans="1:13">
      <c r="A45" s="46">
        <v>14</v>
      </c>
      <c r="B45" s="45" t="s">
        <v>36</v>
      </c>
      <c r="C45" s="46">
        <v>97</v>
      </c>
      <c r="D45" s="47">
        <v>100236.37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1</v>
      </c>
      <c r="D46" s="47">
        <v>120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6</v>
      </c>
      <c r="D47" s="47">
        <v>223391.21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2</v>
      </c>
      <c r="D48" s="47">
        <v>115757.42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/>
      <c r="D49" s="47"/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>
        <v>3</v>
      </c>
      <c r="D50" s="52">
        <v>3250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12</v>
      </c>
      <c r="D53" s="47">
        <v>5443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43+17</f>
        <v>60</v>
      </c>
      <c r="D54" s="52">
        <f>24877+10648</f>
        <v>35525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37</v>
      </c>
      <c r="D55" s="47">
        <v>18123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2</v>
      </c>
      <c r="D56" s="150">
        <v>356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4</v>
      </c>
      <c r="D57" s="47">
        <v>1118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9628363.3599999994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61"/>
  <sheetViews>
    <sheetView workbookViewId="0">
      <selection activeCell="D20" sqref="D20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7.453125" style="40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293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409</v>
      </c>
      <c r="D6" s="49">
        <v>1274832.07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9</v>
      </c>
      <c r="D9" s="49">
        <v>274115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63</v>
      </c>
      <c r="D12" s="49">
        <v>152161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2</v>
      </c>
      <c r="D14" s="49">
        <v>710974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10</v>
      </c>
      <c r="D16" s="47">
        <v>25006.5</v>
      </c>
    </row>
    <row r="17" spans="1:12">
      <c r="A17" s="46"/>
      <c r="B17" s="45" t="s">
        <v>16</v>
      </c>
      <c r="C17" s="46">
        <v>2</v>
      </c>
      <c r="D17" s="47">
        <v>60000</v>
      </c>
    </row>
    <row r="18" spans="1:12">
      <c r="A18" s="44">
        <v>8</v>
      </c>
      <c r="B18" s="48" t="s">
        <v>17</v>
      </c>
      <c r="C18" s="44">
        <f>1+1+1+1</f>
        <v>4</v>
      </c>
      <c r="D18" s="49">
        <v>6302</v>
      </c>
    </row>
    <row r="19" spans="1:12">
      <c r="A19" s="44"/>
      <c r="B19" s="48" t="s">
        <v>18</v>
      </c>
      <c r="C19" s="44">
        <f>1+1+1+1</f>
        <v>4</v>
      </c>
      <c r="D19" s="49">
        <v>132534.75</v>
      </c>
    </row>
    <row r="20" spans="1:12">
      <c r="A20" s="161">
        <v>9</v>
      </c>
      <c r="B20" s="160" t="s">
        <v>19</v>
      </c>
      <c r="C20" s="161">
        <v>37</v>
      </c>
      <c r="D20" s="162">
        <v>619616.61</v>
      </c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704</v>
      </c>
      <c r="D22" s="47">
        <v>919973.33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13</v>
      </c>
      <c r="D23" s="47">
        <v>42419.86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15</v>
      </c>
      <c r="D26" s="47">
        <v>27495.5</v>
      </c>
    </row>
    <row r="27" spans="1:12">
      <c r="A27" s="46"/>
      <c r="B27" s="45" t="s">
        <v>26</v>
      </c>
      <c r="C27" s="46">
        <v>1</v>
      </c>
      <c r="D27" s="47">
        <v>201</v>
      </c>
      <c r="E27" s="173">
        <f>SUM(D22:D27)</f>
        <v>990089.69</v>
      </c>
    </row>
    <row r="28" spans="1:12">
      <c r="A28" s="46">
        <v>11</v>
      </c>
      <c r="B28" s="271" t="s">
        <v>270</v>
      </c>
      <c r="C28" s="46">
        <v>23</v>
      </c>
      <c r="D28" s="47">
        <v>958032.57</v>
      </c>
      <c r="E28" s="173"/>
    </row>
    <row r="29" spans="1:12">
      <c r="A29" s="46"/>
      <c r="B29" s="272" t="s">
        <v>267</v>
      </c>
      <c r="C29" s="46">
        <v>1</v>
      </c>
      <c r="D29" s="47">
        <v>14976.25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1016</v>
      </c>
      <c r="D33" s="52">
        <v>1353671.45</v>
      </c>
    </row>
    <row r="34" spans="1:13">
      <c r="A34" s="50"/>
      <c r="B34" s="258" t="s">
        <v>256</v>
      </c>
      <c r="C34" s="50">
        <v>346</v>
      </c>
      <c r="D34" s="52">
        <v>505068.73</v>
      </c>
    </row>
    <row r="35" spans="1:13">
      <c r="A35" s="50"/>
      <c r="B35" s="258" t="s">
        <v>72</v>
      </c>
      <c r="C35" s="50">
        <v>7</v>
      </c>
      <c r="D35" s="52">
        <v>13504.25</v>
      </c>
    </row>
    <row r="36" spans="1:13">
      <c r="A36" s="50"/>
      <c r="B36" s="258" t="s">
        <v>257</v>
      </c>
      <c r="C36" s="50">
        <v>259</v>
      </c>
      <c r="D36" s="52">
        <v>362966.34</v>
      </c>
    </row>
    <row r="37" spans="1:13">
      <c r="A37" s="50"/>
      <c r="B37" s="258" t="s">
        <v>258</v>
      </c>
      <c r="C37" s="50">
        <v>35</v>
      </c>
      <c r="D37" s="52">
        <v>10128</v>
      </c>
    </row>
    <row r="38" spans="1:13">
      <c r="A38" s="50">
        <v>13</v>
      </c>
      <c r="B38" s="258" t="s">
        <v>259</v>
      </c>
      <c r="C38" s="50">
        <v>46</v>
      </c>
      <c r="D38" s="52">
        <v>2202033.4900000002</v>
      </c>
    </row>
    <row r="39" spans="1:13">
      <c r="A39" s="50"/>
      <c r="B39" s="258" t="s">
        <v>260</v>
      </c>
      <c r="C39" s="50">
        <v>21</v>
      </c>
      <c r="D39" s="52">
        <v>1050913.02</v>
      </c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>
        <v>24</v>
      </c>
      <c r="D41" s="52">
        <v>953923.14</v>
      </c>
    </row>
    <row r="42" spans="1:13">
      <c r="A42" s="50"/>
      <c r="B42" s="269" t="s">
        <v>263</v>
      </c>
      <c r="C42" s="50">
        <v>7</v>
      </c>
      <c r="D42" s="52">
        <v>498216</v>
      </c>
      <c r="E42" s="172">
        <f>SUM(D33:D42)</f>
        <v>6950424.419999999</v>
      </c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/>
    </row>
    <row r="45" spans="1:13">
      <c r="A45" s="46">
        <v>14</v>
      </c>
      <c r="B45" s="45" t="s">
        <v>36</v>
      </c>
      <c r="C45" s="46">
        <v>70</v>
      </c>
      <c r="D45" s="47">
        <v>62525.61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9</v>
      </c>
      <c r="D47" s="47">
        <v>198739.97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2</v>
      </c>
      <c r="D48" s="47">
        <v>32818.53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1</v>
      </c>
      <c r="D49" s="47">
        <v>19574.919999999998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>
        <v>1</v>
      </c>
      <c r="D50" s="52">
        <v>1740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>
        <v>1</v>
      </c>
      <c r="D52" s="126">
        <v>29113</v>
      </c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25</v>
      </c>
      <c r="D53" s="47">
        <v>10263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79+22</f>
        <v>101</v>
      </c>
      <c r="D54" s="52">
        <f>63253+12572</f>
        <v>75825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37</v>
      </c>
      <c r="D55" s="47">
        <v>22015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2</v>
      </c>
      <c r="D56" s="150">
        <v>1104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4</v>
      </c>
      <c r="D57" s="47">
        <v>2032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2</v>
      </c>
      <c r="D58" s="47">
        <v>2408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12627223.890000001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61"/>
  <sheetViews>
    <sheetView topLeftCell="A52" workbookViewId="0">
      <selection activeCell="D59" sqref="D59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294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355</v>
      </c>
      <c r="D6" s="49">
        <v>1008976.24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11</v>
      </c>
      <c r="D9" s="49">
        <v>679335.82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55</v>
      </c>
      <c r="D12" s="49">
        <v>206032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/>
      <c r="D14" s="49"/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10</v>
      </c>
      <c r="D16" s="47">
        <v>21258.75</v>
      </c>
    </row>
    <row r="17" spans="1:12">
      <c r="A17" s="46"/>
      <c r="B17" s="45" t="s">
        <v>16</v>
      </c>
      <c r="C17" s="46">
        <v>7</v>
      </c>
      <c r="D17" s="47">
        <v>173062.25</v>
      </c>
    </row>
    <row r="18" spans="1:12">
      <c r="A18" s="44">
        <v>8</v>
      </c>
      <c r="B18" s="48" t="s">
        <v>17</v>
      </c>
      <c r="C18" s="44">
        <f>1+1</f>
        <v>2</v>
      </c>
      <c r="D18" s="49">
        <v>22713.5</v>
      </c>
    </row>
    <row r="19" spans="1:12">
      <c r="A19" s="44"/>
      <c r="B19" s="48" t="s">
        <v>18</v>
      </c>
      <c r="C19" s="44">
        <v>2</v>
      </c>
      <c r="D19" s="49">
        <v>130690</v>
      </c>
    </row>
    <row r="20" spans="1:12">
      <c r="A20" s="161">
        <v>9</v>
      </c>
      <c r="B20" s="160" t="s">
        <v>19</v>
      </c>
      <c r="C20" s="161"/>
      <c r="D20" s="162"/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710</v>
      </c>
      <c r="D22" s="47">
        <v>1041912.54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13</v>
      </c>
      <c r="D23" s="47">
        <v>30094.49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41</v>
      </c>
      <c r="D26" s="47">
        <v>25233</v>
      </c>
    </row>
    <row r="27" spans="1:12">
      <c r="A27" s="46"/>
      <c r="B27" s="45" t="s">
        <v>26</v>
      </c>
      <c r="C27" s="46">
        <v>1</v>
      </c>
      <c r="D27" s="47">
        <v>217</v>
      </c>
      <c r="E27" s="173">
        <f>SUM(D22:D27)</f>
        <v>1097457.03</v>
      </c>
    </row>
    <row r="28" spans="1:12">
      <c r="A28" s="46">
        <v>11</v>
      </c>
      <c r="B28" s="271" t="s">
        <v>270</v>
      </c>
      <c r="C28" s="46">
        <v>21</v>
      </c>
      <c r="D28" s="47">
        <v>834777.44</v>
      </c>
      <c r="E28" s="173"/>
    </row>
    <row r="29" spans="1:12">
      <c r="A29" s="46"/>
      <c r="B29" s="272" t="s">
        <v>267</v>
      </c>
      <c r="C29" s="46">
        <v>1</v>
      </c>
      <c r="D29" s="47">
        <v>64348.32</v>
      </c>
      <c r="E29" s="173"/>
    </row>
    <row r="30" spans="1:12">
      <c r="A30" s="46"/>
      <c r="B30" s="271" t="s">
        <v>266</v>
      </c>
      <c r="C30" s="46">
        <v>1</v>
      </c>
      <c r="D30" s="47">
        <v>32079.75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957</v>
      </c>
      <c r="D33" s="52">
        <v>1485180.67</v>
      </c>
    </row>
    <row r="34" spans="1:13">
      <c r="A34" s="50"/>
      <c r="B34" s="258" t="s">
        <v>256</v>
      </c>
      <c r="C34" s="50">
        <v>332</v>
      </c>
      <c r="D34" s="52">
        <v>602301.31000000006</v>
      </c>
    </row>
    <row r="35" spans="1:13">
      <c r="A35" s="50"/>
      <c r="B35" s="258" t="s">
        <v>72</v>
      </c>
      <c r="C35" s="50">
        <v>25</v>
      </c>
      <c r="D35" s="52">
        <v>63165.75</v>
      </c>
    </row>
    <row r="36" spans="1:13">
      <c r="A36" s="50"/>
      <c r="B36" s="258" t="s">
        <v>257</v>
      </c>
      <c r="C36" s="50">
        <v>215</v>
      </c>
      <c r="D36" s="52">
        <v>218787.1</v>
      </c>
    </row>
    <row r="37" spans="1:13">
      <c r="A37" s="50"/>
      <c r="B37" s="258" t="s">
        <v>258</v>
      </c>
      <c r="C37" s="50">
        <v>42</v>
      </c>
      <c r="D37" s="52">
        <v>1805</v>
      </c>
      <c r="E37" s="276">
        <f>SUM(D33:D37)</f>
        <v>2371239.83</v>
      </c>
    </row>
    <row r="38" spans="1:13">
      <c r="A38" s="50">
        <v>13</v>
      </c>
      <c r="B38" s="258" t="s">
        <v>259</v>
      </c>
      <c r="C38" s="50">
        <v>43</v>
      </c>
      <c r="D38" s="52">
        <v>1218105.1599999999</v>
      </c>
    </row>
    <row r="39" spans="1:13">
      <c r="A39" s="50"/>
      <c r="B39" s="258" t="s">
        <v>260</v>
      </c>
      <c r="C39" s="50">
        <v>26</v>
      </c>
      <c r="D39" s="52">
        <v>949960.21</v>
      </c>
    </row>
    <row r="40" spans="1:13">
      <c r="A40" s="50"/>
      <c r="B40" s="258" t="s">
        <v>261</v>
      </c>
      <c r="C40" s="50">
        <v>2</v>
      </c>
      <c r="D40" s="52">
        <v>169558.42</v>
      </c>
    </row>
    <row r="41" spans="1:13">
      <c r="A41" s="50"/>
      <c r="B41" s="258" t="s">
        <v>262</v>
      </c>
      <c r="C41" s="50">
        <v>16</v>
      </c>
      <c r="D41" s="52">
        <v>1004065.79</v>
      </c>
    </row>
    <row r="42" spans="1:13">
      <c r="A42" s="50"/>
      <c r="B42" s="269" t="s">
        <v>263</v>
      </c>
      <c r="C42" s="50">
        <v>5</v>
      </c>
      <c r="D42" s="52">
        <v>90635</v>
      </c>
      <c r="E42" s="172">
        <f>SUM(D33:D42)</f>
        <v>5803564.4100000001</v>
      </c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>
        <v>1</v>
      </c>
      <c r="D44" s="52">
        <v>12785.25</v>
      </c>
      <c r="E44" s="172">
        <f>SUM(D38:D44)</f>
        <v>3445109.83</v>
      </c>
    </row>
    <row r="45" spans="1:13">
      <c r="A45" s="46">
        <v>14</v>
      </c>
      <c r="B45" s="45" t="s">
        <v>36</v>
      </c>
      <c r="C45" s="46">
        <v>64</v>
      </c>
      <c r="D45" s="47">
        <v>90331.25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1</v>
      </c>
      <c r="D46" s="47">
        <v>4962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7</v>
      </c>
      <c r="D47" s="47">
        <v>184987.06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1</v>
      </c>
      <c r="D48" s="47">
        <v>80521.210000000006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1</v>
      </c>
      <c r="D49" s="47">
        <v>7701.75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46">
        <v>1</v>
      </c>
      <c r="D50" s="47">
        <v>3776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46"/>
      <c r="D51" s="47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18</v>
      </c>
      <c r="D53" s="47">
        <v>8043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52+18</f>
        <v>70</v>
      </c>
      <c r="D54" s="52">
        <f>34087+11301</f>
        <v>45388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35</v>
      </c>
      <c r="D55" s="47">
        <v>16856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1</v>
      </c>
      <c r="D56" s="150">
        <v>660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1</v>
      </c>
      <c r="D58" s="47">
        <v>1575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10531882.030000003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61"/>
  <sheetViews>
    <sheetView topLeftCell="A10" workbookViewId="0">
      <selection activeCell="D22" sqref="D22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295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374</v>
      </c>
      <c r="D6" s="49">
        <v>839863.98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17</v>
      </c>
      <c r="D9" s="49">
        <v>745840.03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59</v>
      </c>
      <c r="D12" s="49">
        <v>116098.5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1</v>
      </c>
      <c r="D14" s="49">
        <v>47681.81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112" t="s">
        <v>15</v>
      </c>
      <c r="C16" s="46">
        <f>12+1</f>
        <v>13</v>
      </c>
      <c r="D16" s="47">
        <v>38196.5</v>
      </c>
    </row>
    <row r="17" spans="1:12">
      <c r="A17" s="46"/>
      <c r="B17" s="112" t="s">
        <v>16</v>
      </c>
      <c r="C17" s="46">
        <f>3+1+1</f>
        <v>5</v>
      </c>
      <c r="D17" s="47">
        <v>109589</v>
      </c>
    </row>
    <row r="18" spans="1:12">
      <c r="A18" s="44">
        <v>8</v>
      </c>
      <c r="B18" s="48" t="s">
        <v>17</v>
      </c>
      <c r="C18" s="44">
        <v>1</v>
      </c>
      <c r="D18" s="49">
        <v>1603</v>
      </c>
    </row>
    <row r="19" spans="1:12">
      <c r="A19" s="44"/>
      <c r="B19" s="48" t="s">
        <v>18</v>
      </c>
      <c r="C19" s="44">
        <f>1+1+2+1</f>
        <v>5</v>
      </c>
      <c r="D19" s="49">
        <v>245048</v>
      </c>
    </row>
    <row r="20" spans="1:12">
      <c r="A20" s="161">
        <v>9</v>
      </c>
      <c r="B20" s="160" t="s">
        <v>19</v>
      </c>
      <c r="C20" s="161">
        <v>25</v>
      </c>
      <c r="D20" s="162">
        <v>268694.23</v>
      </c>
    </row>
    <row r="21" spans="1:12">
      <c r="A21" s="161"/>
      <c r="B21" s="160" t="s">
        <v>20</v>
      </c>
      <c r="C21" s="161">
        <v>14</v>
      </c>
      <c r="D21" s="162">
        <v>812100.79</v>
      </c>
    </row>
    <row r="22" spans="1:12" s="51" customFormat="1">
      <c r="A22" s="46">
        <v>10</v>
      </c>
      <c r="B22" s="45" t="s">
        <v>21</v>
      </c>
      <c r="C22" s="46">
        <v>740</v>
      </c>
      <c r="D22" s="47">
        <v>1010093.96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12</v>
      </c>
      <c r="D23" s="47">
        <v>31606.5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4</v>
      </c>
      <c r="D26" s="47">
        <v>24783.5</v>
      </c>
    </row>
    <row r="27" spans="1:12">
      <c r="A27" s="46"/>
      <c r="B27" s="45" t="s">
        <v>26</v>
      </c>
      <c r="C27" s="46">
        <v>1</v>
      </c>
      <c r="D27" s="47">
        <v>1021</v>
      </c>
      <c r="E27" s="173">
        <f>SUM(D22:D27)</f>
        <v>1067504.96</v>
      </c>
    </row>
    <row r="28" spans="1:12">
      <c r="A28" s="46">
        <v>11</v>
      </c>
      <c r="B28" s="271" t="s">
        <v>270</v>
      </c>
      <c r="C28" s="46">
        <v>26</v>
      </c>
      <c r="D28" s="47">
        <v>1136339.18</v>
      </c>
      <c r="E28" s="173"/>
    </row>
    <row r="29" spans="1:12">
      <c r="A29" s="46"/>
      <c r="B29" s="272" t="s">
        <v>267</v>
      </c>
      <c r="C29" s="46">
        <v>2</v>
      </c>
      <c r="D29" s="47">
        <v>91333.47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1227672.6499999999</v>
      </c>
    </row>
    <row r="33" spans="1:13">
      <c r="A33" s="50">
        <v>12</v>
      </c>
      <c r="B33" s="258" t="s">
        <v>69</v>
      </c>
      <c r="C33" s="50">
        <v>1009</v>
      </c>
      <c r="D33" s="52">
        <v>1556664.67</v>
      </c>
    </row>
    <row r="34" spans="1:13">
      <c r="A34" s="50"/>
      <c r="B34" s="258" t="s">
        <v>256</v>
      </c>
      <c r="C34" s="50">
        <v>326</v>
      </c>
      <c r="D34" s="52">
        <v>669072.28</v>
      </c>
    </row>
    <row r="35" spans="1:13">
      <c r="A35" s="50"/>
      <c r="B35" s="258" t="s">
        <v>72</v>
      </c>
      <c r="C35" s="50">
        <v>23</v>
      </c>
      <c r="D35" s="52">
        <v>24952.25</v>
      </c>
    </row>
    <row r="36" spans="1:13">
      <c r="A36" s="50"/>
      <c r="B36" s="258" t="s">
        <v>257</v>
      </c>
      <c r="C36" s="50">
        <v>208</v>
      </c>
      <c r="D36" s="52">
        <v>242692.74</v>
      </c>
    </row>
    <row r="37" spans="1:13">
      <c r="A37" s="50"/>
      <c r="B37" s="258" t="s">
        <v>258</v>
      </c>
      <c r="C37" s="50">
        <v>32</v>
      </c>
      <c r="D37" s="52">
        <v>630</v>
      </c>
      <c r="E37" s="276">
        <f>SUM(D33:D37)</f>
        <v>2494011.9400000004</v>
      </c>
    </row>
    <row r="38" spans="1:13">
      <c r="A38" s="50">
        <v>13</v>
      </c>
      <c r="B38" s="258" t="s">
        <v>259</v>
      </c>
      <c r="C38" s="50">
        <v>28</v>
      </c>
      <c r="D38" s="52">
        <v>1186714.78</v>
      </c>
      <c r="E38" s="276"/>
    </row>
    <row r="39" spans="1:13">
      <c r="A39" s="50"/>
      <c r="B39" s="258" t="s">
        <v>260</v>
      </c>
      <c r="C39" s="50">
        <v>21</v>
      </c>
      <c r="D39" s="52">
        <v>1010281.47</v>
      </c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>
        <v>18</v>
      </c>
      <c r="D41" s="52">
        <v>1042595.41</v>
      </c>
    </row>
    <row r="42" spans="1:13">
      <c r="A42" s="50"/>
      <c r="B42" s="269" t="s">
        <v>263</v>
      </c>
      <c r="C42" s="50">
        <v>4</v>
      </c>
      <c r="D42" s="52">
        <v>117566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3357157.66</v>
      </c>
    </row>
    <row r="45" spans="1:13">
      <c r="A45" s="46">
        <v>14</v>
      </c>
      <c r="B45" s="45" t="s">
        <v>36</v>
      </c>
      <c r="C45" s="50">
        <v>66</v>
      </c>
      <c r="D45" s="52">
        <v>67954.12</v>
      </c>
      <c r="E45" s="172"/>
    </row>
    <row r="46" spans="1:13">
      <c r="A46" s="46"/>
      <c r="B46" s="45" t="s">
        <v>47</v>
      </c>
      <c r="C46" s="50">
        <v>1</v>
      </c>
      <c r="D46" s="52">
        <v>4200</v>
      </c>
      <c r="E46" s="172"/>
    </row>
    <row r="47" spans="1:13">
      <c r="A47" s="46">
        <v>15</v>
      </c>
      <c r="B47" s="271" t="s">
        <v>273</v>
      </c>
      <c r="C47" s="50">
        <v>5</v>
      </c>
      <c r="D47" s="52">
        <v>188108.91</v>
      </c>
      <c r="E47" s="172"/>
    </row>
    <row r="48" spans="1:13">
      <c r="A48" s="46"/>
      <c r="B48" s="271" t="s">
        <v>274</v>
      </c>
      <c r="C48" s="46"/>
      <c r="D48" s="47"/>
      <c r="G48" s="40" t="s">
        <v>88</v>
      </c>
      <c r="I48" s="40" t="s">
        <v>89</v>
      </c>
      <c r="K48" s="40" t="s">
        <v>246</v>
      </c>
      <c r="M48" s="40" t="s">
        <v>90</v>
      </c>
    </row>
    <row r="49" spans="1:13">
      <c r="A49" s="46"/>
      <c r="B49" s="271" t="s">
        <v>275</v>
      </c>
      <c r="C49" s="46"/>
      <c r="D49" s="47"/>
      <c r="F49" s="118">
        <v>0</v>
      </c>
      <c r="G49" s="72">
        <v>0</v>
      </c>
      <c r="H49" s="118">
        <v>0</v>
      </c>
      <c r="I49" s="72">
        <v>0</v>
      </c>
      <c r="J49" s="118">
        <v>0</v>
      </c>
      <c r="K49" s="72">
        <v>0</v>
      </c>
      <c r="L49" s="72">
        <v>0</v>
      </c>
      <c r="M49" s="72">
        <v>0</v>
      </c>
    </row>
    <row r="50" spans="1:13">
      <c r="A50" s="50">
        <v>16</v>
      </c>
      <c r="B50" s="48" t="s">
        <v>37</v>
      </c>
      <c r="C50" s="46">
        <v>3</v>
      </c>
      <c r="D50" s="47">
        <v>18024.5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46"/>
      <c r="D51" s="47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21</v>
      </c>
      <c r="D53" s="47">
        <v>6872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80+20</f>
        <v>100</v>
      </c>
      <c r="D54" s="52">
        <f>54816+14551</f>
        <v>69367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46</v>
      </c>
      <c r="D55" s="47">
        <v>31856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3</v>
      </c>
      <c r="D56" s="150">
        <v>850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2</v>
      </c>
      <c r="D57" s="47">
        <v>640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11758935.58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61"/>
  <sheetViews>
    <sheetView topLeftCell="A49" workbookViewId="0">
      <selection activeCell="D59" sqref="D59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296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386</v>
      </c>
      <c r="D6" s="49">
        <v>1122239.24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9</v>
      </c>
      <c r="D9" s="49">
        <v>624372.93999999994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59</v>
      </c>
      <c r="D12" s="49">
        <v>152679.75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/>
      <c r="D14" s="49"/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f>6+1</f>
        <v>7</v>
      </c>
      <c r="D16" s="47">
        <v>6652.5</v>
      </c>
    </row>
    <row r="17" spans="1:12">
      <c r="A17" s="46"/>
      <c r="B17" s="45" t="s">
        <v>16</v>
      </c>
      <c r="C17" s="46">
        <f>3+1</f>
        <v>4</v>
      </c>
      <c r="D17" s="47">
        <v>93704.5</v>
      </c>
    </row>
    <row r="18" spans="1:12">
      <c r="A18" s="44">
        <v>8</v>
      </c>
      <c r="B18" s="48" t="s">
        <v>17</v>
      </c>
      <c r="C18" s="46">
        <f>1+1+1+1</f>
        <v>4</v>
      </c>
      <c r="D18" s="47">
        <v>5692</v>
      </c>
    </row>
    <row r="19" spans="1:12">
      <c r="A19" s="44"/>
      <c r="B19" s="48" t="s">
        <v>18</v>
      </c>
      <c r="C19" s="44">
        <f>2+1+2+2+1</f>
        <v>8</v>
      </c>
      <c r="D19" s="49">
        <v>689861.06</v>
      </c>
    </row>
    <row r="20" spans="1:12">
      <c r="A20" s="161">
        <v>9</v>
      </c>
      <c r="B20" s="160" t="s">
        <v>19</v>
      </c>
      <c r="C20" s="161">
        <v>45</v>
      </c>
      <c r="D20" s="162">
        <v>915081.36</v>
      </c>
    </row>
    <row r="21" spans="1:12">
      <c r="A21" s="161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612</v>
      </c>
      <c r="D22" s="47">
        <v>774252.67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15</v>
      </c>
      <c r="D23" s="47">
        <v>16069.5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16</v>
      </c>
      <c r="D26" s="47">
        <v>23152</v>
      </c>
    </row>
    <row r="27" spans="1:12">
      <c r="A27" s="46"/>
      <c r="B27" s="45" t="s">
        <v>26</v>
      </c>
      <c r="C27" s="46">
        <v>2</v>
      </c>
      <c r="D27" s="47">
        <v>991</v>
      </c>
      <c r="E27" s="173">
        <f>SUM(D22:D27)</f>
        <v>814465.17</v>
      </c>
    </row>
    <row r="28" spans="1:12">
      <c r="A28" s="46">
        <v>11</v>
      </c>
      <c r="B28" s="271" t="s">
        <v>270</v>
      </c>
      <c r="C28" s="46">
        <v>18</v>
      </c>
      <c r="D28" s="47">
        <v>697927.35</v>
      </c>
      <c r="E28" s="173"/>
    </row>
    <row r="29" spans="1:12">
      <c r="A29" s="46"/>
      <c r="B29" s="272" t="s">
        <v>267</v>
      </c>
      <c r="C29" s="46">
        <v>1</v>
      </c>
      <c r="D29" s="47">
        <v>97138.5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>
        <v>1</v>
      </c>
      <c r="D31" s="47">
        <v>44064.25</v>
      </c>
      <c r="E31" s="173"/>
    </row>
    <row r="32" spans="1:12">
      <c r="A32" s="46"/>
      <c r="B32" s="271" t="s">
        <v>272</v>
      </c>
      <c r="C32" s="46"/>
      <c r="D32" s="47"/>
      <c r="E32" s="173">
        <f>SUM(D28:D32)</f>
        <v>839130.1</v>
      </c>
    </row>
    <row r="33" spans="1:13">
      <c r="A33" s="50">
        <v>12</v>
      </c>
      <c r="B33" s="258" t="s">
        <v>69</v>
      </c>
      <c r="C33" s="50">
        <v>830</v>
      </c>
      <c r="D33" s="52">
        <v>1007904.28</v>
      </c>
    </row>
    <row r="34" spans="1:13">
      <c r="A34" s="50"/>
      <c r="B34" s="258" t="s">
        <v>256</v>
      </c>
      <c r="C34" s="50">
        <v>317</v>
      </c>
      <c r="D34" s="52">
        <v>598318.42000000004</v>
      </c>
    </row>
    <row r="35" spans="1:13">
      <c r="A35" s="50"/>
      <c r="B35" s="258" t="s">
        <v>72</v>
      </c>
      <c r="C35" s="50">
        <v>19</v>
      </c>
      <c r="D35" s="52">
        <v>17042.5</v>
      </c>
    </row>
    <row r="36" spans="1:13">
      <c r="A36" s="50"/>
      <c r="B36" s="258" t="s">
        <v>257</v>
      </c>
      <c r="C36" s="50">
        <v>227</v>
      </c>
      <c r="D36" s="52">
        <v>229890.99</v>
      </c>
    </row>
    <row r="37" spans="1:13">
      <c r="A37" s="50"/>
      <c r="B37" s="258" t="s">
        <v>258</v>
      </c>
      <c r="C37" s="50">
        <v>39</v>
      </c>
      <c r="D37" s="52">
        <v>720</v>
      </c>
      <c r="E37" s="276">
        <f>SUM(D33:D37)</f>
        <v>1853876.1900000002</v>
      </c>
    </row>
    <row r="38" spans="1:13">
      <c r="A38" s="50">
        <v>13</v>
      </c>
      <c r="B38" s="258" t="s">
        <v>259</v>
      </c>
      <c r="C38" s="50">
        <v>53</v>
      </c>
      <c r="D38" s="52">
        <v>3146904.11</v>
      </c>
    </row>
    <row r="39" spans="1:13">
      <c r="A39" s="50"/>
      <c r="B39" s="258" t="s">
        <v>260</v>
      </c>
      <c r="C39" s="50">
        <v>20</v>
      </c>
      <c r="D39" s="52">
        <v>605553.81000000006</v>
      </c>
    </row>
    <row r="40" spans="1:13">
      <c r="A40" s="50"/>
      <c r="B40" s="258" t="s">
        <v>261</v>
      </c>
      <c r="C40" s="50">
        <v>3</v>
      </c>
      <c r="D40" s="52">
        <v>103762.72</v>
      </c>
    </row>
    <row r="41" spans="1:13">
      <c r="A41" s="50"/>
      <c r="B41" s="258" t="s">
        <v>262</v>
      </c>
      <c r="C41" s="50">
        <v>16</v>
      </c>
      <c r="D41" s="52">
        <v>1516976.02</v>
      </c>
    </row>
    <row r="42" spans="1:13">
      <c r="A42" s="50"/>
      <c r="B42" s="269" t="s">
        <v>263</v>
      </c>
      <c r="C42" s="50">
        <v>4</v>
      </c>
      <c r="D42" s="52">
        <v>50920.25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5424116.9100000001</v>
      </c>
    </row>
    <row r="45" spans="1:13">
      <c r="A45" s="46">
        <v>14</v>
      </c>
      <c r="B45" s="45" t="s">
        <v>36</v>
      </c>
      <c r="C45" s="50">
        <v>79</v>
      </c>
      <c r="D45" s="52">
        <v>107014.72</v>
      </c>
      <c r="E45" s="172"/>
    </row>
    <row r="46" spans="1:13">
      <c r="A46" s="46"/>
      <c r="B46" s="45" t="s">
        <v>47</v>
      </c>
      <c r="C46" s="50">
        <v>1</v>
      </c>
      <c r="D46" s="52">
        <v>3820</v>
      </c>
      <c r="E46" s="172"/>
    </row>
    <row r="47" spans="1:13">
      <c r="A47" s="46">
        <v>15</v>
      </c>
      <c r="B47" s="271" t="s">
        <v>273</v>
      </c>
      <c r="C47" s="50">
        <v>6</v>
      </c>
      <c r="D47" s="52">
        <v>148339.07</v>
      </c>
      <c r="E47" s="172"/>
    </row>
    <row r="48" spans="1:13">
      <c r="A48" s="46"/>
      <c r="B48" s="271" t="s">
        <v>274</v>
      </c>
      <c r="C48" s="46"/>
      <c r="D48" s="47"/>
      <c r="G48" s="40" t="s">
        <v>88</v>
      </c>
      <c r="I48" s="40" t="s">
        <v>89</v>
      </c>
      <c r="K48" s="40" t="s">
        <v>246</v>
      </c>
      <c r="M48" s="40" t="s">
        <v>90</v>
      </c>
    </row>
    <row r="49" spans="1:13">
      <c r="A49" s="46"/>
      <c r="B49" s="271" t="s">
        <v>275</v>
      </c>
      <c r="C49" s="46">
        <v>1</v>
      </c>
      <c r="D49" s="47">
        <v>21639.5</v>
      </c>
      <c r="F49" s="118">
        <v>0</v>
      </c>
      <c r="G49" s="72">
        <v>0</v>
      </c>
      <c r="H49" s="118"/>
      <c r="I49" s="72"/>
      <c r="J49" s="118">
        <v>0</v>
      </c>
      <c r="K49" s="72">
        <v>0</v>
      </c>
      <c r="L49" s="72">
        <v>0</v>
      </c>
      <c r="M49" s="72">
        <v>0</v>
      </c>
    </row>
    <row r="50" spans="1:13">
      <c r="A50" s="50">
        <v>16</v>
      </c>
      <c r="B50" s="48" t="s">
        <v>37</v>
      </c>
      <c r="C50" s="46">
        <v>1</v>
      </c>
      <c r="D50" s="47">
        <v>1890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46"/>
      <c r="D51" s="47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18</v>
      </c>
      <c r="D53" s="47">
        <v>9392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46+24</f>
        <v>70</v>
      </c>
      <c r="D54" s="52">
        <f>34533+15414</f>
        <v>49947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28</v>
      </c>
      <c r="D55" s="47">
        <v>14986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2</v>
      </c>
      <c r="D56" s="150">
        <v>98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1</v>
      </c>
      <c r="D58" s="47">
        <v>9810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12908808.010000002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61"/>
  <sheetViews>
    <sheetView topLeftCell="A43" workbookViewId="0">
      <selection activeCell="D54" sqref="D54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7.453125" style="40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297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43</v>
      </c>
      <c r="D6" s="49">
        <v>193825.25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12</v>
      </c>
      <c r="D9" s="49">
        <v>318129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>
        <v>1</v>
      </c>
      <c r="D11" s="49">
        <v>24110</v>
      </c>
    </row>
    <row r="12" spans="1:4">
      <c r="A12" s="44">
        <v>5</v>
      </c>
      <c r="B12" s="48" t="s">
        <v>11</v>
      </c>
      <c r="C12" s="44">
        <v>9</v>
      </c>
      <c r="D12" s="49">
        <v>31056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/>
      <c r="D14" s="49"/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f>10+4</f>
        <v>14</v>
      </c>
      <c r="D16" s="47">
        <v>18016.46</v>
      </c>
    </row>
    <row r="17" spans="1:12">
      <c r="A17" s="46"/>
      <c r="B17" s="45" t="s">
        <v>16</v>
      </c>
      <c r="C17" s="46">
        <f>2+1</f>
        <v>3</v>
      </c>
      <c r="D17" s="47">
        <v>121843.55</v>
      </c>
    </row>
    <row r="18" spans="1:12">
      <c r="A18" s="44">
        <v>8</v>
      </c>
      <c r="B18" s="48" t="s">
        <v>17</v>
      </c>
      <c r="C18" s="46">
        <v>1</v>
      </c>
      <c r="D18" s="47">
        <v>17971</v>
      </c>
    </row>
    <row r="19" spans="1:12">
      <c r="A19" s="44"/>
      <c r="B19" s="48" t="s">
        <v>18</v>
      </c>
      <c r="C19" s="44">
        <f>1+1</f>
        <v>2</v>
      </c>
      <c r="D19" s="49">
        <v>57138.25</v>
      </c>
    </row>
    <row r="20" spans="1:12">
      <c r="A20" s="50">
        <v>9</v>
      </c>
      <c r="B20" s="160" t="s">
        <v>19</v>
      </c>
      <c r="C20" s="161"/>
      <c r="D20" s="162"/>
    </row>
    <row r="21" spans="1:12">
      <c r="A21" s="50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149</v>
      </c>
      <c r="D22" s="47">
        <v>116848.25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</v>
      </c>
      <c r="D23" s="47">
        <v>7070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/>
      <c r="D26" s="47"/>
    </row>
    <row r="27" spans="1:12">
      <c r="A27" s="46"/>
      <c r="B27" s="45" t="s">
        <v>26</v>
      </c>
      <c r="C27" s="46">
        <v>2</v>
      </c>
      <c r="D27" s="47">
        <v>1064</v>
      </c>
      <c r="E27" s="173">
        <f>SUM(D22:D27)</f>
        <v>124982.25</v>
      </c>
    </row>
    <row r="28" spans="1:12">
      <c r="A28" s="46">
        <v>11</v>
      </c>
      <c r="B28" s="271" t="s">
        <v>270</v>
      </c>
      <c r="C28" s="46">
        <v>22</v>
      </c>
      <c r="D28" s="47">
        <v>733162.47</v>
      </c>
      <c r="E28" s="173"/>
    </row>
    <row r="29" spans="1:12">
      <c r="A29" s="46"/>
      <c r="B29" s="272" t="s">
        <v>267</v>
      </c>
      <c r="C29" s="46">
        <v>2</v>
      </c>
      <c r="D29" s="47">
        <v>1830697.76</v>
      </c>
      <c r="E29" s="173"/>
    </row>
    <row r="30" spans="1:12">
      <c r="A30" s="46"/>
      <c r="B30" s="271" t="s">
        <v>266</v>
      </c>
      <c r="C30" s="46">
        <v>1</v>
      </c>
      <c r="D30" s="47">
        <v>104586.97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182</v>
      </c>
      <c r="D33" s="52">
        <v>202677.25</v>
      </c>
    </row>
    <row r="34" spans="1:13">
      <c r="A34" s="50"/>
      <c r="B34" s="258" t="s">
        <v>256</v>
      </c>
      <c r="C34" s="50">
        <v>46</v>
      </c>
      <c r="D34" s="52">
        <v>81474.25</v>
      </c>
    </row>
    <row r="35" spans="1:13">
      <c r="A35" s="50"/>
      <c r="B35" s="258" t="s">
        <v>72</v>
      </c>
      <c r="C35" s="50">
        <v>3</v>
      </c>
      <c r="D35" s="52">
        <v>2671.75</v>
      </c>
    </row>
    <row r="36" spans="1:13">
      <c r="A36" s="50"/>
      <c r="B36" s="258" t="s">
        <v>257</v>
      </c>
      <c r="C36" s="50">
        <v>48</v>
      </c>
      <c r="D36" s="52">
        <v>88413</v>
      </c>
    </row>
    <row r="37" spans="1:13">
      <c r="A37" s="50"/>
      <c r="B37" s="258" t="s">
        <v>258</v>
      </c>
      <c r="C37" s="50"/>
      <c r="D37" s="52"/>
      <c r="E37" s="276">
        <f>SUM(D33:D37)</f>
        <v>375236.25</v>
      </c>
    </row>
    <row r="38" spans="1:13">
      <c r="A38" s="50">
        <v>13</v>
      </c>
      <c r="B38" s="258" t="s">
        <v>259</v>
      </c>
      <c r="C38" s="50">
        <v>45</v>
      </c>
      <c r="D38" s="52">
        <v>1984334.84</v>
      </c>
    </row>
    <row r="39" spans="1:13">
      <c r="A39" s="50"/>
      <c r="B39" s="258" t="s">
        <v>260</v>
      </c>
      <c r="C39" s="50">
        <v>20</v>
      </c>
      <c r="D39" s="52">
        <v>1328956.1599999999</v>
      </c>
    </row>
    <row r="40" spans="1:13">
      <c r="A40" s="50"/>
      <c r="B40" s="258" t="s">
        <v>261</v>
      </c>
      <c r="C40" s="50">
        <v>1</v>
      </c>
      <c r="D40" s="52">
        <v>151839.26999999999</v>
      </c>
    </row>
    <row r="41" spans="1:13">
      <c r="A41" s="50"/>
      <c r="B41" s="258" t="s">
        <v>262</v>
      </c>
      <c r="C41" s="50">
        <v>14</v>
      </c>
      <c r="D41" s="52">
        <v>794548.33</v>
      </c>
    </row>
    <row r="42" spans="1:13">
      <c r="A42" s="50"/>
      <c r="B42" s="269" t="s">
        <v>263</v>
      </c>
      <c r="C42" s="50">
        <v>11</v>
      </c>
      <c r="D42" s="52">
        <v>120107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4379785.5999999996</v>
      </c>
    </row>
    <row r="45" spans="1:13">
      <c r="A45" s="46">
        <v>14</v>
      </c>
      <c r="B45" s="45" t="s">
        <v>36</v>
      </c>
      <c r="C45" s="46">
        <v>23</v>
      </c>
      <c r="D45" s="47">
        <v>25857.25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>
        <v>0</v>
      </c>
      <c r="J46" s="118">
        <v>1</v>
      </c>
      <c r="K46" s="72">
        <v>661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4</v>
      </c>
      <c r="D47" s="47">
        <v>170735.23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1</v>
      </c>
      <c r="D49" s="47">
        <v>144482.25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46"/>
      <c r="D50" s="47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46"/>
      <c r="D51" s="47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3</v>
      </c>
      <c r="D53" s="47">
        <v>1340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17+2</f>
        <v>19</v>
      </c>
      <c r="D54" s="52">
        <f>10226+814</f>
        <v>11040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4</v>
      </c>
      <c r="D55" s="47">
        <v>806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/>
      <c r="D56" s="150"/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8684801.540000001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61"/>
  <sheetViews>
    <sheetView topLeftCell="A52" workbookViewId="0">
      <selection activeCell="D59" sqref="D59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7.453125" style="40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298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121</v>
      </c>
      <c r="D6" s="49">
        <v>329834.84999999998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7</v>
      </c>
      <c r="D9" s="49">
        <v>241412.25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3</v>
      </c>
      <c r="D12" s="49">
        <v>1965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1</v>
      </c>
      <c r="D14" s="49">
        <v>5160.25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10</v>
      </c>
      <c r="D16" s="47">
        <v>6330.5</v>
      </c>
    </row>
    <row r="17" spans="1:12">
      <c r="A17" s="46"/>
      <c r="B17" s="45" t="s">
        <v>16</v>
      </c>
      <c r="C17" s="46"/>
      <c r="D17" s="47"/>
    </row>
    <row r="18" spans="1:12">
      <c r="A18" s="44">
        <v>8</v>
      </c>
      <c r="B18" s="48" t="s">
        <v>17</v>
      </c>
      <c r="C18" s="46"/>
      <c r="D18" s="47"/>
    </row>
    <row r="19" spans="1:12">
      <c r="A19" s="44"/>
      <c r="B19" s="48" t="s">
        <v>18</v>
      </c>
      <c r="C19" s="44">
        <f>1+1+1</f>
        <v>3</v>
      </c>
      <c r="D19" s="49">
        <v>264527.03999999998</v>
      </c>
    </row>
    <row r="20" spans="1:12">
      <c r="A20" s="50">
        <v>9</v>
      </c>
      <c r="B20" s="160" t="s">
        <v>19</v>
      </c>
      <c r="C20" s="161"/>
      <c r="D20" s="162"/>
    </row>
    <row r="21" spans="1:12">
      <c r="A21" s="50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135</v>
      </c>
      <c r="D22" s="47">
        <v>155818</v>
      </c>
      <c r="F22" s="117"/>
      <c r="H22" s="117"/>
      <c r="J22" s="117"/>
      <c r="L22" s="120"/>
    </row>
    <row r="23" spans="1:12">
      <c r="A23" s="46"/>
      <c r="B23" s="45" t="s">
        <v>22</v>
      </c>
      <c r="C23" s="46"/>
      <c r="D23" s="47"/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/>
      <c r="D26" s="47"/>
    </row>
    <row r="27" spans="1:12">
      <c r="A27" s="46"/>
      <c r="B27" s="45" t="s">
        <v>26</v>
      </c>
      <c r="C27" s="46"/>
      <c r="D27" s="47"/>
      <c r="E27" s="173">
        <f>SUM(D22:D27)</f>
        <v>155818</v>
      </c>
    </row>
    <row r="28" spans="1:12">
      <c r="A28" s="46">
        <v>11</v>
      </c>
      <c r="B28" s="271" t="s">
        <v>270</v>
      </c>
      <c r="C28" s="46">
        <v>14</v>
      </c>
      <c r="D28" s="47">
        <v>456264.88</v>
      </c>
      <c r="E28" s="173"/>
    </row>
    <row r="29" spans="1:12">
      <c r="A29" s="46"/>
      <c r="B29" s="272" t="s">
        <v>267</v>
      </c>
      <c r="C29" s="46"/>
      <c r="D29" s="47"/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124</v>
      </c>
      <c r="D33" s="52">
        <v>212405.5</v>
      </c>
    </row>
    <row r="34" spans="1:13">
      <c r="A34" s="50"/>
      <c r="B34" s="258" t="s">
        <v>256</v>
      </c>
      <c r="C34" s="50">
        <v>29</v>
      </c>
      <c r="D34" s="52">
        <v>70002.25</v>
      </c>
    </row>
    <row r="35" spans="1:13">
      <c r="A35" s="50"/>
      <c r="B35" s="258" t="s">
        <v>72</v>
      </c>
      <c r="C35" s="50">
        <v>2</v>
      </c>
      <c r="D35" s="52">
        <v>1165.5</v>
      </c>
    </row>
    <row r="36" spans="1:13">
      <c r="A36" s="50"/>
      <c r="B36" s="258" t="s">
        <v>257</v>
      </c>
      <c r="C36" s="50">
        <v>46</v>
      </c>
      <c r="D36" s="52">
        <v>44570.75</v>
      </c>
    </row>
    <row r="37" spans="1:13">
      <c r="A37" s="50"/>
      <c r="B37" s="258" t="s">
        <v>258</v>
      </c>
      <c r="C37" s="50"/>
      <c r="D37" s="52"/>
    </row>
    <row r="38" spans="1:13">
      <c r="A38" s="50">
        <v>13</v>
      </c>
      <c r="B38" s="258" t="s">
        <v>259</v>
      </c>
      <c r="C38" s="50">
        <v>20</v>
      </c>
      <c r="D38" s="52">
        <v>666531.66</v>
      </c>
    </row>
    <row r="39" spans="1:13">
      <c r="A39" s="50"/>
      <c r="B39" s="258" t="s">
        <v>260</v>
      </c>
      <c r="C39" s="50">
        <v>13</v>
      </c>
      <c r="D39" s="52">
        <v>896288.82</v>
      </c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>
        <v>9</v>
      </c>
      <c r="D41" s="52">
        <v>231232.78</v>
      </c>
    </row>
    <row r="42" spans="1:13">
      <c r="A42" s="50"/>
      <c r="B42" s="269" t="s">
        <v>263</v>
      </c>
      <c r="C42" s="50">
        <v>8</v>
      </c>
      <c r="D42" s="52">
        <v>60229.25</v>
      </c>
      <c r="E42" s="172">
        <f>SUM(D33:D42)</f>
        <v>2182426.5099999998</v>
      </c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/>
    </row>
    <row r="45" spans="1:13">
      <c r="A45" s="46">
        <v>14</v>
      </c>
      <c r="B45" s="45" t="s">
        <v>36</v>
      </c>
      <c r="C45" s="46">
        <v>22</v>
      </c>
      <c r="D45" s="47">
        <v>16878.5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/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3</v>
      </c>
      <c r="D47" s="47">
        <v>83478.02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/>
      <c r="D49" s="47"/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46"/>
      <c r="D50" s="47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46"/>
      <c r="D51" s="47"/>
      <c r="F51" s="118">
        <v>0</v>
      </c>
      <c r="G51" s="72">
        <v>0</v>
      </c>
      <c r="H51" s="118">
        <v>0</v>
      </c>
      <c r="I51" s="72"/>
      <c r="J51" s="118">
        <v>0</v>
      </c>
      <c r="K51" s="72"/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/>
      <c r="D53" s="47"/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/>
      <c r="D54" s="52"/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/>
      <c r="D55" s="47"/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/>
      <c r="D56" s="150"/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2</v>
      </c>
      <c r="D58" s="47">
        <v>552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3744647.8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61"/>
  <sheetViews>
    <sheetView topLeftCell="A49" workbookViewId="0">
      <selection activeCell="D55" sqref="D55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299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273</v>
      </c>
      <c r="D6" s="49">
        <v>913597.87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6</v>
      </c>
      <c r="D9" s="49">
        <v>227948.23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40</v>
      </c>
      <c r="D12" s="49">
        <v>135374.75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1</v>
      </c>
      <c r="D14" s="49">
        <v>62977.3</v>
      </c>
    </row>
    <row r="15" spans="1:4">
      <c r="A15" s="44"/>
      <c r="B15" s="48" t="s">
        <v>14</v>
      </c>
      <c r="C15" s="44">
        <v>1</v>
      </c>
      <c r="D15" s="49">
        <v>8624</v>
      </c>
    </row>
    <row r="16" spans="1:4">
      <c r="A16" s="46">
        <v>7</v>
      </c>
      <c r="B16" s="45" t="s">
        <v>15</v>
      </c>
      <c r="C16" s="46">
        <f>4+1</f>
        <v>5</v>
      </c>
      <c r="D16" s="47">
        <v>5960</v>
      </c>
    </row>
    <row r="17" spans="1:12">
      <c r="A17" s="46"/>
      <c r="B17" s="45" t="s">
        <v>16</v>
      </c>
      <c r="C17" s="46">
        <f>2+3</f>
        <v>5</v>
      </c>
      <c r="D17" s="47">
        <v>112645</v>
      </c>
    </row>
    <row r="18" spans="1:12">
      <c r="A18" s="44">
        <v>8</v>
      </c>
      <c r="B18" s="48" t="s">
        <v>17</v>
      </c>
      <c r="C18" s="46">
        <f>2+1</f>
        <v>3</v>
      </c>
      <c r="D18" s="47">
        <v>18079</v>
      </c>
    </row>
    <row r="19" spans="1:12">
      <c r="A19" s="44"/>
      <c r="B19" s="48" t="s">
        <v>18</v>
      </c>
      <c r="C19" s="44">
        <f>1+1+1</f>
        <v>3</v>
      </c>
      <c r="D19" s="49">
        <v>317808.75</v>
      </c>
    </row>
    <row r="20" spans="1:12">
      <c r="A20" s="50">
        <v>9</v>
      </c>
      <c r="B20" s="160" t="s">
        <v>19</v>
      </c>
      <c r="C20" s="161">
        <v>22</v>
      </c>
      <c r="D20" s="162">
        <v>20210.61</v>
      </c>
    </row>
    <row r="21" spans="1:12">
      <c r="A21" s="50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692</v>
      </c>
      <c r="D22" s="47">
        <v>844824.19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13</v>
      </c>
      <c r="D23" s="47">
        <v>47849.25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12</v>
      </c>
      <c r="D26" s="47">
        <v>23897</v>
      </c>
    </row>
    <row r="27" spans="1:12">
      <c r="A27" s="46"/>
      <c r="B27" s="45" t="s">
        <v>26</v>
      </c>
      <c r="C27" s="46">
        <v>5</v>
      </c>
      <c r="D27" s="47">
        <v>3625.25</v>
      </c>
      <c r="E27" s="173">
        <f>SUM(D22:D27)</f>
        <v>920195.69</v>
      </c>
    </row>
    <row r="28" spans="1:12">
      <c r="A28" s="46">
        <v>11</v>
      </c>
      <c r="B28" s="271" t="s">
        <v>270</v>
      </c>
      <c r="C28" s="46">
        <v>17</v>
      </c>
      <c r="D28" s="47">
        <v>668477.11</v>
      </c>
      <c r="E28" s="173"/>
    </row>
    <row r="29" spans="1:12">
      <c r="A29" s="46"/>
      <c r="B29" s="272" t="s">
        <v>267</v>
      </c>
      <c r="C29" s="46">
        <v>4</v>
      </c>
      <c r="D29" s="47">
        <v>199881.13</v>
      </c>
      <c r="E29" s="173"/>
    </row>
    <row r="30" spans="1:12">
      <c r="A30" s="46"/>
      <c r="B30" s="271" t="s">
        <v>266</v>
      </c>
      <c r="C30" s="46">
        <v>1</v>
      </c>
      <c r="D30" s="47">
        <v>26825.5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892</v>
      </c>
      <c r="D33" s="52">
        <v>1227861.1499999999</v>
      </c>
    </row>
    <row r="34" spans="1:13">
      <c r="A34" s="50"/>
      <c r="B34" s="258" t="s">
        <v>256</v>
      </c>
      <c r="C34" s="50">
        <v>362</v>
      </c>
      <c r="D34" s="52">
        <v>616941.34</v>
      </c>
    </row>
    <row r="35" spans="1:13">
      <c r="A35" s="50"/>
      <c r="B35" s="258" t="s">
        <v>72</v>
      </c>
      <c r="C35" s="50">
        <v>19</v>
      </c>
      <c r="D35" s="52">
        <v>19513</v>
      </c>
    </row>
    <row r="36" spans="1:13">
      <c r="A36" s="50"/>
      <c r="B36" s="258" t="s">
        <v>257</v>
      </c>
      <c r="C36" s="50">
        <v>232</v>
      </c>
      <c r="D36" s="52">
        <v>609201.59</v>
      </c>
    </row>
    <row r="37" spans="1:13">
      <c r="A37" s="50"/>
      <c r="B37" s="258" t="s">
        <v>258</v>
      </c>
      <c r="C37" s="50">
        <v>45</v>
      </c>
      <c r="D37" s="52">
        <v>675</v>
      </c>
      <c r="E37" s="276">
        <f>SUM(D33:D37)</f>
        <v>2474192.0799999996</v>
      </c>
    </row>
    <row r="38" spans="1:13">
      <c r="A38" s="50">
        <v>13</v>
      </c>
      <c r="B38" s="258" t="s">
        <v>259</v>
      </c>
      <c r="C38" s="50">
        <v>28</v>
      </c>
      <c r="D38" s="52">
        <v>1831871.41</v>
      </c>
    </row>
    <row r="39" spans="1:13">
      <c r="A39" s="50"/>
      <c r="B39" s="258" t="s">
        <v>260</v>
      </c>
      <c r="C39" s="50">
        <v>19</v>
      </c>
      <c r="D39" s="52">
        <v>794412.26</v>
      </c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>
        <v>17</v>
      </c>
      <c r="D41" s="52">
        <v>946805.65</v>
      </c>
    </row>
    <row r="42" spans="1:13">
      <c r="A42" s="50"/>
      <c r="B42" s="269" t="s">
        <v>263</v>
      </c>
      <c r="C42" s="50">
        <v>4</v>
      </c>
      <c r="D42" s="52">
        <v>645755.75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4218845.07</v>
      </c>
    </row>
    <row r="45" spans="1:13">
      <c r="A45" s="46">
        <v>14</v>
      </c>
      <c r="B45" s="45" t="s">
        <v>36</v>
      </c>
      <c r="C45" s="46">
        <v>84</v>
      </c>
      <c r="D45" s="47">
        <v>91269.87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2</v>
      </c>
      <c r="D46" s="47">
        <v>1564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8</v>
      </c>
      <c r="D47" s="47">
        <v>198699.06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1</v>
      </c>
      <c r="D48" s="47">
        <v>54737.48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3</v>
      </c>
      <c r="D49" s="47">
        <v>107804.25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>
        <v>5</v>
      </c>
      <c r="D50" s="52">
        <v>3231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12</v>
      </c>
      <c r="D53" s="47">
        <v>3504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37+14</f>
        <v>51</v>
      </c>
      <c r="D54" s="52">
        <f>21267+6440</f>
        <v>27707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38</v>
      </c>
      <c r="D55" s="47">
        <v>17309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3</v>
      </c>
      <c r="D56" s="150">
        <v>1345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3</v>
      </c>
      <c r="D57" s="47">
        <v>2310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10841122.75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61"/>
  <sheetViews>
    <sheetView topLeftCell="A43" workbookViewId="0">
      <selection activeCell="D55" sqref="D55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300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415</v>
      </c>
      <c r="D6" s="49">
        <v>1218743.8400000001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8</v>
      </c>
      <c r="D9" s="49">
        <v>506953.09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67</v>
      </c>
      <c r="D12" s="49">
        <v>189018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4</v>
      </c>
      <c r="D14" s="49">
        <v>74546.17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5</v>
      </c>
      <c r="D16" s="47">
        <v>8498</v>
      </c>
    </row>
    <row r="17" spans="1:12">
      <c r="A17" s="46"/>
      <c r="B17" s="45" t="s">
        <v>16</v>
      </c>
      <c r="C17" s="46"/>
      <c r="D17" s="47"/>
    </row>
    <row r="18" spans="1:12">
      <c r="A18" s="44">
        <v>8</v>
      </c>
      <c r="B18" s="48" t="s">
        <v>17</v>
      </c>
      <c r="C18" s="44">
        <f>1+1</f>
        <v>2</v>
      </c>
      <c r="D18" s="49">
        <v>114178.86</v>
      </c>
    </row>
    <row r="19" spans="1:12">
      <c r="A19" s="44"/>
      <c r="B19" s="48" t="s">
        <v>18</v>
      </c>
      <c r="C19" s="44">
        <v>1</v>
      </c>
      <c r="D19" s="49">
        <v>167039.26</v>
      </c>
    </row>
    <row r="20" spans="1:12">
      <c r="A20" s="50">
        <v>9</v>
      </c>
      <c r="B20" s="160" t="s">
        <v>19</v>
      </c>
      <c r="C20" s="161">
        <v>35</v>
      </c>
      <c r="D20" s="162">
        <v>51508.61</v>
      </c>
    </row>
    <row r="21" spans="1:12">
      <c r="A21" s="50"/>
      <c r="B21" s="160" t="s">
        <v>20</v>
      </c>
      <c r="C21" s="161">
        <v>10</v>
      </c>
      <c r="D21" s="162">
        <v>2737615.56</v>
      </c>
    </row>
    <row r="22" spans="1:12" s="51" customFormat="1">
      <c r="A22" s="46">
        <v>10</v>
      </c>
      <c r="B22" s="45" t="s">
        <v>21</v>
      </c>
      <c r="C22" s="46">
        <v>698</v>
      </c>
      <c r="D22" s="47">
        <v>866438.97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16</v>
      </c>
      <c r="D23" s="47">
        <v>67892.240000000005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37</v>
      </c>
      <c r="D26" s="47">
        <v>55685</v>
      </c>
    </row>
    <row r="27" spans="1:12">
      <c r="A27" s="46"/>
      <c r="B27" s="45" t="s">
        <v>26</v>
      </c>
      <c r="C27" s="46">
        <v>4</v>
      </c>
      <c r="D27" s="47">
        <v>1483</v>
      </c>
      <c r="E27" s="173">
        <f>SUM(D22:D27)</f>
        <v>991499.21</v>
      </c>
    </row>
    <row r="28" spans="1:12">
      <c r="A28" s="46">
        <v>11</v>
      </c>
      <c r="B28" s="271" t="s">
        <v>270</v>
      </c>
      <c r="C28" s="46">
        <v>20</v>
      </c>
      <c r="D28" s="47">
        <v>290191.33</v>
      </c>
      <c r="E28" s="173"/>
    </row>
    <row r="29" spans="1:12">
      <c r="A29" s="46"/>
      <c r="B29" s="272" t="s">
        <v>267</v>
      </c>
      <c r="C29" s="46">
        <v>1</v>
      </c>
      <c r="D29" s="47">
        <v>59129.25</v>
      </c>
      <c r="E29" s="173"/>
    </row>
    <row r="30" spans="1:12">
      <c r="A30" s="46"/>
      <c r="B30" s="271" t="s">
        <v>266</v>
      </c>
      <c r="C30" s="46">
        <v>1</v>
      </c>
      <c r="D30" s="47">
        <v>43613.91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392934.49</v>
      </c>
    </row>
    <row r="33" spans="1:13">
      <c r="A33" s="50">
        <v>12</v>
      </c>
      <c r="B33" s="258" t="s">
        <v>69</v>
      </c>
      <c r="C33" s="50">
        <v>981</v>
      </c>
      <c r="D33" s="52">
        <v>1355179.19</v>
      </c>
    </row>
    <row r="34" spans="1:13">
      <c r="A34" s="50"/>
      <c r="B34" s="258" t="s">
        <v>256</v>
      </c>
      <c r="C34" s="50">
        <v>334</v>
      </c>
      <c r="D34" s="52">
        <v>576801.06999999995</v>
      </c>
    </row>
    <row r="35" spans="1:13">
      <c r="A35" s="50"/>
      <c r="B35" s="258" t="s">
        <v>72</v>
      </c>
      <c r="C35" s="50">
        <v>26</v>
      </c>
      <c r="D35" s="52">
        <v>22225</v>
      </c>
    </row>
    <row r="36" spans="1:13">
      <c r="A36" s="50"/>
      <c r="B36" s="258" t="s">
        <v>257</v>
      </c>
      <c r="C36" s="50">
        <v>248</v>
      </c>
      <c r="D36" s="52">
        <v>331893.21999999997</v>
      </c>
    </row>
    <row r="37" spans="1:13">
      <c r="A37" s="50"/>
      <c r="B37" s="258" t="s">
        <v>258</v>
      </c>
      <c r="C37" s="50">
        <v>39</v>
      </c>
      <c r="D37" s="52">
        <v>7320</v>
      </c>
      <c r="E37" s="276">
        <f>SUM(D33:D37)</f>
        <v>2293418.4799999995</v>
      </c>
    </row>
    <row r="38" spans="1:13">
      <c r="A38" s="50">
        <v>13</v>
      </c>
      <c r="B38" s="258" t="s">
        <v>259</v>
      </c>
      <c r="C38" s="50">
        <v>41</v>
      </c>
      <c r="D38" s="52">
        <v>1689988.57</v>
      </c>
    </row>
    <row r="39" spans="1:13">
      <c r="A39" s="50"/>
      <c r="B39" s="258" t="s">
        <v>260</v>
      </c>
      <c r="C39" s="50">
        <v>19</v>
      </c>
      <c r="D39" s="52">
        <v>809636.42</v>
      </c>
    </row>
    <row r="40" spans="1:13">
      <c r="A40" s="50"/>
      <c r="B40" s="258" t="s">
        <v>261</v>
      </c>
      <c r="C40" s="50">
        <v>2</v>
      </c>
      <c r="D40" s="52">
        <v>68820</v>
      </c>
    </row>
    <row r="41" spans="1:13">
      <c r="A41" s="50"/>
      <c r="B41" s="258" t="s">
        <v>262</v>
      </c>
      <c r="C41" s="50">
        <v>14</v>
      </c>
      <c r="D41" s="52">
        <v>459626.48</v>
      </c>
    </row>
    <row r="42" spans="1:13">
      <c r="A42" s="50"/>
      <c r="B42" s="269" t="s">
        <v>263</v>
      </c>
      <c r="C42" s="50">
        <v>3</v>
      </c>
      <c r="D42" s="52">
        <v>241721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3269792.47</v>
      </c>
    </row>
    <row r="45" spans="1:13">
      <c r="A45" s="46">
        <v>14</v>
      </c>
      <c r="B45" s="45" t="s">
        <v>36</v>
      </c>
      <c r="C45" s="46">
        <v>67</v>
      </c>
      <c r="D45" s="47">
        <v>59170.12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2</v>
      </c>
      <c r="D46" s="47">
        <v>8594.25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7</v>
      </c>
      <c r="D47" s="47">
        <v>134520.19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2</v>
      </c>
      <c r="D49" s="47">
        <v>34376.75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>
        <v>1</v>
      </c>
      <c r="D50" s="52">
        <v>2586.25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/>
      <c r="G51" s="72"/>
      <c r="H51" s="118">
        <v>0</v>
      </c>
      <c r="I51" s="72">
        <v>0</v>
      </c>
      <c r="J51" s="118">
        <v>0</v>
      </c>
      <c r="K51" s="72">
        <v>0</v>
      </c>
      <c r="L51" s="72"/>
      <c r="M51" s="72"/>
    </row>
    <row r="52" spans="1:13" s="127" customFormat="1">
      <c r="A52" s="124">
        <v>17</v>
      </c>
      <c r="B52" s="258" t="s">
        <v>278</v>
      </c>
      <c r="C52" s="124">
        <v>1</v>
      </c>
      <c r="D52" s="126">
        <v>32691.97</v>
      </c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21</v>
      </c>
      <c r="D53" s="47">
        <v>11283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67+20</f>
        <v>87</v>
      </c>
      <c r="D54" s="52">
        <f>56816+17124</f>
        <v>73940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50</v>
      </c>
      <c r="D55" s="47">
        <v>37996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5</v>
      </c>
      <c r="D56" s="150">
        <v>1106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12412010.57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61"/>
  <sheetViews>
    <sheetView topLeftCell="A46" workbookViewId="0">
      <selection activeCell="D55" sqref="D55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301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328</v>
      </c>
      <c r="D6" s="49">
        <v>913086.85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11</v>
      </c>
      <c r="D9" s="49">
        <v>263419.78999999998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48</v>
      </c>
      <c r="D12" s="49">
        <v>114224.25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/>
      <c r="D14" s="49"/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f>8+1</f>
        <v>9</v>
      </c>
      <c r="D16" s="47">
        <v>24203.46</v>
      </c>
    </row>
    <row r="17" spans="1:12">
      <c r="A17" s="46"/>
      <c r="B17" s="45" t="s">
        <v>16</v>
      </c>
      <c r="C17" s="46">
        <f>1+1</f>
        <v>2</v>
      </c>
      <c r="D17" s="47">
        <v>51607.25</v>
      </c>
    </row>
    <row r="18" spans="1:12">
      <c r="A18" s="44">
        <v>8</v>
      </c>
      <c r="B18" s="113" t="s">
        <v>17</v>
      </c>
      <c r="C18" s="46">
        <f>1+1+1</f>
        <v>3</v>
      </c>
      <c r="D18" s="47">
        <v>80981.960000000006</v>
      </c>
    </row>
    <row r="19" spans="1:12">
      <c r="A19" s="44"/>
      <c r="B19" s="113" t="s">
        <v>18</v>
      </c>
      <c r="C19" s="44">
        <f>2+1</f>
        <v>3</v>
      </c>
      <c r="D19" s="49">
        <v>139151.28</v>
      </c>
    </row>
    <row r="20" spans="1:12">
      <c r="A20" s="50">
        <v>9</v>
      </c>
      <c r="B20" s="160" t="s">
        <v>19</v>
      </c>
      <c r="C20" s="161"/>
      <c r="D20" s="162"/>
    </row>
    <row r="21" spans="1:12">
      <c r="A21" s="50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648</v>
      </c>
      <c r="D22" s="47">
        <v>794683.45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11</v>
      </c>
      <c r="D23" s="47">
        <v>35073.75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10</v>
      </c>
      <c r="D26" s="47">
        <v>10895.25</v>
      </c>
    </row>
    <row r="27" spans="1:12">
      <c r="A27" s="46"/>
      <c r="B27" s="45" t="s">
        <v>26</v>
      </c>
      <c r="C27" s="46">
        <v>1</v>
      </c>
      <c r="D27" s="47">
        <v>351</v>
      </c>
      <c r="E27" s="173">
        <f>SUM(D22:D27)</f>
        <v>841003.45</v>
      </c>
    </row>
    <row r="28" spans="1:12">
      <c r="A28" s="46">
        <v>11</v>
      </c>
      <c r="B28" s="271" t="s">
        <v>270</v>
      </c>
      <c r="C28" s="46">
        <v>20</v>
      </c>
      <c r="D28" s="47">
        <v>1031922.99</v>
      </c>
      <c r="E28" s="173"/>
    </row>
    <row r="29" spans="1:12">
      <c r="A29" s="46"/>
      <c r="B29" s="272" t="s">
        <v>267</v>
      </c>
      <c r="C29" s="46">
        <v>2</v>
      </c>
      <c r="D29" s="47">
        <v>58291.78</v>
      </c>
      <c r="E29" s="173"/>
    </row>
    <row r="30" spans="1:12">
      <c r="A30" s="46"/>
      <c r="B30" s="271" t="s">
        <v>266</v>
      </c>
      <c r="C30" s="46">
        <v>1</v>
      </c>
      <c r="D30" s="47">
        <v>23917.75</v>
      </c>
      <c r="E30" s="173"/>
    </row>
    <row r="31" spans="1:12">
      <c r="A31" s="46"/>
      <c r="B31" s="271" t="s">
        <v>271</v>
      </c>
      <c r="C31" s="46">
        <v>1</v>
      </c>
      <c r="D31" s="47">
        <v>21918.5</v>
      </c>
      <c r="E31" s="173"/>
    </row>
    <row r="32" spans="1:12">
      <c r="A32" s="46"/>
      <c r="B32" s="271" t="s">
        <v>272</v>
      </c>
      <c r="C32" s="46"/>
      <c r="D32" s="47"/>
      <c r="E32" s="173">
        <f>SUM(D28:D32)</f>
        <v>1136051.02</v>
      </c>
    </row>
    <row r="33" spans="1:13">
      <c r="A33" s="50">
        <v>12</v>
      </c>
      <c r="B33" s="258" t="s">
        <v>69</v>
      </c>
      <c r="C33" s="50">
        <v>885</v>
      </c>
      <c r="D33" s="52">
        <v>1323939.44</v>
      </c>
    </row>
    <row r="34" spans="1:13">
      <c r="A34" s="50"/>
      <c r="B34" s="258" t="s">
        <v>256</v>
      </c>
      <c r="C34" s="50">
        <v>268</v>
      </c>
      <c r="D34" s="52">
        <v>517843.73</v>
      </c>
    </row>
    <row r="35" spans="1:13">
      <c r="A35" s="50"/>
      <c r="B35" s="258" t="s">
        <v>72</v>
      </c>
      <c r="C35" s="50">
        <v>18</v>
      </c>
      <c r="D35" s="52">
        <v>48367.75</v>
      </c>
    </row>
    <row r="36" spans="1:13">
      <c r="A36" s="50"/>
      <c r="B36" s="258" t="s">
        <v>257</v>
      </c>
      <c r="C36" s="50">
        <v>184</v>
      </c>
      <c r="D36" s="52">
        <v>328562.25</v>
      </c>
    </row>
    <row r="37" spans="1:13">
      <c r="A37" s="50"/>
      <c r="B37" s="258" t="s">
        <v>258</v>
      </c>
      <c r="C37" s="50">
        <v>31</v>
      </c>
      <c r="D37" s="52">
        <v>2182.25</v>
      </c>
      <c r="E37" s="276">
        <f>SUM(D33:D37)</f>
        <v>2220895.42</v>
      </c>
    </row>
    <row r="38" spans="1:13">
      <c r="A38" s="50">
        <v>13</v>
      </c>
      <c r="B38" s="258" t="s">
        <v>259</v>
      </c>
      <c r="C38" s="50">
        <v>36</v>
      </c>
      <c r="D38" s="52">
        <v>1253251.8500000001</v>
      </c>
    </row>
    <row r="39" spans="1:13">
      <c r="A39" s="50"/>
      <c r="B39" s="258" t="s">
        <v>260</v>
      </c>
      <c r="C39" s="50">
        <v>26</v>
      </c>
      <c r="D39" s="52">
        <v>1608227.19</v>
      </c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>
        <v>28</v>
      </c>
      <c r="D41" s="52">
        <v>1978012.19</v>
      </c>
    </row>
    <row r="42" spans="1:13">
      <c r="A42" s="50"/>
      <c r="B42" s="269" t="s">
        <v>263</v>
      </c>
      <c r="C42" s="50">
        <v>10</v>
      </c>
      <c r="D42" s="52">
        <v>330199.5</v>
      </c>
      <c r="E42" s="172">
        <f>SUM(D38:D42)</f>
        <v>5169690.7300000004</v>
      </c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/>
    </row>
    <row r="45" spans="1:13">
      <c r="A45" s="46">
        <v>14</v>
      </c>
      <c r="B45" s="45" t="s">
        <v>36</v>
      </c>
      <c r="C45" s="46">
        <v>61</v>
      </c>
      <c r="D45" s="47">
        <v>57918.25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1</v>
      </c>
      <c r="D46" s="47">
        <v>16067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6</v>
      </c>
      <c r="D47" s="47">
        <v>269075.87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3</v>
      </c>
      <c r="D49" s="47">
        <v>57611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>
        <v>1</v>
      </c>
      <c r="D50" s="52">
        <v>901.25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24</v>
      </c>
      <c r="D53" s="47">
        <v>9132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59+22</f>
        <v>81</v>
      </c>
      <c r="D54" s="52">
        <f>50170+14454</f>
        <v>64624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37</v>
      </c>
      <c r="D55" s="47">
        <v>18077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4</v>
      </c>
      <c r="D56" s="150">
        <v>2077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2</v>
      </c>
      <c r="D58" s="47">
        <v>2062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11451860.829999998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61"/>
  <sheetViews>
    <sheetView topLeftCell="A49" workbookViewId="0">
      <selection activeCell="D54" sqref="D54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302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377</v>
      </c>
      <c r="D6" s="49">
        <v>859308.97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12</v>
      </c>
      <c r="D9" s="49">
        <v>1076649.96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>
        <v>1</v>
      </c>
      <c r="D11" s="49">
        <v>33072</v>
      </c>
    </row>
    <row r="12" spans="1:4">
      <c r="A12" s="44">
        <v>5</v>
      </c>
      <c r="B12" s="48" t="s">
        <v>11</v>
      </c>
      <c r="C12" s="44">
        <v>42</v>
      </c>
      <c r="D12" s="49">
        <v>84758.25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1</v>
      </c>
      <c r="D14" s="49">
        <v>17331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f>8+1+1</f>
        <v>10</v>
      </c>
      <c r="D16" s="259">
        <v>7886.75</v>
      </c>
    </row>
    <row r="17" spans="1:12">
      <c r="A17" s="46"/>
      <c r="B17" s="45" t="s">
        <v>16</v>
      </c>
      <c r="C17" s="46">
        <f>2+1</f>
        <v>3</v>
      </c>
      <c r="D17" s="47">
        <v>63715</v>
      </c>
    </row>
    <row r="18" spans="1:12">
      <c r="A18" s="44">
        <v>8</v>
      </c>
      <c r="B18" s="48" t="s">
        <v>17</v>
      </c>
      <c r="C18" s="44">
        <f>1+1+3</f>
        <v>5</v>
      </c>
      <c r="D18" s="49">
        <v>9672</v>
      </c>
    </row>
    <row r="19" spans="1:12">
      <c r="A19" s="44"/>
      <c r="B19" s="48" t="s">
        <v>18</v>
      </c>
      <c r="C19" s="44">
        <f>1+8</f>
        <v>9</v>
      </c>
      <c r="D19" s="49">
        <v>6263415.3200000003</v>
      </c>
    </row>
    <row r="20" spans="1:12">
      <c r="A20" s="50">
        <v>9</v>
      </c>
      <c r="B20" s="174" t="s">
        <v>19</v>
      </c>
      <c r="C20" s="161"/>
      <c r="D20" s="162"/>
    </row>
    <row r="21" spans="1:12">
      <c r="A21" s="50"/>
      <c r="B21" s="174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671</v>
      </c>
      <c r="D22" s="47">
        <v>864949.58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15</v>
      </c>
      <c r="D23" s="47">
        <v>39028.25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10</v>
      </c>
      <c r="D26" s="47">
        <v>3900</v>
      </c>
    </row>
    <row r="27" spans="1:12">
      <c r="A27" s="46"/>
      <c r="B27" s="45" t="s">
        <v>26</v>
      </c>
      <c r="C27" s="46"/>
      <c r="D27" s="47"/>
      <c r="E27" s="173">
        <f>SUM(D22:D27)</f>
        <v>907877.83</v>
      </c>
    </row>
    <row r="28" spans="1:12">
      <c r="A28" s="46">
        <v>11</v>
      </c>
      <c r="B28" s="271" t="s">
        <v>270</v>
      </c>
      <c r="C28" s="46">
        <v>26</v>
      </c>
      <c r="D28" s="47">
        <v>758848.19</v>
      </c>
      <c r="E28" s="173"/>
    </row>
    <row r="29" spans="1:12">
      <c r="A29" s="46"/>
      <c r="B29" s="272" t="s">
        <v>267</v>
      </c>
      <c r="C29" s="46"/>
      <c r="D29" s="47"/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46">
        <v>912</v>
      </c>
      <c r="D33" s="49">
        <v>1324815.55</v>
      </c>
      <c r="E33" s="173"/>
    </row>
    <row r="34" spans="1:13">
      <c r="A34" s="50"/>
      <c r="B34" s="258" t="s">
        <v>256</v>
      </c>
      <c r="C34" s="46">
        <v>329</v>
      </c>
      <c r="D34" s="49">
        <v>587589.34</v>
      </c>
      <c r="E34" s="173"/>
    </row>
    <row r="35" spans="1:13">
      <c r="A35" s="50"/>
      <c r="B35" s="258" t="s">
        <v>72</v>
      </c>
      <c r="C35" s="50">
        <v>24</v>
      </c>
      <c r="D35" s="52">
        <v>41148.11</v>
      </c>
    </row>
    <row r="36" spans="1:13">
      <c r="A36" s="50"/>
      <c r="B36" s="258" t="s">
        <v>257</v>
      </c>
      <c r="C36" s="50">
        <v>209</v>
      </c>
      <c r="D36" s="52">
        <v>357204</v>
      </c>
    </row>
    <row r="37" spans="1:13">
      <c r="A37" s="50"/>
      <c r="B37" s="258" t="s">
        <v>258</v>
      </c>
      <c r="C37" s="50">
        <v>31</v>
      </c>
      <c r="D37" s="52">
        <v>1120</v>
      </c>
      <c r="E37" s="276">
        <f>SUM(D33:D37)</f>
        <v>2311877</v>
      </c>
    </row>
    <row r="38" spans="1:13">
      <c r="A38" s="50">
        <v>13</v>
      </c>
      <c r="B38" s="258" t="s">
        <v>259</v>
      </c>
      <c r="C38" s="50">
        <v>51</v>
      </c>
      <c r="D38" s="52">
        <v>1588479.45</v>
      </c>
    </row>
    <row r="39" spans="1:13">
      <c r="A39" s="50"/>
      <c r="B39" s="258" t="s">
        <v>260</v>
      </c>
      <c r="C39" s="50">
        <v>24</v>
      </c>
      <c r="D39" s="52">
        <v>1306597.51</v>
      </c>
    </row>
    <row r="40" spans="1:13">
      <c r="A40" s="50"/>
      <c r="B40" s="258" t="s">
        <v>261</v>
      </c>
      <c r="C40" s="50">
        <v>3</v>
      </c>
      <c r="D40" s="52">
        <v>82895</v>
      </c>
    </row>
    <row r="41" spans="1:13">
      <c r="A41" s="50"/>
      <c r="B41" s="258" t="s">
        <v>262</v>
      </c>
      <c r="C41" s="50">
        <v>23</v>
      </c>
      <c r="D41" s="52">
        <v>1047248.95</v>
      </c>
    </row>
    <row r="42" spans="1:13">
      <c r="A42" s="50"/>
      <c r="B42" s="269" t="s">
        <v>263</v>
      </c>
      <c r="C42" s="50">
        <v>5</v>
      </c>
      <c r="D42" s="52">
        <v>204617</v>
      </c>
    </row>
    <row r="43" spans="1:13">
      <c r="A43" s="50"/>
      <c r="B43" s="269" t="s">
        <v>264</v>
      </c>
      <c r="C43" s="50"/>
      <c r="D43" s="52"/>
    </row>
    <row r="44" spans="1:13">
      <c r="A44" s="50"/>
      <c r="B44" s="269" t="s">
        <v>265</v>
      </c>
      <c r="C44" s="50"/>
      <c r="D44" s="52"/>
      <c r="E44" s="172">
        <f>SUM(D38:D44)</f>
        <v>4229837.91</v>
      </c>
    </row>
    <row r="45" spans="1:13">
      <c r="A45" s="46">
        <v>14</v>
      </c>
      <c r="B45" s="45" t="s">
        <v>36</v>
      </c>
      <c r="C45" s="46">
        <v>64</v>
      </c>
      <c r="D45" s="47">
        <v>65286.11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2</v>
      </c>
      <c r="D46" s="47">
        <v>6609.25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8</v>
      </c>
      <c r="D47" s="47">
        <v>211842.79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1</v>
      </c>
      <c r="D48" s="47">
        <v>20980.39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2</v>
      </c>
      <c r="D49" s="47">
        <v>43747.5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/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24</v>
      </c>
      <c r="D53" s="47">
        <v>12707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64+27</f>
        <v>91</v>
      </c>
      <c r="D54" s="52">
        <f>50865+19340</f>
        <v>70205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42</v>
      </c>
      <c r="D55" s="47">
        <v>25498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5</v>
      </c>
      <c r="D56" s="150">
        <v>3208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2</v>
      </c>
      <c r="D58" s="47">
        <v>8662.5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17092996.719999999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61"/>
  <sheetViews>
    <sheetView topLeftCell="A46" workbookViewId="0">
      <selection activeCell="D55" sqref="D55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303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385</v>
      </c>
      <c r="D6" s="49">
        <v>1081041.8500000001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15</v>
      </c>
      <c r="D9" s="49">
        <v>378301.64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>
        <v>1</v>
      </c>
      <c r="D11" s="49">
        <v>8392</v>
      </c>
    </row>
    <row r="12" spans="1:4">
      <c r="A12" s="44">
        <v>5</v>
      </c>
      <c r="B12" s="48" t="s">
        <v>11</v>
      </c>
      <c r="C12" s="44">
        <v>45</v>
      </c>
      <c r="D12" s="49">
        <v>98683.24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3</v>
      </c>
      <c r="D14" s="49">
        <v>114142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7</v>
      </c>
      <c r="D16" s="47">
        <v>7619</v>
      </c>
    </row>
    <row r="17" spans="1:12">
      <c r="A17" s="46"/>
      <c r="B17" s="45" t="s">
        <v>16</v>
      </c>
      <c r="C17" s="46">
        <v>1</v>
      </c>
      <c r="D17" s="47">
        <v>30000</v>
      </c>
    </row>
    <row r="18" spans="1:12">
      <c r="A18" s="44">
        <v>8</v>
      </c>
      <c r="B18" s="48" t="s">
        <v>17</v>
      </c>
      <c r="C18" s="44">
        <f>1+1</f>
        <v>2</v>
      </c>
      <c r="D18" s="49">
        <v>1959</v>
      </c>
    </row>
    <row r="19" spans="1:12">
      <c r="A19" s="44"/>
      <c r="B19" s="48" t="s">
        <v>18</v>
      </c>
      <c r="C19" s="44">
        <f>1+2+1+1+1</f>
        <v>6</v>
      </c>
      <c r="D19" s="49">
        <v>532900.28</v>
      </c>
    </row>
    <row r="20" spans="1:12">
      <c r="A20" s="50">
        <v>9</v>
      </c>
      <c r="B20" s="174" t="s">
        <v>19</v>
      </c>
      <c r="C20" s="161"/>
      <c r="D20" s="162"/>
    </row>
    <row r="21" spans="1:12">
      <c r="A21" s="50"/>
      <c r="B21" s="174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651</v>
      </c>
      <c r="D22" s="47">
        <v>778999.94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14</v>
      </c>
      <c r="D23" s="47">
        <v>28681.5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7</v>
      </c>
      <c r="D26" s="47">
        <v>3542</v>
      </c>
    </row>
    <row r="27" spans="1:12">
      <c r="A27" s="46"/>
      <c r="B27" s="45" t="s">
        <v>26</v>
      </c>
      <c r="C27" s="46">
        <v>2</v>
      </c>
      <c r="D27" s="47">
        <v>1377</v>
      </c>
      <c r="E27" s="173">
        <f>SUM(D22:D27)</f>
        <v>812600.44</v>
      </c>
    </row>
    <row r="28" spans="1:12">
      <c r="A28" s="46">
        <v>11</v>
      </c>
      <c r="B28" s="271" t="s">
        <v>270</v>
      </c>
      <c r="C28" s="46">
        <v>19</v>
      </c>
      <c r="D28" s="47">
        <v>552103.74</v>
      </c>
      <c r="E28" s="173"/>
    </row>
    <row r="29" spans="1:12">
      <c r="A29" s="46"/>
      <c r="B29" s="272" t="s">
        <v>267</v>
      </c>
      <c r="C29" s="46">
        <v>4</v>
      </c>
      <c r="D29" s="47">
        <v>341954.12</v>
      </c>
      <c r="E29" s="173"/>
    </row>
    <row r="30" spans="1:12">
      <c r="A30" s="46"/>
      <c r="B30" s="271" t="s">
        <v>266</v>
      </c>
      <c r="C30" s="46">
        <v>1</v>
      </c>
      <c r="D30" s="47">
        <v>36809.5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894</v>
      </c>
      <c r="D33" s="52">
        <v>1111569.31</v>
      </c>
    </row>
    <row r="34" spans="1:13">
      <c r="A34" s="50"/>
      <c r="B34" s="258" t="s">
        <v>256</v>
      </c>
      <c r="C34" s="50">
        <v>314</v>
      </c>
      <c r="D34" s="52">
        <v>355310.23</v>
      </c>
    </row>
    <row r="35" spans="1:13">
      <c r="A35" s="50"/>
      <c r="B35" s="258" t="s">
        <v>72</v>
      </c>
      <c r="C35" s="50">
        <v>19</v>
      </c>
      <c r="D35" s="52">
        <v>31727.11</v>
      </c>
    </row>
    <row r="36" spans="1:13">
      <c r="A36" s="50"/>
      <c r="B36" s="258" t="s">
        <v>257</v>
      </c>
      <c r="C36" s="50">
        <v>248</v>
      </c>
      <c r="D36" s="52">
        <v>260837.74</v>
      </c>
    </row>
    <row r="37" spans="1:13">
      <c r="A37" s="50"/>
      <c r="B37" s="258" t="s">
        <v>258</v>
      </c>
      <c r="C37" s="50">
        <v>39</v>
      </c>
      <c r="D37" s="52">
        <v>4273</v>
      </c>
      <c r="E37" s="276">
        <f>SUM(D33:D37)</f>
        <v>1763717.3900000001</v>
      </c>
    </row>
    <row r="38" spans="1:13">
      <c r="A38" s="50">
        <v>13</v>
      </c>
      <c r="B38" s="258" t="s">
        <v>259</v>
      </c>
      <c r="C38" s="50">
        <v>39</v>
      </c>
      <c r="D38" s="52">
        <v>1673005.36</v>
      </c>
    </row>
    <row r="39" spans="1:13">
      <c r="A39" s="50"/>
      <c r="B39" s="258" t="s">
        <v>260</v>
      </c>
      <c r="C39" s="50">
        <v>28</v>
      </c>
      <c r="D39" s="52">
        <v>1326238.4099999999</v>
      </c>
    </row>
    <row r="40" spans="1:13">
      <c r="A40" s="50"/>
      <c r="B40" s="258" t="s">
        <v>261</v>
      </c>
      <c r="C40" s="50">
        <v>1</v>
      </c>
      <c r="D40" s="52">
        <v>18907</v>
      </c>
    </row>
    <row r="41" spans="1:13">
      <c r="A41" s="50"/>
      <c r="B41" s="258" t="s">
        <v>262</v>
      </c>
      <c r="C41" s="50">
        <v>19</v>
      </c>
      <c r="D41" s="52">
        <v>1817168.93</v>
      </c>
    </row>
    <row r="42" spans="1:13">
      <c r="A42" s="50"/>
      <c r="B42" s="269" t="s">
        <v>263</v>
      </c>
      <c r="C42" s="50">
        <v>4</v>
      </c>
      <c r="D42" s="52">
        <v>43280.25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4878599.95</v>
      </c>
    </row>
    <row r="45" spans="1:13">
      <c r="A45" s="46">
        <v>14</v>
      </c>
      <c r="B45" s="45" t="s">
        <v>36</v>
      </c>
      <c r="C45" s="46">
        <v>70</v>
      </c>
      <c r="D45" s="47">
        <v>83905.25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5</v>
      </c>
      <c r="D46" s="47">
        <v>3229.75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5</v>
      </c>
      <c r="D47" s="47">
        <v>129433.3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3</v>
      </c>
      <c r="D49" s="47">
        <v>145138.5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18</v>
      </c>
      <c r="D53" s="47">
        <v>6335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39+27</f>
        <v>66</v>
      </c>
      <c r="D54" s="52">
        <f>26935+19260</f>
        <v>46195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46</v>
      </c>
      <c r="D55" s="47">
        <v>25705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3</v>
      </c>
      <c r="D56" s="150">
        <v>758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2</v>
      </c>
      <c r="D57" s="47">
        <v>2122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1</v>
      </c>
      <c r="D58" s="47">
        <v>425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11082070.950000003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61"/>
  <sheetViews>
    <sheetView topLeftCell="A46" workbookViewId="0">
      <selection activeCell="D55" sqref="D55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7.453125" style="40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304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101</v>
      </c>
      <c r="D6" s="49">
        <v>355204.73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14</v>
      </c>
      <c r="D9" s="49">
        <v>652944.31000000006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8</v>
      </c>
      <c r="D12" s="49">
        <v>31477.75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1</v>
      </c>
      <c r="D14" s="49">
        <v>76135.259999999995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8</v>
      </c>
      <c r="D16" s="47">
        <v>21004.5</v>
      </c>
    </row>
    <row r="17" spans="1:12">
      <c r="A17" s="46"/>
      <c r="B17" s="45" t="s">
        <v>16</v>
      </c>
      <c r="C17" s="46">
        <v>1</v>
      </c>
      <c r="D17" s="47">
        <v>30000</v>
      </c>
    </row>
    <row r="18" spans="1:12">
      <c r="A18" s="44">
        <v>8</v>
      </c>
      <c r="B18" s="48" t="s">
        <v>17</v>
      </c>
      <c r="C18" s="44">
        <f>2+1+3+1</f>
        <v>7</v>
      </c>
      <c r="D18" s="49">
        <v>32171</v>
      </c>
    </row>
    <row r="19" spans="1:12">
      <c r="A19" s="44"/>
      <c r="B19" s="48" t="s">
        <v>18</v>
      </c>
      <c r="C19" s="44">
        <v>1</v>
      </c>
      <c r="D19" s="49">
        <v>6800</v>
      </c>
    </row>
    <row r="20" spans="1:12">
      <c r="A20" s="50">
        <v>9</v>
      </c>
      <c r="B20" s="174" t="s">
        <v>19</v>
      </c>
      <c r="C20" s="161"/>
      <c r="D20" s="162"/>
    </row>
    <row r="21" spans="1:12">
      <c r="A21" s="50"/>
      <c r="B21" s="174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160</v>
      </c>
      <c r="D22" s="47">
        <v>161525.5</v>
      </c>
      <c r="F22" s="117"/>
      <c r="H22" s="117"/>
      <c r="J22" s="117"/>
      <c r="L22" s="120"/>
    </row>
    <row r="23" spans="1:12">
      <c r="A23" s="46"/>
      <c r="B23" s="45" t="s">
        <v>22</v>
      </c>
      <c r="C23" s="46"/>
      <c r="D23" s="47"/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/>
      <c r="D26" s="47"/>
    </row>
    <row r="27" spans="1:12">
      <c r="A27" s="46"/>
      <c r="B27" s="45" t="s">
        <v>26</v>
      </c>
      <c r="C27" s="46">
        <v>1</v>
      </c>
      <c r="D27" s="47">
        <v>1574.5</v>
      </c>
      <c r="E27" s="173">
        <f>SUM(D22:D27)</f>
        <v>163100</v>
      </c>
    </row>
    <row r="28" spans="1:12">
      <c r="A28" s="46">
        <v>11</v>
      </c>
      <c r="B28" s="271" t="s">
        <v>270</v>
      </c>
      <c r="C28" s="46">
        <v>20</v>
      </c>
      <c r="D28" s="47">
        <v>743753.97</v>
      </c>
      <c r="E28" s="173"/>
    </row>
    <row r="29" spans="1:12">
      <c r="A29" s="46"/>
      <c r="B29" s="272" t="s">
        <v>267</v>
      </c>
      <c r="C29" s="46">
        <v>1</v>
      </c>
      <c r="D29" s="47">
        <v>131622.25</v>
      </c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154</v>
      </c>
      <c r="D33" s="52">
        <v>205101.25</v>
      </c>
    </row>
    <row r="34" spans="1:13">
      <c r="A34" s="50"/>
      <c r="B34" s="258" t="s">
        <v>256</v>
      </c>
      <c r="C34" s="50">
        <v>50</v>
      </c>
      <c r="D34" s="52">
        <v>104979.25</v>
      </c>
    </row>
    <row r="35" spans="1:13">
      <c r="A35" s="50"/>
      <c r="B35" s="258" t="s">
        <v>72</v>
      </c>
      <c r="C35" s="50">
        <v>4</v>
      </c>
      <c r="D35" s="52">
        <v>2504.5</v>
      </c>
    </row>
    <row r="36" spans="1:13">
      <c r="A36" s="50"/>
      <c r="B36" s="258" t="s">
        <v>257</v>
      </c>
      <c r="C36" s="50">
        <v>48</v>
      </c>
      <c r="D36" s="52">
        <v>55109.5</v>
      </c>
    </row>
    <row r="37" spans="1:13">
      <c r="A37" s="50"/>
      <c r="B37" s="258" t="s">
        <v>258</v>
      </c>
      <c r="C37" s="50"/>
      <c r="D37" s="52"/>
      <c r="E37" s="276">
        <f>SUM(D33:D37)</f>
        <v>367694.5</v>
      </c>
    </row>
    <row r="38" spans="1:13">
      <c r="A38" s="50">
        <v>13</v>
      </c>
      <c r="B38" s="258" t="s">
        <v>259</v>
      </c>
      <c r="C38" s="50">
        <v>35</v>
      </c>
      <c r="D38" s="52">
        <v>826991.7</v>
      </c>
    </row>
    <row r="39" spans="1:13">
      <c r="A39" s="50"/>
      <c r="B39" s="258" t="s">
        <v>260</v>
      </c>
      <c r="C39" s="50">
        <v>19</v>
      </c>
      <c r="D39" s="52">
        <v>809365.36</v>
      </c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>
        <v>15</v>
      </c>
      <c r="D41" s="52">
        <v>241813.79</v>
      </c>
    </row>
    <row r="42" spans="1:13">
      <c r="A42" s="50"/>
      <c r="B42" s="269" t="s">
        <v>263</v>
      </c>
      <c r="C42" s="50">
        <v>8</v>
      </c>
      <c r="D42" s="52">
        <v>124010.75</v>
      </c>
      <c r="E42" s="172"/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>
        <f>SUM(D38:D44)</f>
        <v>2002181.6</v>
      </c>
    </row>
    <row r="45" spans="1:13">
      <c r="A45" s="46">
        <v>14</v>
      </c>
      <c r="B45" s="45" t="s">
        <v>36</v>
      </c>
      <c r="C45" s="46">
        <v>15</v>
      </c>
      <c r="D45" s="47">
        <v>7649.75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/>
      <c r="B47" s="271" t="s">
        <v>273</v>
      </c>
      <c r="C47" s="50">
        <v>2</v>
      </c>
      <c r="D47" s="52">
        <v>37624.17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50">
        <v>16</v>
      </c>
      <c r="B48" s="271" t="s">
        <v>274</v>
      </c>
      <c r="C48" s="50">
        <v>1</v>
      </c>
      <c r="D48" s="52">
        <v>23040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50"/>
      <c r="B49" s="271" t="s">
        <v>275</v>
      </c>
      <c r="C49" s="50">
        <v>1</v>
      </c>
      <c r="D49" s="52">
        <v>111491.25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/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L50" s="72"/>
      <c r="M50" s="72"/>
    </row>
    <row r="51" spans="1:13">
      <c r="A51" s="50"/>
      <c r="B51" s="48" t="s">
        <v>46</v>
      </c>
      <c r="C51" s="50"/>
      <c r="D51" s="52"/>
      <c r="F51" s="118"/>
      <c r="G51" s="72"/>
      <c r="H51" s="118"/>
      <c r="I51" s="72"/>
      <c r="J51" s="118"/>
      <c r="K51" s="72"/>
      <c r="L51" s="72"/>
      <c r="M51" s="72"/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5</v>
      </c>
      <c r="D53" s="47">
        <v>1732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11+4</f>
        <v>15</v>
      </c>
      <c r="D54" s="52">
        <f>5696+2478</f>
        <v>8174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6</v>
      </c>
      <c r="D55" s="47">
        <v>1910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/>
      <c r="D56" s="150"/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1</v>
      </c>
      <c r="D58" s="47">
        <v>1444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4807155.04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61"/>
  <sheetViews>
    <sheetView workbookViewId="0">
      <selection activeCell="C15" sqref="C15:D15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7.453125" style="40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305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64</v>
      </c>
      <c r="D6" s="49">
        <v>137010.5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5</v>
      </c>
      <c r="D9" s="49">
        <v>242887.03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>
        <v>1</v>
      </c>
      <c r="D11" s="49">
        <v>18548</v>
      </c>
    </row>
    <row r="12" spans="1:4">
      <c r="A12" s="44">
        <v>5</v>
      </c>
      <c r="B12" s="48" t="s">
        <v>11</v>
      </c>
      <c r="C12" s="44">
        <v>3</v>
      </c>
      <c r="D12" s="49">
        <v>990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/>
      <c r="D14" s="49"/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>
        <v>7</v>
      </c>
      <c r="D16" s="47">
        <v>14450</v>
      </c>
    </row>
    <row r="17" spans="1:12">
      <c r="A17" s="46"/>
      <c r="B17" s="45" t="s">
        <v>16</v>
      </c>
      <c r="C17" s="46"/>
      <c r="D17" s="47"/>
    </row>
    <row r="18" spans="1:12">
      <c r="A18" s="44">
        <v>8</v>
      </c>
      <c r="B18" s="113" t="s">
        <v>17</v>
      </c>
      <c r="C18" s="44">
        <f>1+1</f>
        <v>2</v>
      </c>
      <c r="D18" s="49">
        <v>6170.2</v>
      </c>
    </row>
    <row r="19" spans="1:12">
      <c r="A19" s="44"/>
      <c r="B19" s="113" t="s">
        <v>18</v>
      </c>
      <c r="C19" s="44"/>
      <c r="D19" s="49"/>
    </row>
    <row r="20" spans="1:12">
      <c r="A20" s="50">
        <v>9</v>
      </c>
      <c r="B20" s="174" t="s">
        <v>19</v>
      </c>
      <c r="C20" s="161"/>
      <c r="D20" s="162"/>
    </row>
    <row r="21" spans="1:12">
      <c r="A21" s="50"/>
      <c r="B21" s="174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116</v>
      </c>
      <c r="D22" s="47">
        <v>134518.25</v>
      </c>
      <c r="F22" s="117"/>
      <c r="H22" s="117"/>
      <c r="J22" s="117"/>
      <c r="L22" s="120"/>
    </row>
    <row r="23" spans="1:12">
      <c r="A23" s="46"/>
      <c r="B23" s="45" t="s">
        <v>22</v>
      </c>
      <c r="C23" s="46"/>
      <c r="D23" s="47"/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/>
      <c r="D26" s="47"/>
    </row>
    <row r="27" spans="1:12">
      <c r="A27" s="46"/>
      <c r="B27" s="45" t="s">
        <v>26</v>
      </c>
      <c r="C27" s="46">
        <v>1</v>
      </c>
      <c r="D27" s="47">
        <v>150</v>
      </c>
      <c r="E27" s="173">
        <f>SUM(D22:D27)</f>
        <v>134668.25</v>
      </c>
    </row>
    <row r="28" spans="1:12">
      <c r="A28" s="46">
        <v>11</v>
      </c>
      <c r="B28" s="271" t="s">
        <v>270</v>
      </c>
      <c r="C28" s="46">
        <v>9</v>
      </c>
      <c r="D28" s="47">
        <v>731220.36</v>
      </c>
      <c r="E28" s="173"/>
    </row>
    <row r="29" spans="1:12">
      <c r="A29" s="46"/>
      <c r="B29" s="272" t="s">
        <v>267</v>
      </c>
      <c r="C29" s="46">
        <v>1</v>
      </c>
      <c r="D29" s="47">
        <v>58233</v>
      </c>
      <c r="E29" s="173"/>
    </row>
    <row r="30" spans="1:12">
      <c r="A30" s="46"/>
      <c r="B30" s="271" t="s">
        <v>266</v>
      </c>
      <c r="C30" s="46">
        <v>1</v>
      </c>
      <c r="D30" s="47">
        <v>124932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>
        <f>SUM(D28:D32)</f>
        <v>914385.36</v>
      </c>
    </row>
    <row r="33" spans="1:13">
      <c r="A33" s="50">
        <v>12</v>
      </c>
      <c r="B33" s="258" t="s">
        <v>69</v>
      </c>
      <c r="C33" s="50">
        <v>161</v>
      </c>
      <c r="D33" s="52">
        <v>236420.25</v>
      </c>
    </row>
    <row r="34" spans="1:13">
      <c r="A34" s="50"/>
      <c r="B34" s="258" t="s">
        <v>256</v>
      </c>
      <c r="C34" s="50">
        <v>32</v>
      </c>
      <c r="D34" s="52">
        <v>46996.5</v>
      </c>
    </row>
    <row r="35" spans="1:13">
      <c r="A35" s="50"/>
      <c r="B35" s="258" t="s">
        <v>72</v>
      </c>
      <c r="C35" s="50">
        <v>5</v>
      </c>
      <c r="D35" s="52">
        <v>7625.5</v>
      </c>
    </row>
    <row r="36" spans="1:13">
      <c r="A36" s="50"/>
      <c r="B36" s="258" t="s">
        <v>257</v>
      </c>
      <c r="C36" s="50">
        <v>68</v>
      </c>
      <c r="D36" s="52">
        <v>79290.5</v>
      </c>
    </row>
    <row r="37" spans="1:13">
      <c r="A37" s="50"/>
      <c r="B37" s="258" t="s">
        <v>258</v>
      </c>
      <c r="C37" s="50"/>
      <c r="D37" s="52"/>
      <c r="E37" s="276">
        <f>SUM(D33:D37)</f>
        <v>370332.75</v>
      </c>
    </row>
    <row r="38" spans="1:13">
      <c r="A38" s="50">
        <v>13</v>
      </c>
      <c r="B38" s="258" t="s">
        <v>259</v>
      </c>
      <c r="C38" s="50">
        <v>16</v>
      </c>
      <c r="D38" s="52">
        <v>377399.86</v>
      </c>
    </row>
    <row r="39" spans="1:13">
      <c r="A39" s="50"/>
      <c r="B39" s="258" t="s">
        <v>260</v>
      </c>
      <c r="C39" s="50">
        <v>16</v>
      </c>
      <c r="D39" s="52">
        <v>1059193.3700000001</v>
      </c>
    </row>
    <row r="40" spans="1:13">
      <c r="A40" s="50"/>
      <c r="B40" s="258" t="s">
        <v>261</v>
      </c>
      <c r="C40" s="50">
        <v>1</v>
      </c>
      <c r="D40" s="52">
        <v>15289.12</v>
      </c>
    </row>
    <row r="41" spans="1:13">
      <c r="A41" s="50"/>
      <c r="B41" s="258" t="s">
        <v>262</v>
      </c>
      <c r="C41" s="50">
        <v>16</v>
      </c>
      <c r="D41" s="52">
        <v>392177.44</v>
      </c>
    </row>
    <row r="42" spans="1:13">
      <c r="A42" s="50"/>
      <c r="B42" s="269" t="s">
        <v>263</v>
      </c>
      <c r="C42" s="50">
        <v>3</v>
      </c>
      <c r="D42" s="52">
        <v>31641.25</v>
      </c>
      <c r="E42" s="172">
        <f>SUM(D33:D42)</f>
        <v>2246033.79</v>
      </c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/>
    </row>
    <row r="45" spans="1:13">
      <c r="A45" s="46">
        <v>14</v>
      </c>
      <c r="B45" s="45" t="s">
        <v>36</v>
      </c>
      <c r="C45" s="46">
        <v>11</v>
      </c>
      <c r="D45" s="47">
        <v>5817.5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6</v>
      </c>
      <c r="D47" s="47">
        <v>82106.009999999995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1</v>
      </c>
      <c r="D48" s="47">
        <v>23380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/>
      <c r="D49" s="47"/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/>
      <c r="D53" s="47"/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/>
      <c r="D54" s="52"/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/>
      <c r="D55" s="47"/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/>
      <c r="D56" s="150"/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3826446.6399999997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61"/>
  <sheetViews>
    <sheetView topLeftCell="A46" workbookViewId="0">
      <selection activeCell="D55" sqref="D55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306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290</v>
      </c>
      <c r="D6" s="49">
        <v>1149593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8</v>
      </c>
      <c r="D9" s="49">
        <v>403418.64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60</v>
      </c>
      <c r="D12" s="49">
        <v>184521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/>
      <c r="D14" s="49"/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112" t="s">
        <v>15</v>
      </c>
      <c r="C16" s="46">
        <v>14</v>
      </c>
      <c r="D16" s="47">
        <v>36037</v>
      </c>
    </row>
    <row r="17" spans="1:12">
      <c r="A17" s="46"/>
      <c r="B17" s="112" t="s">
        <v>16</v>
      </c>
      <c r="C17" s="46">
        <v>3</v>
      </c>
      <c r="D17" s="47">
        <v>79461.75</v>
      </c>
    </row>
    <row r="18" spans="1:12">
      <c r="A18" s="44">
        <v>8</v>
      </c>
      <c r="B18" s="113" t="s">
        <v>17</v>
      </c>
      <c r="C18" s="44">
        <v>2</v>
      </c>
      <c r="D18" s="49">
        <v>3852</v>
      </c>
    </row>
    <row r="19" spans="1:12">
      <c r="A19" s="44"/>
      <c r="B19" s="113" t="s">
        <v>18</v>
      </c>
      <c r="C19" s="44">
        <f>1+1</f>
        <v>2</v>
      </c>
      <c r="D19" s="49">
        <v>157130.75</v>
      </c>
    </row>
    <row r="20" spans="1:12">
      <c r="A20" s="50">
        <v>9</v>
      </c>
      <c r="B20" s="174" t="s">
        <v>19</v>
      </c>
      <c r="C20" s="161">
        <v>111</v>
      </c>
      <c r="D20" s="162">
        <v>704822.46</v>
      </c>
    </row>
    <row r="21" spans="1:12">
      <c r="A21" s="50"/>
      <c r="B21" s="174" t="s">
        <v>20</v>
      </c>
      <c r="C21" s="161">
        <v>14</v>
      </c>
      <c r="D21" s="162">
        <v>1608995.74</v>
      </c>
    </row>
    <row r="22" spans="1:12" s="51" customFormat="1">
      <c r="A22" s="46">
        <v>10</v>
      </c>
      <c r="B22" s="45" t="s">
        <v>21</v>
      </c>
      <c r="C22" s="46">
        <v>638</v>
      </c>
      <c r="D22" s="47">
        <v>833059.93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14</v>
      </c>
      <c r="D23" s="47">
        <v>9322.25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6</v>
      </c>
      <c r="D26" s="47">
        <v>4110</v>
      </c>
    </row>
    <row r="27" spans="1:12">
      <c r="A27" s="46"/>
      <c r="B27" s="45" t="s">
        <v>26</v>
      </c>
      <c r="C27" s="46"/>
      <c r="D27" s="47"/>
      <c r="E27" s="173">
        <f>SUM(D22:D27)</f>
        <v>846492.18</v>
      </c>
    </row>
    <row r="28" spans="1:12">
      <c r="A28" s="46">
        <v>11</v>
      </c>
      <c r="B28" s="271" t="s">
        <v>270</v>
      </c>
      <c r="C28" s="46">
        <v>16</v>
      </c>
      <c r="D28" s="47">
        <v>525262.48</v>
      </c>
      <c r="E28" s="173"/>
    </row>
    <row r="29" spans="1:12">
      <c r="A29" s="46"/>
      <c r="B29" s="272" t="s">
        <v>267</v>
      </c>
      <c r="C29" s="46"/>
      <c r="D29" s="47"/>
      <c r="E29" s="173"/>
    </row>
    <row r="30" spans="1:12">
      <c r="A30" s="46"/>
      <c r="B30" s="271" t="s">
        <v>266</v>
      </c>
      <c r="C30" s="46">
        <v>1</v>
      </c>
      <c r="D30" s="47">
        <v>39725.25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918</v>
      </c>
      <c r="D33" s="52">
        <v>1386783.89</v>
      </c>
    </row>
    <row r="34" spans="1:13">
      <c r="A34" s="50"/>
      <c r="B34" s="258" t="s">
        <v>256</v>
      </c>
      <c r="C34" s="50">
        <v>335</v>
      </c>
      <c r="D34" s="52">
        <v>556134.06999999995</v>
      </c>
    </row>
    <row r="35" spans="1:13">
      <c r="A35" s="50"/>
      <c r="B35" s="258" t="s">
        <v>72</v>
      </c>
      <c r="C35" s="50">
        <v>22</v>
      </c>
      <c r="D35" s="52">
        <v>22632</v>
      </c>
    </row>
    <row r="36" spans="1:13">
      <c r="A36" s="50"/>
      <c r="B36" s="258" t="s">
        <v>257</v>
      </c>
      <c r="C36" s="50">
        <v>231</v>
      </c>
      <c r="D36" s="52">
        <v>313231.46999999997</v>
      </c>
    </row>
    <row r="37" spans="1:13">
      <c r="A37" s="50"/>
      <c r="B37" s="258" t="s">
        <v>258</v>
      </c>
      <c r="C37" s="50">
        <v>27</v>
      </c>
      <c r="D37" s="52">
        <v>1780</v>
      </c>
      <c r="E37" s="276">
        <f>SUM(D33:D37)</f>
        <v>2280561.4299999997</v>
      </c>
    </row>
    <row r="38" spans="1:13">
      <c r="A38" s="50">
        <v>13</v>
      </c>
      <c r="B38" s="258" t="s">
        <v>259</v>
      </c>
      <c r="C38" s="50">
        <v>37</v>
      </c>
      <c r="D38" s="52">
        <v>1913864.73</v>
      </c>
    </row>
    <row r="39" spans="1:13">
      <c r="A39" s="50"/>
      <c r="B39" s="258" t="s">
        <v>260</v>
      </c>
      <c r="C39" s="50">
        <v>12</v>
      </c>
      <c r="D39" s="52">
        <v>684718.2</v>
      </c>
    </row>
    <row r="40" spans="1:13">
      <c r="A40" s="50"/>
      <c r="B40" s="258" t="s">
        <v>261</v>
      </c>
      <c r="C40" s="50">
        <v>5</v>
      </c>
      <c r="D40" s="52">
        <v>236626.04</v>
      </c>
    </row>
    <row r="41" spans="1:13">
      <c r="A41" s="50"/>
      <c r="B41" s="258" t="s">
        <v>262</v>
      </c>
      <c r="C41" s="50">
        <v>8</v>
      </c>
      <c r="D41" s="52">
        <v>745770.79</v>
      </c>
    </row>
    <row r="42" spans="1:13">
      <c r="A42" s="50"/>
      <c r="B42" s="269" t="s">
        <v>263</v>
      </c>
      <c r="C42" s="50">
        <v>5</v>
      </c>
      <c r="D42" s="52">
        <v>347837.75</v>
      </c>
      <c r="E42" s="172">
        <f>SUM(D38:D42)</f>
        <v>3928817.51</v>
      </c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/>
    </row>
    <row r="45" spans="1:13">
      <c r="A45" s="46">
        <v>14</v>
      </c>
      <c r="B45" s="45" t="s">
        <v>36</v>
      </c>
      <c r="C45" s="46">
        <v>72</v>
      </c>
      <c r="D45" s="47">
        <v>55654.37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2</v>
      </c>
      <c r="D46" s="47">
        <v>9894.24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3</v>
      </c>
      <c r="D47" s="47">
        <v>74932.789999999994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2</v>
      </c>
      <c r="D49" s="47">
        <v>80629.75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>
        <v>3</v>
      </c>
      <c r="D50" s="52">
        <v>4505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>
        <v>1</v>
      </c>
      <c r="D52" s="126">
        <v>427516.22</v>
      </c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10</v>
      </c>
      <c r="D53" s="47">
        <v>1819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30+23</f>
        <v>53</v>
      </c>
      <c r="D54" s="52">
        <f>14562+13498</f>
        <v>28060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35</v>
      </c>
      <c r="D55" s="47">
        <v>11140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/>
      <c r="D56" s="150"/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2</v>
      </c>
      <c r="D57" s="47">
        <v>505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12643347.559999997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61"/>
  <sheetViews>
    <sheetView topLeftCell="A43" workbookViewId="0">
      <selection activeCell="D55" sqref="D55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8.08984375" style="40" bestFit="1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307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369</v>
      </c>
      <c r="D6" s="49">
        <v>1021933.09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12</v>
      </c>
      <c r="D9" s="49">
        <v>198262.26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67</v>
      </c>
      <c r="D12" s="49">
        <v>160522.5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2</v>
      </c>
      <c r="D14" s="49">
        <v>105573.14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112" t="s">
        <v>15</v>
      </c>
      <c r="C16" s="46">
        <v>27</v>
      </c>
      <c r="D16" s="47">
        <v>16403.25</v>
      </c>
    </row>
    <row r="17" spans="1:12">
      <c r="A17" s="46"/>
      <c r="B17" s="112" t="s">
        <v>16</v>
      </c>
      <c r="C17" s="46">
        <v>7</v>
      </c>
      <c r="D17" s="47">
        <v>131655.75</v>
      </c>
    </row>
    <row r="18" spans="1:12">
      <c r="A18" s="44">
        <v>8</v>
      </c>
      <c r="B18" s="113" t="s">
        <v>17</v>
      </c>
      <c r="C18" s="44">
        <f>1+1+2</f>
        <v>4</v>
      </c>
      <c r="D18" s="49">
        <v>78532.52</v>
      </c>
    </row>
    <row r="19" spans="1:12">
      <c r="A19" s="44"/>
      <c r="B19" s="113" t="s">
        <v>18</v>
      </c>
      <c r="C19" s="44">
        <f>1+1</f>
        <v>2</v>
      </c>
      <c r="D19" s="49">
        <v>5320</v>
      </c>
    </row>
    <row r="20" spans="1:12">
      <c r="A20" s="50">
        <v>9</v>
      </c>
      <c r="B20" s="160" t="s">
        <v>19</v>
      </c>
      <c r="C20" s="161">
        <v>39</v>
      </c>
      <c r="D20" s="162">
        <v>417100.36</v>
      </c>
    </row>
    <row r="21" spans="1:12">
      <c r="A21" s="50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672</v>
      </c>
      <c r="D22" s="47">
        <v>856072.97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12</v>
      </c>
      <c r="D23" s="47">
        <v>14436.86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5</v>
      </c>
      <c r="D26" s="47">
        <v>9267.5</v>
      </c>
    </row>
    <row r="27" spans="1:12">
      <c r="A27" s="46"/>
      <c r="B27" s="45" t="s">
        <v>26</v>
      </c>
      <c r="C27" s="46">
        <v>4</v>
      </c>
      <c r="D27" s="47">
        <v>1013.75</v>
      </c>
      <c r="E27" s="173">
        <f>SUM(D22:D27)</f>
        <v>880791.08</v>
      </c>
    </row>
    <row r="28" spans="1:12">
      <c r="A28" s="46">
        <v>11</v>
      </c>
      <c r="B28" s="271" t="s">
        <v>270</v>
      </c>
      <c r="C28" s="46">
        <v>16</v>
      </c>
      <c r="D28" s="47">
        <v>508752.27</v>
      </c>
      <c r="E28" s="173"/>
    </row>
    <row r="29" spans="1:12">
      <c r="A29" s="46"/>
      <c r="B29" s="272" t="s">
        <v>267</v>
      </c>
      <c r="C29" s="46"/>
      <c r="D29" s="47"/>
      <c r="E29" s="173"/>
    </row>
    <row r="30" spans="1:12">
      <c r="A30" s="46"/>
      <c r="B30" s="271" t="s">
        <v>266</v>
      </c>
      <c r="C30" s="46">
        <v>2</v>
      </c>
      <c r="D30" s="47">
        <v>196051.1</v>
      </c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979</v>
      </c>
      <c r="D33" s="52">
        <v>1252206.69</v>
      </c>
    </row>
    <row r="34" spans="1:13">
      <c r="A34" s="50"/>
      <c r="B34" s="258" t="s">
        <v>256</v>
      </c>
      <c r="C34" s="50">
        <v>350</v>
      </c>
      <c r="D34" s="52">
        <v>587044.43999999994</v>
      </c>
    </row>
    <row r="35" spans="1:13">
      <c r="A35" s="50"/>
      <c r="B35" s="258" t="s">
        <v>72</v>
      </c>
      <c r="C35" s="50">
        <v>19</v>
      </c>
      <c r="D35" s="52">
        <v>28579.5</v>
      </c>
    </row>
    <row r="36" spans="1:13">
      <c r="A36" s="50"/>
      <c r="B36" s="258" t="s">
        <v>257</v>
      </c>
      <c r="C36" s="50">
        <v>264</v>
      </c>
      <c r="D36" s="52">
        <v>265828.61</v>
      </c>
    </row>
    <row r="37" spans="1:13">
      <c r="A37" s="50"/>
      <c r="B37" s="258" t="s">
        <v>258</v>
      </c>
      <c r="C37" s="50">
        <v>40</v>
      </c>
      <c r="D37" s="52">
        <v>10060</v>
      </c>
      <c r="E37" s="276">
        <f>SUM(D33:D37)</f>
        <v>2143719.2399999998</v>
      </c>
    </row>
    <row r="38" spans="1:13">
      <c r="A38" s="50">
        <v>13</v>
      </c>
      <c r="B38" s="258" t="s">
        <v>259</v>
      </c>
      <c r="C38" s="50">
        <v>38</v>
      </c>
      <c r="D38" s="52">
        <v>887855.47</v>
      </c>
    </row>
    <row r="39" spans="1:13">
      <c r="A39" s="50"/>
      <c r="B39" s="258" t="s">
        <v>260</v>
      </c>
      <c r="C39" s="50">
        <v>22</v>
      </c>
      <c r="D39" s="52">
        <v>1463166.42</v>
      </c>
    </row>
    <row r="40" spans="1:13">
      <c r="A40" s="50"/>
      <c r="B40" s="258" t="s">
        <v>261</v>
      </c>
      <c r="C40" s="50">
        <v>1</v>
      </c>
      <c r="D40" s="52">
        <v>8255.5</v>
      </c>
    </row>
    <row r="41" spans="1:13">
      <c r="A41" s="50"/>
      <c r="B41" s="258" t="s">
        <v>262</v>
      </c>
      <c r="C41" s="50">
        <v>17</v>
      </c>
      <c r="D41" s="52">
        <v>609897.79</v>
      </c>
    </row>
    <row r="42" spans="1:13">
      <c r="A42" s="50"/>
      <c r="B42" s="269" t="s">
        <v>263</v>
      </c>
      <c r="C42" s="50">
        <v>8</v>
      </c>
      <c r="D42" s="280">
        <v>135077.5</v>
      </c>
      <c r="E42" s="172">
        <f>SUM(D38:D42)</f>
        <v>3104252.6799999997</v>
      </c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/>
    </row>
    <row r="45" spans="1:13">
      <c r="A45" s="46">
        <v>14</v>
      </c>
      <c r="B45" s="45" t="s">
        <v>36</v>
      </c>
      <c r="C45" s="46">
        <v>74</v>
      </c>
      <c r="D45" s="47">
        <v>82175.12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3</v>
      </c>
      <c r="D47" s="47">
        <v>47932.29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2</v>
      </c>
      <c r="D49" s="47">
        <v>90410.5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>
        <v>1</v>
      </c>
      <c r="D50" s="52">
        <v>120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18</v>
      </c>
      <c r="D53" s="47">
        <v>7049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72+21</f>
        <v>93</v>
      </c>
      <c r="D54" s="52">
        <f>53199+16248</f>
        <v>69447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39</v>
      </c>
      <c r="D55" s="47">
        <v>28469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3</v>
      </c>
      <c r="D56" s="150">
        <v>273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1</v>
      </c>
      <c r="D57" s="47">
        <v>480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>
        <v>1</v>
      </c>
      <c r="D58" s="47">
        <v>18290</v>
      </c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9313515.1499999966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61"/>
  <sheetViews>
    <sheetView topLeftCell="A36" workbookViewId="0">
      <selection activeCell="D51" sqref="D51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7.453125" style="40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308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>
        <v>357</v>
      </c>
      <c r="D6" s="49">
        <v>1282664</v>
      </c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>
        <v>10</v>
      </c>
      <c r="D9" s="49">
        <v>314636.63</v>
      </c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>
        <v>48</v>
      </c>
      <c r="D12" s="49">
        <v>235698.87</v>
      </c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>
        <v>4</v>
      </c>
      <c r="D14" s="49">
        <v>422763.02</v>
      </c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112" t="s">
        <v>15</v>
      </c>
      <c r="C16" s="46">
        <v>10</v>
      </c>
      <c r="D16" s="47">
        <v>26170.25</v>
      </c>
    </row>
    <row r="17" spans="1:12">
      <c r="A17" s="46"/>
      <c r="B17" s="112" t="s">
        <v>16</v>
      </c>
      <c r="C17" s="46"/>
      <c r="D17" s="47"/>
    </row>
    <row r="18" spans="1:12">
      <c r="A18" s="44">
        <v>8</v>
      </c>
      <c r="B18" s="113" t="s">
        <v>17</v>
      </c>
      <c r="C18" s="44"/>
      <c r="D18" s="49"/>
    </row>
    <row r="19" spans="1:12">
      <c r="A19" s="44"/>
      <c r="B19" s="113" t="s">
        <v>18</v>
      </c>
      <c r="C19" s="44"/>
      <c r="D19" s="49"/>
    </row>
    <row r="20" spans="1:12">
      <c r="A20" s="50">
        <v>9</v>
      </c>
      <c r="B20" s="160" t="s">
        <v>19</v>
      </c>
      <c r="C20" s="161">
        <v>103</v>
      </c>
      <c r="D20" s="162">
        <v>178015.82</v>
      </c>
    </row>
    <row r="21" spans="1:12">
      <c r="A21" s="50"/>
      <c r="B21" s="160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>
        <v>673</v>
      </c>
      <c r="D22" s="47">
        <v>896187.06</v>
      </c>
      <c r="F22" s="117"/>
      <c r="H22" s="117"/>
      <c r="J22" s="117"/>
      <c r="L22" s="120"/>
    </row>
    <row r="23" spans="1:12">
      <c r="A23" s="46"/>
      <c r="B23" s="45" t="s">
        <v>22</v>
      </c>
      <c r="C23" s="46">
        <v>17</v>
      </c>
      <c r="D23" s="47">
        <v>33006.97</v>
      </c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>
        <v>32</v>
      </c>
      <c r="D26" s="47">
        <v>32216</v>
      </c>
    </row>
    <row r="27" spans="1:12">
      <c r="A27" s="46"/>
      <c r="B27" s="45" t="s">
        <v>26</v>
      </c>
      <c r="C27" s="46">
        <v>1</v>
      </c>
      <c r="D27" s="47">
        <v>369</v>
      </c>
      <c r="E27" s="173">
        <f>SUM(D22:D27)</f>
        <v>961779.03</v>
      </c>
    </row>
    <row r="28" spans="1:12">
      <c r="A28" s="46">
        <v>11</v>
      </c>
      <c r="B28" s="271" t="s">
        <v>270</v>
      </c>
      <c r="C28" s="46">
        <v>22</v>
      </c>
      <c r="D28" s="47">
        <v>903954.85</v>
      </c>
      <c r="E28" s="173"/>
    </row>
    <row r="29" spans="1:12">
      <c r="A29" s="46"/>
      <c r="B29" s="272" t="s">
        <v>267</v>
      </c>
      <c r="C29" s="46"/>
      <c r="D29" s="47"/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>
        <v>874</v>
      </c>
      <c r="D33" s="52">
        <v>1381736.26</v>
      </c>
    </row>
    <row r="34" spans="1:13">
      <c r="A34" s="50"/>
      <c r="B34" s="258" t="s">
        <v>256</v>
      </c>
      <c r="C34" s="50">
        <v>307</v>
      </c>
      <c r="D34" s="52">
        <v>498708.05</v>
      </c>
    </row>
    <row r="35" spans="1:13">
      <c r="A35" s="50"/>
      <c r="B35" s="258" t="s">
        <v>72</v>
      </c>
      <c r="C35" s="50">
        <v>26</v>
      </c>
      <c r="D35" s="52">
        <v>39597.5</v>
      </c>
    </row>
    <row r="36" spans="1:13">
      <c r="A36" s="50"/>
      <c r="B36" s="258" t="s">
        <v>257</v>
      </c>
      <c r="C36" s="50">
        <v>255</v>
      </c>
      <c r="D36" s="52">
        <v>364596.25</v>
      </c>
    </row>
    <row r="37" spans="1:13">
      <c r="A37" s="50"/>
      <c r="B37" s="258" t="s">
        <v>258</v>
      </c>
      <c r="C37" s="50">
        <v>34</v>
      </c>
      <c r="D37" s="52">
        <v>510</v>
      </c>
    </row>
    <row r="38" spans="1:13">
      <c r="A38" s="50">
        <v>13</v>
      </c>
      <c r="B38" s="258" t="s">
        <v>259</v>
      </c>
      <c r="C38" s="50">
        <v>40</v>
      </c>
      <c r="D38" s="52">
        <v>1550883.2</v>
      </c>
    </row>
    <row r="39" spans="1:13">
      <c r="A39" s="50"/>
      <c r="B39" s="258" t="s">
        <v>260</v>
      </c>
      <c r="C39" s="50">
        <v>17</v>
      </c>
      <c r="D39" s="52">
        <v>451068.63</v>
      </c>
    </row>
    <row r="40" spans="1:13">
      <c r="A40" s="50"/>
      <c r="B40" s="258" t="s">
        <v>261</v>
      </c>
      <c r="C40" s="50">
        <v>2</v>
      </c>
      <c r="D40" s="52">
        <v>676909.77</v>
      </c>
    </row>
    <row r="41" spans="1:13">
      <c r="A41" s="50"/>
      <c r="B41" s="258" t="s">
        <v>262</v>
      </c>
      <c r="C41" s="50">
        <v>24</v>
      </c>
      <c r="D41" s="52">
        <v>1181992.32</v>
      </c>
    </row>
    <row r="42" spans="1:13">
      <c r="A42" s="50"/>
      <c r="B42" s="269" t="s">
        <v>263</v>
      </c>
      <c r="C42" s="50">
        <v>5</v>
      </c>
      <c r="D42" s="52">
        <v>62226</v>
      </c>
      <c r="E42" s="172">
        <f>SUM(D33:D42)</f>
        <v>6208227.9800000004</v>
      </c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/>
    </row>
    <row r="45" spans="1:13">
      <c r="A45" s="46">
        <v>14</v>
      </c>
      <c r="B45" s="45" t="s">
        <v>36</v>
      </c>
      <c r="C45" s="46">
        <v>62</v>
      </c>
      <c r="D45" s="47">
        <v>102490.75</v>
      </c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>
        <v>1</v>
      </c>
      <c r="D46" s="47">
        <v>2059</v>
      </c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>
        <v>11</v>
      </c>
      <c r="D47" s="47">
        <v>410646.27</v>
      </c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>
        <v>1</v>
      </c>
      <c r="D48" s="47">
        <v>100335.25</v>
      </c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>
        <v>3</v>
      </c>
      <c r="D49" s="47">
        <v>66541.75</v>
      </c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>
        <v>2</v>
      </c>
      <c r="D50" s="52">
        <v>1225</v>
      </c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>
        <v>0</v>
      </c>
      <c r="I51" s="72">
        <v>0</v>
      </c>
      <c r="J51" s="118"/>
      <c r="K51" s="72"/>
      <c r="L51" s="72"/>
      <c r="M51" s="72"/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>
        <v>21</v>
      </c>
      <c r="D53" s="47">
        <v>7117</v>
      </c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>
        <f>48+24</f>
        <v>72</v>
      </c>
      <c r="D54" s="52">
        <f>35141+18297</f>
        <v>53438</v>
      </c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>
        <v>44</v>
      </c>
      <c r="D55" s="47">
        <v>25582</v>
      </c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>
        <v>2</v>
      </c>
      <c r="D56" s="150">
        <v>399</v>
      </c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>
        <v>2</v>
      </c>
      <c r="D57" s="47">
        <v>1745</v>
      </c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11305489.469999999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rgb="FFFF0000"/>
  </sheetPr>
  <dimension ref="A1:M61"/>
  <sheetViews>
    <sheetView workbookViewId="0">
      <selection activeCell="A2" sqref="A2:D2"/>
    </sheetView>
  </sheetViews>
  <sheetFormatPr defaultColWidth="8.7265625" defaultRowHeight="23.25"/>
  <cols>
    <col min="1" max="1" width="7.90625" style="53" customWidth="1"/>
    <col min="2" max="2" width="37.08984375" style="51" customWidth="1"/>
    <col min="3" max="3" width="10.08984375" style="53" customWidth="1"/>
    <col min="4" max="4" width="10.08984375" style="54" customWidth="1"/>
    <col min="5" max="5" width="7.453125" style="40" customWidth="1"/>
    <col min="6" max="6" width="2.453125" style="116" customWidth="1"/>
    <col min="7" max="7" width="8.7265625" style="40"/>
    <col min="8" max="8" width="2.7265625" style="116" customWidth="1"/>
    <col min="9" max="9" width="8.7265625" style="40"/>
    <col min="10" max="10" width="2.7265625" style="116" customWidth="1"/>
    <col min="11" max="11" width="8.7265625" style="40"/>
    <col min="12" max="12" width="3.7265625" style="119" bestFit="1" customWidth="1"/>
    <col min="13" max="16384" width="8.7265625" style="40"/>
  </cols>
  <sheetData>
    <row r="1" spans="1:4">
      <c r="A1" s="299" t="s">
        <v>0</v>
      </c>
      <c r="B1" s="299"/>
      <c r="C1" s="299"/>
      <c r="D1" s="299"/>
    </row>
    <row r="2" spans="1:4">
      <c r="A2" s="299" t="s">
        <v>309</v>
      </c>
      <c r="B2" s="299"/>
      <c r="C2" s="299"/>
      <c r="D2" s="299"/>
    </row>
    <row r="3" spans="1:4">
      <c r="A3" s="41" t="s">
        <v>1</v>
      </c>
      <c r="B3" s="42" t="s">
        <v>2</v>
      </c>
      <c r="C3" s="42" t="s">
        <v>3</v>
      </c>
      <c r="D3" s="43" t="s">
        <v>4</v>
      </c>
    </row>
    <row r="4" spans="1:4">
      <c r="A4" s="46">
        <v>1</v>
      </c>
      <c r="B4" s="45" t="s">
        <v>5</v>
      </c>
      <c r="C4" s="46"/>
      <c r="D4" s="47"/>
    </row>
    <row r="5" spans="1:4">
      <c r="A5" s="46">
        <v>2</v>
      </c>
      <c r="B5" s="45" t="s">
        <v>6</v>
      </c>
      <c r="C5" s="46"/>
      <c r="D5" s="47"/>
    </row>
    <row r="6" spans="1:4">
      <c r="A6" s="44">
        <v>3</v>
      </c>
      <c r="B6" s="48" t="s">
        <v>7</v>
      </c>
      <c r="C6" s="44"/>
      <c r="D6" s="49"/>
    </row>
    <row r="7" spans="1:4">
      <c r="A7" s="44"/>
      <c r="B7" s="258" t="s">
        <v>251</v>
      </c>
      <c r="C7" s="44"/>
      <c r="D7" s="49"/>
    </row>
    <row r="8" spans="1:4">
      <c r="A8" s="44"/>
      <c r="B8" s="48" t="s">
        <v>8</v>
      </c>
      <c r="C8" s="44"/>
      <c r="D8" s="49"/>
    </row>
    <row r="9" spans="1:4">
      <c r="A9" s="44">
        <v>4</v>
      </c>
      <c r="B9" s="48" t="s">
        <v>9</v>
      </c>
      <c r="C9" s="44"/>
      <c r="D9" s="49"/>
    </row>
    <row r="10" spans="1:4">
      <c r="A10" s="44"/>
      <c r="B10" s="258" t="s">
        <v>250</v>
      </c>
      <c r="C10" s="44"/>
      <c r="D10" s="49"/>
    </row>
    <row r="11" spans="1:4">
      <c r="A11" s="44"/>
      <c r="B11" s="48" t="s">
        <v>10</v>
      </c>
      <c r="C11" s="44"/>
      <c r="D11" s="49"/>
    </row>
    <row r="12" spans="1:4">
      <c r="A12" s="44">
        <v>5</v>
      </c>
      <c r="B12" s="48" t="s">
        <v>11</v>
      </c>
      <c r="C12" s="44"/>
      <c r="D12" s="49"/>
    </row>
    <row r="13" spans="1:4">
      <c r="A13" s="44"/>
      <c r="B13" s="48" t="s">
        <v>12</v>
      </c>
      <c r="C13" s="44"/>
      <c r="D13" s="49"/>
    </row>
    <row r="14" spans="1:4">
      <c r="A14" s="44">
        <v>6</v>
      </c>
      <c r="B14" s="48" t="s">
        <v>13</v>
      </c>
      <c r="C14" s="44"/>
      <c r="D14" s="49"/>
    </row>
    <row r="15" spans="1:4">
      <c r="A15" s="44"/>
      <c r="B15" s="48" t="s">
        <v>14</v>
      </c>
      <c r="C15" s="44"/>
      <c r="D15" s="49"/>
    </row>
    <row r="16" spans="1:4">
      <c r="A16" s="46">
        <v>7</v>
      </c>
      <c r="B16" s="45" t="s">
        <v>15</v>
      </c>
      <c r="C16" s="46"/>
      <c r="D16" s="47"/>
    </row>
    <row r="17" spans="1:12">
      <c r="A17" s="46"/>
      <c r="B17" s="45" t="s">
        <v>16</v>
      </c>
      <c r="C17" s="46"/>
      <c r="D17" s="47"/>
    </row>
    <row r="18" spans="1:12">
      <c r="A18" s="44">
        <v>8</v>
      </c>
      <c r="B18" s="48" t="s">
        <v>17</v>
      </c>
      <c r="C18" s="44"/>
      <c r="D18" s="49"/>
    </row>
    <row r="19" spans="1:12">
      <c r="A19" s="44"/>
      <c r="B19" s="48" t="s">
        <v>18</v>
      </c>
      <c r="C19" s="44"/>
      <c r="D19" s="49"/>
    </row>
    <row r="20" spans="1:12">
      <c r="A20" s="50">
        <v>9</v>
      </c>
      <c r="B20" s="175" t="s">
        <v>19</v>
      </c>
      <c r="C20" s="161"/>
      <c r="D20" s="162"/>
    </row>
    <row r="21" spans="1:12">
      <c r="A21" s="50"/>
      <c r="B21" s="175" t="s">
        <v>20</v>
      </c>
      <c r="C21" s="161"/>
      <c r="D21" s="162"/>
    </row>
    <row r="22" spans="1:12" s="51" customFormat="1">
      <c r="A22" s="46">
        <v>10</v>
      </c>
      <c r="B22" s="45" t="s">
        <v>21</v>
      </c>
      <c r="C22" s="46"/>
      <c r="D22" s="47"/>
      <c r="F22" s="117"/>
      <c r="H22" s="117"/>
      <c r="J22" s="117"/>
      <c r="L22" s="120"/>
    </row>
    <row r="23" spans="1:12">
      <c r="A23" s="46"/>
      <c r="B23" s="45" t="s">
        <v>22</v>
      </c>
      <c r="C23" s="46"/>
      <c r="D23" s="47"/>
    </row>
    <row r="24" spans="1:12">
      <c r="A24" s="46"/>
      <c r="B24" s="45" t="s">
        <v>23</v>
      </c>
      <c r="C24" s="46"/>
      <c r="D24" s="47"/>
    </row>
    <row r="25" spans="1:12">
      <c r="A25" s="46"/>
      <c r="B25" s="45" t="s">
        <v>24</v>
      </c>
      <c r="C25" s="46"/>
      <c r="D25" s="47"/>
    </row>
    <row r="26" spans="1:12">
      <c r="A26" s="46"/>
      <c r="B26" s="45" t="s">
        <v>25</v>
      </c>
      <c r="C26" s="46"/>
      <c r="D26" s="47"/>
    </row>
    <row r="27" spans="1:12">
      <c r="A27" s="46"/>
      <c r="B27" s="45" t="s">
        <v>26</v>
      </c>
      <c r="C27" s="46"/>
      <c r="D27" s="47"/>
      <c r="E27" s="173">
        <f>SUM(D22:D27)</f>
        <v>0</v>
      </c>
    </row>
    <row r="28" spans="1:12">
      <c r="A28" s="46">
        <v>11</v>
      </c>
      <c r="B28" s="271" t="s">
        <v>270</v>
      </c>
      <c r="C28" s="46"/>
      <c r="D28" s="47"/>
      <c r="E28" s="173"/>
    </row>
    <row r="29" spans="1:12">
      <c r="A29" s="46"/>
      <c r="B29" s="272" t="s">
        <v>267</v>
      </c>
      <c r="C29" s="46"/>
      <c r="D29" s="47"/>
      <c r="E29" s="173"/>
    </row>
    <row r="30" spans="1:12">
      <c r="A30" s="46"/>
      <c r="B30" s="271" t="s">
        <v>266</v>
      </c>
      <c r="C30" s="46"/>
      <c r="D30" s="47"/>
      <c r="E30" s="173"/>
    </row>
    <row r="31" spans="1:12">
      <c r="A31" s="46"/>
      <c r="B31" s="271" t="s">
        <v>271</v>
      </c>
      <c r="C31" s="46"/>
      <c r="D31" s="47"/>
      <c r="E31" s="173"/>
    </row>
    <row r="32" spans="1:12">
      <c r="A32" s="46"/>
      <c r="B32" s="271" t="s">
        <v>272</v>
      </c>
      <c r="C32" s="46"/>
      <c r="D32" s="47"/>
      <c r="E32" s="173"/>
    </row>
    <row r="33" spans="1:13">
      <c r="A33" s="50">
        <v>12</v>
      </c>
      <c r="B33" s="258" t="s">
        <v>69</v>
      </c>
      <c r="C33" s="50"/>
      <c r="D33" s="52"/>
    </row>
    <row r="34" spans="1:13">
      <c r="A34" s="50"/>
      <c r="B34" s="258" t="s">
        <v>256</v>
      </c>
      <c r="C34" s="50"/>
      <c r="D34" s="52"/>
    </row>
    <row r="35" spans="1:13">
      <c r="A35" s="50"/>
      <c r="B35" s="258" t="s">
        <v>72</v>
      </c>
      <c r="C35" s="50"/>
      <c r="D35" s="52"/>
    </row>
    <row r="36" spans="1:13">
      <c r="A36" s="50"/>
      <c r="B36" s="258" t="s">
        <v>257</v>
      </c>
      <c r="C36" s="50"/>
      <c r="D36" s="52"/>
    </row>
    <row r="37" spans="1:13">
      <c r="A37" s="50"/>
      <c r="B37" s="258" t="s">
        <v>258</v>
      </c>
      <c r="C37" s="50"/>
      <c r="D37" s="52"/>
    </row>
    <row r="38" spans="1:13">
      <c r="A38" s="50">
        <v>13</v>
      </c>
      <c r="B38" s="258" t="s">
        <v>259</v>
      </c>
      <c r="C38" s="50"/>
      <c r="D38" s="52"/>
    </row>
    <row r="39" spans="1:13">
      <c r="A39" s="50"/>
      <c r="B39" s="258" t="s">
        <v>260</v>
      </c>
      <c r="C39" s="50"/>
      <c r="D39" s="52"/>
    </row>
    <row r="40" spans="1:13">
      <c r="A40" s="50"/>
      <c r="B40" s="258" t="s">
        <v>261</v>
      </c>
      <c r="C40" s="50"/>
      <c r="D40" s="52"/>
    </row>
    <row r="41" spans="1:13">
      <c r="A41" s="50"/>
      <c r="B41" s="258" t="s">
        <v>262</v>
      </c>
      <c r="C41" s="50"/>
      <c r="D41" s="52"/>
    </row>
    <row r="42" spans="1:13">
      <c r="A42" s="50"/>
      <c r="B42" s="269" t="s">
        <v>263</v>
      </c>
      <c r="C42" s="50"/>
      <c r="D42" s="52"/>
      <c r="E42" s="172">
        <f>SUM(D33:D42)</f>
        <v>0</v>
      </c>
    </row>
    <row r="43" spans="1:13">
      <c r="A43" s="50"/>
      <c r="B43" s="269" t="s">
        <v>264</v>
      </c>
      <c r="C43" s="50"/>
      <c r="D43" s="52"/>
      <c r="E43" s="172"/>
    </row>
    <row r="44" spans="1:13">
      <c r="A44" s="50"/>
      <c r="B44" s="269" t="s">
        <v>265</v>
      </c>
      <c r="C44" s="50"/>
      <c r="D44" s="52"/>
      <c r="E44" s="172"/>
    </row>
    <row r="45" spans="1:13">
      <c r="A45" s="46">
        <v>14</v>
      </c>
      <c r="B45" s="45" t="s">
        <v>36</v>
      </c>
      <c r="C45" s="46"/>
      <c r="D45" s="47"/>
      <c r="G45" s="40" t="s">
        <v>88</v>
      </c>
      <c r="I45" s="40" t="s">
        <v>89</v>
      </c>
      <c r="K45" s="40" t="s">
        <v>246</v>
      </c>
      <c r="M45" s="40" t="s">
        <v>90</v>
      </c>
    </row>
    <row r="46" spans="1:13">
      <c r="A46" s="46"/>
      <c r="B46" s="45" t="s">
        <v>47</v>
      </c>
      <c r="C46" s="46"/>
      <c r="D46" s="47"/>
      <c r="F46" s="118">
        <v>0</v>
      </c>
      <c r="G46" s="72">
        <v>0</v>
      </c>
      <c r="H46" s="118">
        <v>0</v>
      </c>
      <c r="I46" s="72">
        <v>0</v>
      </c>
      <c r="J46" s="118">
        <v>0</v>
      </c>
      <c r="K46" s="72">
        <v>0</v>
      </c>
      <c r="L46" s="72">
        <v>0</v>
      </c>
      <c r="M46" s="72">
        <v>0</v>
      </c>
    </row>
    <row r="47" spans="1:13">
      <c r="A47" s="46">
        <v>15</v>
      </c>
      <c r="B47" s="271" t="s">
        <v>273</v>
      </c>
      <c r="C47" s="46"/>
      <c r="D47" s="47"/>
      <c r="F47" s="118"/>
      <c r="G47" s="72"/>
      <c r="H47" s="118"/>
      <c r="I47" s="72"/>
      <c r="J47" s="118"/>
      <c r="K47" s="72"/>
      <c r="L47" s="72"/>
      <c r="M47" s="72"/>
    </row>
    <row r="48" spans="1:13">
      <c r="A48" s="46"/>
      <c r="B48" s="271" t="s">
        <v>274</v>
      </c>
      <c r="C48" s="46"/>
      <c r="D48" s="47"/>
      <c r="F48" s="118"/>
      <c r="G48" s="72"/>
      <c r="H48" s="118"/>
      <c r="I48" s="72"/>
      <c r="J48" s="118"/>
      <c r="K48" s="72"/>
      <c r="L48" s="72"/>
      <c r="M48" s="72"/>
    </row>
    <row r="49" spans="1:13">
      <c r="A49" s="46"/>
      <c r="B49" s="271" t="s">
        <v>275</v>
      </c>
      <c r="C49" s="46"/>
      <c r="D49" s="47"/>
      <c r="F49" s="118"/>
      <c r="G49" s="72"/>
      <c r="H49" s="118"/>
      <c r="I49" s="72"/>
      <c r="J49" s="118"/>
      <c r="K49" s="72"/>
      <c r="L49" s="72"/>
      <c r="M49" s="72"/>
    </row>
    <row r="50" spans="1:13">
      <c r="A50" s="50">
        <v>16</v>
      </c>
      <c r="B50" s="48" t="s">
        <v>37</v>
      </c>
      <c r="C50" s="50"/>
      <c r="D50" s="52"/>
      <c r="F50" s="118"/>
      <c r="G50" s="72"/>
      <c r="H50" s="118"/>
      <c r="I50" s="72"/>
      <c r="J50" s="118"/>
      <c r="K50" s="72"/>
      <c r="M50" s="72"/>
    </row>
    <row r="51" spans="1:13">
      <c r="A51" s="50"/>
      <c r="B51" s="48" t="s">
        <v>46</v>
      </c>
      <c r="C51" s="50"/>
      <c r="D51" s="52"/>
      <c r="F51" s="118">
        <v>0</v>
      </c>
      <c r="G51" s="72">
        <v>0</v>
      </c>
      <c r="H51" s="118"/>
      <c r="I51" s="72"/>
      <c r="J51" s="118">
        <v>0</v>
      </c>
      <c r="K51" s="72">
        <v>0</v>
      </c>
      <c r="L51" s="72">
        <v>0</v>
      </c>
      <c r="M51" s="72">
        <v>0</v>
      </c>
    </row>
    <row r="52" spans="1:13" s="127" customFormat="1">
      <c r="A52" s="124">
        <v>17</v>
      </c>
      <c r="B52" s="258" t="s">
        <v>278</v>
      </c>
      <c r="C52" s="124"/>
      <c r="D52" s="126"/>
      <c r="F52" s="128"/>
      <c r="G52" s="129"/>
      <c r="H52" s="128"/>
      <c r="I52" s="129"/>
      <c r="J52" s="128"/>
      <c r="K52" s="129"/>
      <c r="L52" s="129"/>
      <c r="M52" s="129"/>
    </row>
    <row r="53" spans="1:13" s="127" customFormat="1">
      <c r="A53" s="141">
        <v>18</v>
      </c>
      <c r="B53" s="142" t="s">
        <v>105</v>
      </c>
      <c r="C53" s="46"/>
      <c r="D53" s="47"/>
      <c r="F53" s="128"/>
      <c r="G53" s="129"/>
      <c r="H53" s="128"/>
      <c r="I53" s="129"/>
      <c r="J53" s="128"/>
      <c r="K53" s="129"/>
      <c r="L53" s="129"/>
      <c r="M53" s="129"/>
    </row>
    <row r="54" spans="1:13" s="127" customFormat="1">
      <c r="A54" s="131">
        <v>19</v>
      </c>
      <c r="B54" s="143" t="s">
        <v>106</v>
      </c>
      <c r="C54" s="50"/>
      <c r="D54" s="52"/>
      <c r="F54" s="128"/>
      <c r="G54" s="129"/>
      <c r="H54" s="128"/>
      <c r="I54" s="129"/>
      <c r="J54" s="128"/>
      <c r="K54" s="129"/>
      <c r="L54" s="129"/>
      <c r="M54" s="129"/>
    </row>
    <row r="55" spans="1:13" s="145" customFormat="1">
      <c r="A55" s="124">
        <v>20</v>
      </c>
      <c r="B55" s="144" t="s">
        <v>107</v>
      </c>
      <c r="C55" s="46"/>
      <c r="D55" s="47"/>
      <c r="F55" s="146"/>
      <c r="G55" s="147"/>
      <c r="H55" s="146"/>
      <c r="I55" s="147"/>
      <c r="J55" s="146"/>
      <c r="K55" s="147"/>
      <c r="L55" s="147"/>
      <c r="M55" s="147"/>
    </row>
    <row r="56" spans="1:13" s="151" customFormat="1">
      <c r="A56" s="141">
        <v>21</v>
      </c>
      <c r="B56" s="154" t="s">
        <v>112</v>
      </c>
      <c r="C56" s="149"/>
      <c r="D56" s="150"/>
      <c r="F56" s="152"/>
      <c r="G56" s="153"/>
      <c r="H56" s="152"/>
      <c r="I56" s="153"/>
      <c r="J56" s="152"/>
      <c r="K56" s="153"/>
      <c r="L56" s="153"/>
      <c r="M56" s="153"/>
    </row>
    <row r="57" spans="1:13" s="151" customFormat="1">
      <c r="A57" s="131">
        <v>22</v>
      </c>
      <c r="B57" s="144" t="s">
        <v>114</v>
      </c>
      <c r="C57" s="46"/>
      <c r="D57" s="47"/>
      <c r="E57" s="145"/>
      <c r="F57" s="152"/>
      <c r="G57" s="153"/>
      <c r="H57" s="152"/>
      <c r="I57" s="153"/>
      <c r="J57" s="152"/>
      <c r="K57" s="153"/>
      <c r="L57" s="153"/>
      <c r="M57" s="153"/>
    </row>
    <row r="58" spans="1:13" s="151" customFormat="1">
      <c r="A58" s="124">
        <v>23</v>
      </c>
      <c r="B58" s="262" t="s">
        <v>254</v>
      </c>
      <c r="C58" s="46"/>
      <c r="D58" s="47"/>
      <c r="E58" s="145"/>
      <c r="F58" s="152"/>
      <c r="G58" s="153"/>
      <c r="H58" s="152"/>
      <c r="I58" s="153"/>
      <c r="J58" s="152"/>
      <c r="K58" s="153"/>
      <c r="L58" s="153"/>
      <c r="M58" s="153"/>
    </row>
    <row r="59" spans="1:13" s="151" customFormat="1">
      <c r="A59" s="141"/>
      <c r="B59" s="262" t="s">
        <v>255</v>
      </c>
      <c r="C59" s="46"/>
      <c r="D59" s="47"/>
      <c r="E59" s="145"/>
      <c r="F59" s="152"/>
      <c r="G59" s="153"/>
      <c r="H59" s="152"/>
      <c r="I59" s="153"/>
      <c r="J59" s="152"/>
      <c r="K59" s="153"/>
      <c r="L59" s="153"/>
      <c r="M59" s="153"/>
    </row>
    <row r="60" spans="1:13">
      <c r="A60" s="50"/>
      <c r="B60" s="48"/>
      <c r="C60" s="124"/>
      <c r="D60" s="126"/>
      <c r="E60" s="127"/>
      <c r="F60" s="128"/>
      <c r="G60" s="129"/>
      <c r="H60" s="128"/>
      <c r="I60" s="129"/>
      <c r="J60" s="128"/>
      <c r="K60" s="129"/>
      <c r="L60" s="130"/>
      <c r="M60" s="129"/>
    </row>
    <row r="61" spans="1:13">
      <c r="A61" s="50"/>
      <c r="B61" s="42" t="s">
        <v>38</v>
      </c>
      <c r="C61" s="50"/>
      <c r="D61" s="52">
        <f>SUM(D4:D60)</f>
        <v>0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rgb="FF00B0F0"/>
  </sheetPr>
  <dimension ref="A1:D42"/>
  <sheetViews>
    <sheetView workbookViewId="0">
      <selection activeCell="K19" sqref="K19"/>
    </sheetView>
  </sheetViews>
  <sheetFormatPr defaultRowHeight="25.5"/>
  <cols>
    <col min="1" max="1" width="7.90625" style="18" customWidth="1"/>
    <col min="2" max="2" width="31.36328125" style="19" bestFit="1" customWidth="1"/>
    <col min="3" max="3" width="15.453125" style="18" customWidth="1"/>
    <col min="4" max="4" width="16.36328125" style="20" customWidth="1"/>
  </cols>
  <sheetData>
    <row r="1" spans="1:4">
      <c r="A1" s="300" t="s">
        <v>0</v>
      </c>
      <c r="B1" s="300"/>
      <c r="C1" s="300"/>
      <c r="D1" s="300"/>
    </row>
    <row r="2" spans="1:4">
      <c r="A2" s="300" t="s">
        <v>147</v>
      </c>
      <c r="B2" s="300"/>
      <c r="C2" s="300"/>
      <c r="D2" s="300"/>
    </row>
    <row r="3" spans="1:4">
      <c r="A3" s="1" t="s">
        <v>1</v>
      </c>
      <c r="B3" s="2" t="s">
        <v>2</v>
      </c>
      <c r="C3" s="2" t="s">
        <v>3</v>
      </c>
      <c r="D3" s="3" t="s">
        <v>4</v>
      </c>
    </row>
    <row r="4" spans="1:4">
      <c r="A4" s="4">
        <v>1</v>
      </c>
      <c r="B4" s="5" t="s">
        <v>5</v>
      </c>
      <c r="C4" s="6"/>
      <c r="D4" s="7"/>
    </row>
    <row r="5" spans="1:4">
      <c r="A5" s="4">
        <v>2</v>
      </c>
      <c r="B5" s="5" t="s">
        <v>6</v>
      </c>
      <c r="C5" s="6"/>
      <c r="D5" s="7"/>
    </row>
    <row r="6" spans="1:4">
      <c r="A6" s="4">
        <v>3</v>
      </c>
      <c r="B6" s="8" t="s">
        <v>7</v>
      </c>
      <c r="C6" s="4"/>
      <c r="D6" s="9"/>
    </row>
    <row r="7" spans="1:4">
      <c r="A7" s="4"/>
      <c r="B7" s="8" t="s">
        <v>8</v>
      </c>
      <c r="C7" s="4"/>
      <c r="D7" s="9"/>
    </row>
    <row r="8" spans="1:4">
      <c r="A8" s="4">
        <v>4</v>
      </c>
      <c r="B8" s="8" t="s">
        <v>9</v>
      </c>
      <c r="C8" s="4"/>
      <c r="D8" s="9"/>
    </row>
    <row r="9" spans="1:4">
      <c r="A9" s="4"/>
      <c r="B9" s="8" t="s">
        <v>10</v>
      </c>
      <c r="C9" s="4"/>
      <c r="D9" s="9"/>
    </row>
    <row r="10" spans="1:4">
      <c r="A10" s="4">
        <v>5</v>
      </c>
      <c r="B10" s="8" t="s">
        <v>11</v>
      </c>
      <c r="C10" s="4"/>
      <c r="D10" s="9"/>
    </row>
    <row r="11" spans="1:4">
      <c r="A11" s="4"/>
      <c r="B11" s="8" t="s">
        <v>12</v>
      </c>
      <c r="C11" s="4"/>
      <c r="D11" s="9"/>
    </row>
    <row r="12" spans="1:4">
      <c r="A12" s="4">
        <v>6</v>
      </c>
      <c r="B12" s="8" t="s">
        <v>13</v>
      </c>
      <c r="C12" s="4"/>
      <c r="D12" s="9"/>
    </row>
    <row r="13" spans="1:4">
      <c r="A13" s="4"/>
      <c r="B13" s="8" t="s">
        <v>14</v>
      </c>
      <c r="C13" s="4"/>
      <c r="D13" s="9"/>
    </row>
    <row r="14" spans="1:4">
      <c r="A14" s="10">
        <v>7</v>
      </c>
      <c r="B14" s="5" t="s">
        <v>15</v>
      </c>
      <c r="C14" s="6"/>
      <c r="D14" s="7"/>
    </row>
    <row r="15" spans="1:4">
      <c r="A15" s="10"/>
      <c r="B15" s="5" t="s">
        <v>16</v>
      </c>
      <c r="C15" s="6"/>
      <c r="D15" s="7"/>
    </row>
    <row r="16" spans="1:4">
      <c r="A16" s="4">
        <v>8</v>
      </c>
      <c r="B16" s="8" t="s">
        <v>17</v>
      </c>
      <c r="C16" s="6"/>
      <c r="D16" s="7"/>
    </row>
    <row r="17" spans="1:4">
      <c r="A17" s="4"/>
      <c r="B17" s="8" t="s">
        <v>18</v>
      </c>
      <c r="C17" s="6"/>
      <c r="D17" s="7"/>
    </row>
    <row r="18" spans="1:4">
      <c r="A18" s="10">
        <v>9</v>
      </c>
      <c r="B18" s="8" t="s">
        <v>19</v>
      </c>
      <c r="C18" s="4"/>
      <c r="D18" s="9"/>
    </row>
    <row r="19" spans="1:4">
      <c r="A19" s="10"/>
      <c r="B19" s="8" t="s">
        <v>20</v>
      </c>
      <c r="C19" s="4"/>
      <c r="D19" s="9"/>
    </row>
    <row r="20" spans="1:4" s="15" customFormat="1">
      <c r="A20" s="11">
        <v>10</v>
      </c>
      <c r="B20" s="12" t="s">
        <v>21</v>
      </c>
      <c r="C20" s="13"/>
      <c r="D20" s="14"/>
    </row>
    <row r="21" spans="1:4">
      <c r="A21" s="10"/>
      <c r="B21" s="12" t="s">
        <v>22</v>
      </c>
      <c r="C21" s="13"/>
      <c r="D21" s="14"/>
    </row>
    <row r="22" spans="1:4">
      <c r="A22" s="10"/>
      <c r="B22" s="12" t="s">
        <v>23</v>
      </c>
      <c r="C22" s="13"/>
      <c r="D22" s="14"/>
    </row>
    <row r="23" spans="1:4">
      <c r="A23" s="10"/>
      <c r="B23" s="12" t="s">
        <v>24</v>
      </c>
      <c r="C23" s="13"/>
      <c r="D23" s="14"/>
    </row>
    <row r="24" spans="1:4">
      <c r="A24" s="10"/>
      <c r="B24" s="12" t="s">
        <v>25</v>
      </c>
      <c r="C24" s="13"/>
      <c r="D24" s="14"/>
    </row>
    <row r="25" spans="1:4">
      <c r="A25" s="10"/>
      <c r="B25" s="12" t="s">
        <v>26</v>
      </c>
      <c r="C25" s="13"/>
      <c r="D25" s="14"/>
    </row>
    <row r="26" spans="1:4">
      <c r="A26" s="10">
        <v>11</v>
      </c>
      <c r="B26" s="16" t="s">
        <v>27</v>
      </c>
      <c r="C26" s="13"/>
      <c r="D26" s="14"/>
    </row>
    <row r="27" spans="1:4">
      <c r="A27" s="10"/>
      <c r="B27" s="16" t="s">
        <v>28</v>
      </c>
      <c r="C27" s="13"/>
      <c r="D27" s="14"/>
    </row>
    <row r="28" spans="1:4">
      <c r="A28" s="10"/>
      <c r="B28" s="16" t="s">
        <v>29</v>
      </c>
      <c r="C28" s="13"/>
      <c r="D28" s="14"/>
    </row>
    <row r="29" spans="1:4">
      <c r="A29" s="10"/>
      <c r="B29" s="16" t="s">
        <v>30</v>
      </c>
      <c r="C29" s="13"/>
      <c r="D29" s="14"/>
    </row>
    <row r="30" spans="1:4">
      <c r="A30" s="10"/>
      <c r="B30" s="16" t="s">
        <v>31</v>
      </c>
      <c r="C30" s="13"/>
      <c r="D30" s="14"/>
    </row>
    <row r="31" spans="1:4">
      <c r="A31" s="10"/>
      <c r="B31" s="16" t="s">
        <v>32</v>
      </c>
      <c r="C31" s="13"/>
      <c r="D31" s="14"/>
    </row>
    <row r="32" spans="1:4">
      <c r="A32" s="10"/>
      <c r="B32" s="16" t="s">
        <v>33</v>
      </c>
      <c r="C32" s="13"/>
      <c r="D32" s="14"/>
    </row>
    <row r="33" spans="1:4">
      <c r="A33" s="10"/>
      <c r="B33" s="16" t="s">
        <v>34</v>
      </c>
      <c r="C33" s="13"/>
      <c r="D33" s="14"/>
    </row>
    <row r="34" spans="1:4">
      <c r="A34" s="10"/>
      <c r="B34" s="16" t="s">
        <v>35</v>
      </c>
      <c r="C34" s="13"/>
      <c r="D34" s="14"/>
    </row>
    <row r="35" spans="1:4">
      <c r="A35" s="46">
        <v>12</v>
      </c>
      <c r="B35" s="45" t="s">
        <v>36</v>
      </c>
      <c r="C35" s="46"/>
      <c r="D35" s="47"/>
    </row>
    <row r="36" spans="1:4">
      <c r="A36" s="46"/>
      <c r="B36" s="45" t="s">
        <v>47</v>
      </c>
      <c r="C36" s="46"/>
      <c r="D36" s="47"/>
    </row>
    <row r="37" spans="1:4">
      <c r="A37" s="50">
        <v>13</v>
      </c>
      <c r="B37" s="48" t="s">
        <v>37</v>
      </c>
      <c r="C37" s="46"/>
      <c r="D37" s="47"/>
    </row>
    <row r="38" spans="1:4">
      <c r="A38" s="50"/>
      <c r="B38" s="48" t="s">
        <v>46</v>
      </c>
      <c r="C38" s="46"/>
      <c r="D38" s="47"/>
    </row>
    <row r="39" spans="1:4">
      <c r="A39" s="50"/>
      <c r="B39" s="48"/>
      <c r="C39" s="50"/>
      <c r="D39" s="52"/>
    </row>
    <row r="40" spans="1:4">
      <c r="A40" s="50"/>
      <c r="B40" s="42" t="s">
        <v>38</v>
      </c>
      <c r="C40" s="50"/>
      <c r="D40" s="52">
        <f>SUM(D4:D39)</f>
        <v>0</v>
      </c>
    </row>
    <row r="42" spans="1:4">
      <c r="B42" s="19" t="s">
        <v>149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topLeftCell="B1" workbookViewId="0">
      <selection activeCell="E6" sqref="E6"/>
    </sheetView>
  </sheetViews>
  <sheetFormatPr defaultRowHeight="25.5"/>
  <sheetData>
    <row r="1" spans="1:1">
      <c r="A1" s="260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37</vt:i4>
      </vt:variant>
      <vt:variant>
        <vt:lpstr>ช่วงที่มีชื่อ</vt:lpstr>
      </vt:variant>
      <vt:variant>
        <vt:i4>6</vt:i4>
      </vt:variant>
    </vt:vector>
  </HeadingPairs>
  <TitlesOfParts>
    <vt:vector size="43" baseType="lpstr">
      <vt:lpstr>1-30 มิย.63-เงินสด</vt:lpstr>
      <vt:lpstr>1-12 กค.63-ส้ม-</vt:lpstr>
      <vt:lpstr>1-30 กย.69</vt:lpstr>
      <vt:lpstr>1-30 กย. 69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000</vt:lpstr>
      <vt:lpstr>Sheet1</vt:lpstr>
      <vt:lpstr>'1-12 กค.63-ส้ม-'!Print_Area</vt:lpstr>
      <vt:lpstr>'1-30 กย.69'!Print_Area</vt:lpstr>
      <vt:lpstr>'1-30 มิย.63-เงินสด'!Print_Area</vt:lpstr>
      <vt:lpstr>'1-12 กค.63-ส้ม-'!Print_Titles</vt:lpstr>
      <vt:lpstr>'1-30 กย.69'!Print_Titles</vt:lpstr>
      <vt:lpstr>'1-30 มิย.63-เงินสด'!Print_Titles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udomsriw</dc:creator>
  <cp:lastModifiedBy>pawisau</cp:lastModifiedBy>
  <cp:lastPrinted>2023-10-02T09:02:54Z</cp:lastPrinted>
  <dcterms:created xsi:type="dcterms:W3CDTF">2019-04-02T04:52:45Z</dcterms:created>
  <dcterms:modified xsi:type="dcterms:W3CDTF">2026-10-09T03:36:01Z</dcterms:modified>
</cp:coreProperties>
</file>