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สิ่งปลูกสร้าง งปม." sheetId="1" r:id="rId1"/>
  </sheets>
  <calcPr calcId="124519"/>
</workbook>
</file>

<file path=xl/calcChain.xml><?xml version="1.0" encoding="utf-8"?>
<calcChain xmlns="http://schemas.openxmlformats.org/spreadsheetml/2006/main">
  <c r="J6" i="1"/>
  <c r="K6" s="1"/>
  <c r="N6" s="1"/>
  <c r="O6" s="1"/>
  <c r="L6"/>
  <c r="M6" s="1"/>
  <c r="P6" s="1"/>
  <c r="AD6"/>
  <c r="J7"/>
  <c r="K7" s="1"/>
  <c r="N7" s="1"/>
  <c r="L7"/>
  <c r="M7"/>
  <c r="P7" s="1"/>
  <c r="O7"/>
  <c r="J8"/>
  <c r="M8" s="1"/>
  <c r="P8" s="1"/>
  <c r="L8"/>
  <c r="O8"/>
  <c r="R8"/>
  <c r="J9"/>
  <c r="K9"/>
  <c r="N9" s="1"/>
  <c r="M9"/>
  <c r="O9"/>
  <c r="P9"/>
  <c r="Q9" s="1"/>
  <c r="AD9"/>
  <c r="AE9"/>
  <c r="AF9" s="1"/>
  <c r="J10"/>
  <c r="K10"/>
  <c r="N10" s="1"/>
  <c r="M10"/>
  <c r="O10"/>
  <c r="P10"/>
  <c r="Q10" s="1"/>
  <c r="AD10"/>
  <c r="AE10"/>
  <c r="AF10" s="1"/>
  <c r="D23"/>
  <c r="E23"/>
  <c r="E26"/>
  <c r="S6" l="1"/>
  <c r="Q6"/>
  <c r="T10"/>
  <c r="R10"/>
  <c r="S7"/>
  <c r="Q7"/>
  <c r="R7" s="1"/>
  <c r="R9"/>
  <c r="Q8"/>
  <c r="S8"/>
  <c r="K8"/>
  <c r="N8" s="1"/>
  <c r="T7" l="1"/>
  <c r="U7" s="1"/>
  <c r="V7" s="1"/>
  <c r="T8"/>
  <c r="U8" s="1"/>
  <c r="V8" s="1"/>
  <c r="T6"/>
  <c r="V6"/>
  <c r="S9"/>
  <c r="U9"/>
  <c r="S10"/>
  <c r="U10"/>
  <c r="T9"/>
  <c r="W7" l="1"/>
  <c r="X7" s="1"/>
  <c r="Y7" s="1"/>
  <c r="Y8"/>
  <c r="W8"/>
  <c r="X8" s="1"/>
  <c r="Y6"/>
  <c r="W6"/>
  <c r="V10"/>
  <c r="W10" s="1"/>
  <c r="V9"/>
  <c r="W9" s="1"/>
  <c r="AB7" l="1"/>
  <c r="Z7"/>
  <c r="AA7" s="1"/>
  <c r="AD7" s="1"/>
  <c r="Z6"/>
  <c r="AB6"/>
  <c r="AB8"/>
  <c r="Z8"/>
  <c r="AA8" s="1"/>
  <c r="AD8" s="1"/>
  <c r="AE7" l="1"/>
  <c r="AF7" s="1"/>
  <c r="AC7"/>
  <c r="AC8"/>
  <c r="AE8"/>
  <c r="AF8" s="1"/>
  <c r="AE6"/>
  <c r="AC6"/>
  <c r="AD23"/>
  <c r="AD26" s="1"/>
  <c r="AE23" l="1"/>
  <c r="AE26" s="1"/>
  <c r="AF6"/>
  <c r="AF23" s="1"/>
  <c r="AF26" s="1"/>
</calcChain>
</file>

<file path=xl/sharedStrings.xml><?xml version="1.0" encoding="utf-8"?>
<sst xmlns="http://schemas.openxmlformats.org/spreadsheetml/2006/main" count="75" uniqueCount="70">
  <si>
    <t>ครุภัณฑ์ประจำปี 69 งปม.</t>
  </si>
  <si>
    <t>มูลค่าสุทธิ</t>
  </si>
  <si>
    <t>สะสม</t>
  </si>
  <si>
    <t>ประจำปี</t>
  </si>
  <si>
    <t>มูลค่ารวม</t>
  </si>
  <si>
    <t xml:space="preserve">0920-005-0004/1(69)    </t>
  </si>
  <si>
    <t xml:space="preserve">ทางเชื่อมระหว่างอาคารอันดามันไปอาคารอุบัติเหตุฉุกเฉินโรคหัวใจ 10 ชั้น </t>
  </si>
  <si>
    <t>A-0047/2(68)</t>
  </si>
  <si>
    <t>กำแพงกันดิน(อาคารอุบัติเหตุหัวใจ10 ชั้น)</t>
  </si>
  <si>
    <t>A-0047/1(68)</t>
  </si>
  <si>
    <t>ถนน (โครงสร้างถนนป้ายและรั้วบางส่วน)</t>
  </si>
  <si>
    <t>A-0045/1(68)</t>
  </si>
  <si>
    <t>รั้ว (โครงสร้างถนนป้ายและรั้วบางส่วน)</t>
  </si>
  <si>
    <t>A-0059/1(68)</t>
  </si>
  <si>
    <t>093-007-0001/1(57)</t>
  </si>
  <si>
    <t>กำแพงกั้นดิน</t>
  </si>
  <si>
    <t>093-007-0001/1(63)</t>
  </si>
  <si>
    <t>ชนิด 0100002 โรงจอดรถบัสทางราชการ(อาคารเพื่อประโยชน์)</t>
  </si>
  <si>
    <t>A-0060(56)</t>
  </si>
  <si>
    <t>ชนิด 0310003 ทางเดินเชื่อมกำแพงถนน - ทางเข้า คสล</t>
  </si>
  <si>
    <t>A-0058(56)</t>
  </si>
  <si>
    <t>ชนิด 0320004 หลังคาผ้าใบแรงดึงสูง งปม</t>
  </si>
  <si>
    <t>A-0059(56)</t>
  </si>
  <si>
    <t>ชนิด 0100039 ถนนภายในทางเข้า ประตู 5 งปม</t>
  </si>
  <si>
    <t xml:space="preserve">A-0057(56) </t>
  </si>
  <si>
    <r>
      <t>ชนิด 0310002 ทางเดินเชื่อม</t>
    </r>
    <r>
      <rPr>
        <b/>
        <u/>
        <sz val="14"/>
        <color rgb="FFFF0000"/>
        <rFont val="Angsana New"/>
        <family val="1"/>
      </rPr>
      <t xml:space="preserve"> งบประมาณ</t>
    </r>
  </si>
  <si>
    <t xml:space="preserve"> </t>
  </si>
  <si>
    <t xml:space="preserve">A-0054(54) </t>
  </si>
  <si>
    <t xml:space="preserve">ชนิด 0310001 รั้ว  </t>
  </si>
  <si>
    <t>A-0051(52)</t>
  </si>
  <si>
    <t>ชนิด 0320001 ถังเก็บน้ำ</t>
  </si>
  <si>
    <t>A-0048</t>
  </si>
  <si>
    <t>A-0047</t>
  </si>
  <si>
    <t>ชนิด 0310001 รั้ว</t>
  </si>
  <si>
    <t>A-0046</t>
  </si>
  <si>
    <t>ชนิด 0310002 ทางเดินเชื่อม คสล.</t>
  </si>
  <si>
    <t>A-0045</t>
  </si>
  <si>
    <t>มูลค่าสุทธิ69</t>
  </si>
  <si>
    <t>ค่าเสื่อมสะสม69</t>
  </si>
  <si>
    <t>ประจำปี69</t>
  </si>
  <si>
    <t>มูลค่าสุทธิ66</t>
  </si>
  <si>
    <t>ค่าเสื่อมสะสม66</t>
  </si>
  <si>
    <t>ประจำปี66</t>
  </si>
  <si>
    <t>มูลค่าสุทธิ65</t>
  </si>
  <si>
    <t>ค่าเสื่อมสะสม65</t>
  </si>
  <si>
    <t>ประจำปี65</t>
  </si>
  <si>
    <t>มูลค่าสุทธิ64</t>
  </si>
  <si>
    <t>ค่าเสื่อมสะสม64</t>
  </si>
  <si>
    <t>ประจำปี64</t>
  </si>
  <si>
    <t>มูลค่าสุทธิ63</t>
  </si>
  <si>
    <t>ค่าเสื่อมสะสม63</t>
  </si>
  <si>
    <t>ประจำปี63</t>
  </si>
  <si>
    <t xml:space="preserve">มูลค่าสุทธิ62 </t>
  </si>
  <si>
    <t>ค่าเสื่อมสะสม62</t>
  </si>
  <si>
    <t>ประจำปี62</t>
  </si>
  <si>
    <t xml:space="preserve">มูลค่าสุทธิ61 </t>
  </si>
  <si>
    <t>ค่าเสื่อมสะสม61</t>
  </si>
  <si>
    <t>ประจำปี61</t>
  </si>
  <si>
    <t>มูลค่าสุทธิ60</t>
  </si>
  <si>
    <t>ค่าเสื่อมสะสม60</t>
  </si>
  <si>
    <t>ประจำปี60</t>
  </si>
  <si>
    <t>มูลค่าสุทธิ59</t>
  </si>
  <si>
    <t>ค่าเสื่อมสะสม59</t>
  </si>
  <si>
    <t>ประจำปี59</t>
  </si>
  <si>
    <t>อายุการใช้งาน</t>
  </si>
  <si>
    <t>รหัสครุภัณฑ์</t>
  </si>
  <si>
    <t>รายการ</t>
  </si>
  <si>
    <t>ลำดับที่</t>
  </si>
  <si>
    <t xml:space="preserve">                   ประเภทสิ่งปลูกสร้าง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</si>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</sst>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sz val="10"/>
      <color indexed="8"/>
      <name val="Arial"/>
      <family val="2"/>
    </font>
    <font>
      <b/>
      <sz val="14"/>
      <name val="Angsana New"/>
      <family val="1"/>
    </font>
    <font>
      <b/>
      <u/>
      <sz val="14"/>
      <color rgb="FFFF0000"/>
      <name val="Angsana New"/>
      <family val="1"/>
    </font>
    <font>
      <b/>
      <sz val="16"/>
      <color indexed="8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2" fillId="0" borderId="0" xfId="0" applyFont="1"/>
    <xf numFmtId="43" fontId="2" fillId="0" borderId="0" xfId="1" applyFont="1"/>
    <xf numFmtId="43" fontId="3" fillId="0" borderId="0" xfId="1" applyFont="1"/>
    <xf numFmtId="0" fontId="3" fillId="0" borderId="0" xfId="0" applyFont="1"/>
    <xf numFmtId="43" fontId="3" fillId="0" borderId="0" xfId="0" applyNumberFormat="1" applyFont="1"/>
    <xf numFmtId="43" fontId="2" fillId="2" borderId="1" xfId="2" applyFont="1" applyFill="1" applyBorder="1" applyAlignment="1">
      <alignment horizontal="center"/>
    </xf>
    <xf numFmtId="43" fontId="2" fillId="2" borderId="2" xfId="2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5" fillId="2" borderId="0" xfId="2" applyFont="1" applyFill="1" applyAlignment="1">
      <alignment horizontal="center"/>
    </xf>
    <xf numFmtId="43" fontId="2" fillId="0" borderId="3" xfId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3" fontId="2" fillId="0" borderId="3" xfId="1" applyFont="1" applyFill="1" applyBorder="1"/>
    <xf numFmtId="0" fontId="7" fillId="0" borderId="3" xfId="3" applyFont="1" applyBorder="1" applyAlignment="1">
      <alignment horizontal="center" vertical="center"/>
    </xf>
    <xf numFmtId="0" fontId="7" fillId="0" borderId="3" xfId="4" applyFont="1" applyBorder="1" applyAlignment="1">
      <alignment horizontal="left" vertical="top"/>
    </xf>
    <xf numFmtId="43" fontId="5" fillId="0" borderId="3" xfId="5" applyFont="1" applyFill="1" applyBorder="1" applyAlignment="1">
      <alignment vertical="top"/>
    </xf>
    <xf numFmtId="43" fontId="5" fillId="0" borderId="3" xfId="5" applyFont="1" applyFill="1" applyBorder="1" applyAlignment="1">
      <alignment horizontal="center" vertical="top"/>
    </xf>
    <xf numFmtId="43" fontId="5" fillId="0" borderId="3" xfId="5" applyFont="1" applyFill="1" applyBorder="1" applyAlignment="1">
      <alignment horizontal="left" vertical="top" shrinkToFit="1"/>
    </xf>
    <xf numFmtId="43" fontId="2" fillId="0" borderId="3" xfId="0" applyNumberFormat="1" applyFont="1" applyBorder="1"/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43" fontId="2" fillId="2" borderId="3" xfId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1">
    <cellStyle name="Comma" xfId="1" builtinId="3"/>
    <cellStyle name="Comma 3" xfId="6"/>
    <cellStyle name="Comma 7" xfId="7"/>
    <cellStyle name="Normal" xfId="0" builtinId="0"/>
    <cellStyle name="Normal 2" xfId="8"/>
    <cellStyle name="เครื่องหมายจุลภาค 2" xfId="2"/>
    <cellStyle name="เครื่องหมายจุลภาค 3" xfId="5"/>
    <cellStyle name="จุลภาค 5" xfId="9"/>
    <cellStyle name="ปกติ 2" xfId="4"/>
    <cellStyle name="ปกติ 3" xfId="3"/>
    <cellStyle name="ปกติ 4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2</xdr:row>
      <xdr:rowOff>28574</xdr:rowOff>
    </xdr:from>
    <xdr:ext cx="533400" cy="513725"/>
    <xdr:pic>
      <xdr:nvPicPr>
        <xdr:cNvPr id="2" name="Picture 1">
          <a:extLst>
            <a:ext uri="{FF2B5EF4-FFF2-40B4-BE49-F238E27FC236}">
              <a16:creationId xmlns:a16="http://schemas.microsoft.com/office/drawing/2014/main" xmlns="" id="{A2903065-D3DF-4DB7-8F1B-4DFAC3674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390524"/>
          <a:ext cx="533400" cy="51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2:AF26"/>
  <sheetViews>
    <sheetView tabSelected="1" zoomScaleSheetLayoutView="100" workbookViewId="0">
      <selection activeCell="A6" sqref="A6:A22"/>
    </sheetView>
  </sheetViews>
  <sheetFormatPr defaultColWidth="9" defaultRowHeight="23.25"/>
  <cols>
    <col min="1" max="1" width="9" style="1"/>
    <col min="2" max="2" width="30.75" style="1" customWidth="1"/>
    <col min="3" max="3" width="16.125" style="1" customWidth="1"/>
    <col min="4" max="4" width="18.375" style="1" customWidth="1"/>
    <col min="5" max="5" width="12.75" style="1" customWidth="1"/>
    <col min="6" max="6" width="14.25" style="1" hidden="1" customWidth="1"/>
    <col min="7" max="7" width="18.625" style="1" hidden="1" customWidth="1"/>
    <col min="8" max="8" width="22.125" style="1" hidden="1" customWidth="1"/>
    <col min="9" max="11" width="13.875" style="1" hidden="1" customWidth="1"/>
    <col min="12" max="15" width="15" style="1" hidden="1" customWidth="1"/>
    <col min="16" max="16" width="14.375" style="1" hidden="1" customWidth="1"/>
    <col min="17" max="26" width="15.25" style="1" hidden="1" customWidth="1"/>
    <col min="27" max="29" width="15.75" style="1" hidden="1" customWidth="1"/>
    <col min="30" max="30" width="14.5" style="2" customWidth="1"/>
    <col min="31" max="31" width="12.375" style="2" customWidth="1"/>
    <col min="32" max="32" width="13.125" style="2" customWidth="1"/>
    <col min="33" max="16384" width="9" style="1"/>
  </cols>
  <sheetData>
    <row r="2" spans="1:32">
      <c r="A2" s="30" t="s">
        <v>69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3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32">
      <c r="B4" s="28" t="s">
        <v>68</v>
      </c>
    </row>
    <row r="5" spans="1:32">
      <c r="A5" s="12" t="s">
        <v>67</v>
      </c>
      <c r="B5" s="12" t="s">
        <v>66</v>
      </c>
      <c r="C5" s="12" t="s">
        <v>65</v>
      </c>
      <c r="D5" s="12" t="s">
        <v>4</v>
      </c>
      <c r="E5" s="12" t="s">
        <v>64</v>
      </c>
      <c r="F5" s="12" t="s">
        <v>63</v>
      </c>
      <c r="G5" s="12" t="s">
        <v>62</v>
      </c>
      <c r="H5" s="12" t="s">
        <v>61</v>
      </c>
      <c r="I5" s="12" t="s">
        <v>60</v>
      </c>
      <c r="J5" s="12" t="s">
        <v>59</v>
      </c>
      <c r="K5" s="12" t="s">
        <v>58</v>
      </c>
      <c r="L5" s="12" t="s">
        <v>57</v>
      </c>
      <c r="M5" s="12" t="s">
        <v>56</v>
      </c>
      <c r="N5" s="12" t="s">
        <v>55</v>
      </c>
      <c r="O5" s="27" t="s">
        <v>54</v>
      </c>
      <c r="P5" s="27" t="s">
        <v>53</v>
      </c>
      <c r="Q5" s="27" t="s">
        <v>52</v>
      </c>
      <c r="R5" s="26" t="s">
        <v>51</v>
      </c>
      <c r="S5" s="26" t="s">
        <v>50</v>
      </c>
      <c r="T5" s="26" t="s">
        <v>49</v>
      </c>
      <c r="U5" s="25" t="s">
        <v>48</v>
      </c>
      <c r="V5" s="25" t="s">
        <v>47</v>
      </c>
      <c r="W5" s="25" t="s">
        <v>46</v>
      </c>
      <c r="X5" s="24" t="s">
        <v>45</v>
      </c>
      <c r="Y5" s="24" t="s">
        <v>44</v>
      </c>
      <c r="Z5" s="24" t="s">
        <v>43</v>
      </c>
      <c r="AA5" s="23" t="s">
        <v>42</v>
      </c>
      <c r="AB5" s="23" t="s">
        <v>41</v>
      </c>
      <c r="AC5" s="23" t="s">
        <v>40</v>
      </c>
      <c r="AD5" s="22" t="s">
        <v>39</v>
      </c>
      <c r="AE5" s="22" t="s">
        <v>38</v>
      </c>
      <c r="AF5" s="22" t="s">
        <v>37</v>
      </c>
    </row>
    <row r="6" spans="1:32">
      <c r="A6" s="12">
        <v>1</v>
      </c>
      <c r="B6" s="15" t="s">
        <v>33</v>
      </c>
      <c r="C6" s="14" t="s">
        <v>36</v>
      </c>
      <c r="D6" s="13">
        <v>2040000</v>
      </c>
      <c r="E6" s="12">
        <v>15</v>
      </c>
      <c r="F6" s="13">
        <v>136000</v>
      </c>
      <c r="G6" s="13">
        <v>1688666.62</v>
      </c>
      <c r="H6" s="13">
        <v>351333.38</v>
      </c>
      <c r="I6" s="13">
        <v>136000</v>
      </c>
      <c r="J6" s="19">
        <f>ROUND(G6+I6,2)</f>
        <v>1824666.62</v>
      </c>
      <c r="K6" s="19">
        <f>ROUND(D6-J6,2)</f>
        <v>215333.38</v>
      </c>
      <c r="L6" s="13">
        <f>ROUND(D6/E6,2)</f>
        <v>136000</v>
      </c>
      <c r="M6" s="19">
        <f>ROUND(J6+L6,2)</f>
        <v>1960666.62</v>
      </c>
      <c r="N6" s="19">
        <f>ROUND(K6-L6,2)</f>
        <v>79333.38</v>
      </c>
      <c r="O6" s="19">
        <f>N6-1</f>
        <v>79332.38</v>
      </c>
      <c r="P6" s="19">
        <f>M6+O6</f>
        <v>2039999</v>
      </c>
      <c r="Q6" s="19">
        <f>D6-P6</f>
        <v>1</v>
      </c>
      <c r="R6" s="19">
        <v>0</v>
      </c>
      <c r="S6" s="19">
        <f>P6+R6</f>
        <v>2039999</v>
      </c>
      <c r="T6" s="19">
        <f>D6-S6</f>
        <v>1</v>
      </c>
      <c r="U6" s="19">
        <v>0</v>
      </c>
      <c r="V6" s="19">
        <f>S6+U6</f>
        <v>2039999</v>
      </c>
      <c r="W6" s="19">
        <f>D6-V6</f>
        <v>1</v>
      </c>
      <c r="X6" s="19">
        <v>0</v>
      </c>
      <c r="Y6" s="19">
        <f>V6+X6</f>
        <v>2039999</v>
      </c>
      <c r="Z6" s="19">
        <f>D6-Y6</f>
        <v>1</v>
      </c>
      <c r="AA6" s="19">
        <v>0</v>
      </c>
      <c r="AB6" s="19">
        <f>Y6+AA6</f>
        <v>2039999</v>
      </c>
      <c r="AC6" s="19">
        <f>D6-AB6</f>
        <v>1</v>
      </c>
      <c r="AD6" s="10">
        <f>AA6</f>
        <v>0</v>
      </c>
      <c r="AE6" s="10">
        <f>AB6+AD6</f>
        <v>2039999</v>
      </c>
      <c r="AF6" s="10">
        <f>D6-AE6</f>
        <v>1</v>
      </c>
    </row>
    <row r="7" spans="1:32">
      <c r="A7" s="12">
        <v>2</v>
      </c>
      <c r="B7" s="15" t="s">
        <v>35</v>
      </c>
      <c r="C7" s="14" t="s">
        <v>34</v>
      </c>
      <c r="D7" s="13">
        <v>4390000</v>
      </c>
      <c r="E7" s="12">
        <v>15</v>
      </c>
      <c r="F7" s="13">
        <v>292666.67</v>
      </c>
      <c r="G7" s="13">
        <v>3341277.78</v>
      </c>
      <c r="H7" s="13">
        <v>1048722.22</v>
      </c>
      <c r="I7" s="13">
        <v>292666.67</v>
      </c>
      <c r="J7" s="19">
        <f>ROUND(G7+I7,2)</f>
        <v>3633944.45</v>
      </c>
      <c r="K7" s="19">
        <f>ROUND(D7-J7,2)</f>
        <v>756055.55</v>
      </c>
      <c r="L7" s="13">
        <f>ROUND(D7/E7,2)</f>
        <v>292666.67</v>
      </c>
      <c r="M7" s="19">
        <f>ROUND(J7+L7,2)</f>
        <v>3926611.12</v>
      </c>
      <c r="N7" s="19">
        <f>ROUND(K7-L7,2)</f>
        <v>463388.88</v>
      </c>
      <c r="O7" s="19">
        <f>L7</f>
        <v>292666.67</v>
      </c>
      <c r="P7" s="19">
        <f>M7+O7</f>
        <v>4219277.79</v>
      </c>
      <c r="Q7" s="19">
        <f>D7-P7</f>
        <v>170722.20999999996</v>
      </c>
      <c r="R7" s="19">
        <f>Q7-1</f>
        <v>170721.20999999996</v>
      </c>
      <c r="S7" s="19">
        <f>P7+R7</f>
        <v>4389999</v>
      </c>
      <c r="T7" s="19">
        <f>D7-S7</f>
        <v>1</v>
      </c>
      <c r="U7" s="19">
        <f>T7-1</f>
        <v>0</v>
      </c>
      <c r="V7" s="19">
        <f>S7+U7</f>
        <v>4389999</v>
      </c>
      <c r="W7" s="19">
        <f>D7-V7</f>
        <v>1</v>
      </c>
      <c r="X7" s="19">
        <f>W7-1</f>
        <v>0</v>
      </c>
      <c r="Y7" s="19">
        <f>V7+X7</f>
        <v>4389999</v>
      </c>
      <c r="Z7" s="19">
        <f>D7-Y7</f>
        <v>1</v>
      </c>
      <c r="AA7" s="19">
        <f>Z7-1</f>
        <v>0</v>
      </c>
      <c r="AB7" s="19">
        <f>Y7+AA7</f>
        <v>4389999</v>
      </c>
      <c r="AC7" s="19">
        <f>D7-AB7</f>
        <v>1</v>
      </c>
      <c r="AD7" s="10">
        <f>AA7</f>
        <v>0</v>
      </c>
      <c r="AE7" s="10">
        <f>AB7+AD7</f>
        <v>4389999</v>
      </c>
      <c r="AF7" s="10">
        <f>D7-AE7</f>
        <v>1</v>
      </c>
    </row>
    <row r="8" spans="1:32">
      <c r="A8" s="12">
        <v>3</v>
      </c>
      <c r="B8" s="15" t="s">
        <v>33</v>
      </c>
      <c r="C8" s="14" t="s">
        <v>32</v>
      </c>
      <c r="D8" s="13">
        <v>2340000</v>
      </c>
      <c r="E8" s="12">
        <v>15</v>
      </c>
      <c r="F8" s="13">
        <v>156000</v>
      </c>
      <c r="G8" s="13">
        <v>1677000</v>
      </c>
      <c r="H8" s="13">
        <v>663000</v>
      </c>
      <c r="I8" s="13">
        <v>156000</v>
      </c>
      <c r="J8" s="19">
        <f>ROUND(G8+I8,2)</f>
        <v>1833000</v>
      </c>
      <c r="K8" s="19">
        <f>ROUND(D8-J8,2)</f>
        <v>507000</v>
      </c>
      <c r="L8" s="13">
        <f>ROUND(D8/E8,2)</f>
        <v>156000</v>
      </c>
      <c r="M8" s="19">
        <f>ROUND(J8+L8,2)</f>
        <v>1989000</v>
      </c>
      <c r="N8" s="19">
        <f>ROUND(K8-L8,2)</f>
        <v>351000</v>
      </c>
      <c r="O8" s="19">
        <f>L8</f>
        <v>156000</v>
      </c>
      <c r="P8" s="19">
        <f>M8+O8</f>
        <v>2145000</v>
      </c>
      <c r="Q8" s="19">
        <f>D8-P8</f>
        <v>195000</v>
      </c>
      <c r="R8" s="19">
        <f>O8</f>
        <v>156000</v>
      </c>
      <c r="S8" s="19">
        <f>P8+R8</f>
        <v>2301000</v>
      </c>
      <c r="T8" s="19">
        <f>D8-S8</f>
        <v>39000</v>
      </c>
      <c r="U8" s="19">
        <f>T8-1</f>
        <v>38999</v>
      </c>
      <c r="V8" s="19">
        <f>S8+U8</f>
        <v>2339999</v>
      </c>
      <c r="W8" s="19">
        <f>D8-V8</f>
        <v>1</v>
      </c>
      <c r="X8" s="19">
        <f>W8-1</f>
        <v>0</v>
      </c>
      <c r="Y8" s="19">
        <f>V8+X8</f>
        <v>2339999</v>
      </c>
      <c r="Z8" s="19">
        <f>D8-Y8</f>
        <v>1</v>
      </c>
      <c r="AA8" s="19">
        <f>Z8-1</f>
        <v>0</v>
      </c>
      <c r="AB8" s="19">
        <f>Y8+AA8</f>
        <v>2339999</v>
      </c>
      <c r="AC8" s="19">
        <f>D8-AB8</f>
        <v>1</v>
      </c>
      <c r="AD8" s="10">
        <f>AA8</f>
        <v>0</v>
      </c>
      <c r="AE8" s="10">
        <f>AB8+AD8</f>
        <v>2339999</v>
      </c>
      <c r="AF8" s="10">
        <f>D8-AE8</f>
        <v>1</v>
      </c>
    </row>
    <row r="9" spans="1:32">
      <c r="A9" s="12">
        <v>4</v>
      </c>
      <c r="B9" s="21" t="s">
        <v>30</v>
      </c>
      <c r="C9" s="20" t="s">
        <v>31</v>
      </c>
      <c r="D9" s="13">
        <v>1400000</v>
      </c>
      <c r="E9" s="12">
        <v>5</v>
      </c>
      <c r="F9" s="13">
        <v>0</v>
      </c>
      <c r="G9" s="13">
        <v>1399999</v>
      </c>
      <c r="H9" s="13">
        <v>1</v>
      </c>
      <c r="I9" s="13">
        <v>0</v>
      </c>
      <c r="J9" s="19">
        <f>ROUND(G9+I9,2)</f>
        <v>1399999</v>
      </c>
      <c r="K9" s="19">
        <f>ROUND(D9-J9,2)</f>
        <v>1</v>
      </c>
      <c r="L9" s="13">
        <v>0</v>
      </c>
      <c r="M9" s="19">
        <f>J9+L9</f>
        <v>1399999</v>
      </c>
      <c r="N9" s="19">
        <f>K9-L9</f>
        <v>1</v>
      </c>
      <c r="O9" s="19">
        <f>L9</f>
        <v>0</v>
      </c>
      <c r="P9" s="19">
        <f>O9+M9</f>
        <v>1399999</v>
      </c>
      <c r="Q9" s="19">
        <f>D9-P9</f>
        <v>1</v>
      </c>
      <c r="R9" s="19">
        <f>Q9-1</f>
        <v>0</v>
      </c>
      <c r="S9" s="19">
        <f>R9+P9</f>
        <v>1399999</v>
      </c>
      <c r="T9" s="19">
        <f>Q9-R9</f>
        <v>1</v>
      </c>
      <c r="U9" s="19">
        <f>R9</f>
        <v>0</v>
      </c>
      <c r="V9" s="19">
        <f>U9+S9</f>
        <v>1399999</v>
      </c>
      <c r="W9" s="19">
        <f>D9-V9</f>
        <v>1</v>
      </c>
      <c r="X9" s="11"/>
      <c r="Y9" s="11"/>
      <c r="Z9" s="11"/>
      <c r="AA9" s="11"/>
      <c r="AB9" s="11"/>
      <c r="AC9" s="11"/>
      <c r="AD9" s="10">
        <f>AA9</f>
        <v>0</v>
      </c>
      <c r="AE9" s="10">
        <f>D9-1</f>
        <v>1399999</v>
      </c>
      <c r="AF9" s="10">
        <f>D9-AE9</f>
        <v>1</v>
      </c>
    </row>
    <row r="10" spans="1:32">
      <c r="A10" s="12">
        <v>5</v>
      </c>
      <c r="B10" s="21" t="s">
        <v>30</v>
      </c>
      <c r="C10" s="20" t="s">
        <v>29</v>
      </c>
      <c r="D10" s="13">
        <v>1500000</v>
      </c>
      <c r="E10" s="12">
        <v>5</v>
      </c>
      <c r="F10" s="13">
        <v>0</v>
      </c>
      <c r="G10" s="13">
        <v>1499999</v>
      </c>
      <c r="H10" s="13">
        <v>1</v>
      </c>
      <c r="I10" s="13">
        <v>0</v>
      </c>
      <c r="J10" s="19">
        <f>ROUND(G10+I10,2)</f>
        <v>1499999</v>
      </c>
      <c r="K10" s="19">
        <f>ROUND(D10-J10,2)</f>
        <v>1</v>
      </c>
      <c r="L10" s="13">
        <v>0</v>
      </c>
      <c r="M10" s="19">
        <f>J10+L10</f>
        <v>1499999</v>
      </c>
      <c r="N10" s="19">
        <f>K10-L10</f>
        <v>1</v>
      </c>
      <c r="O10" s="19">
        <f>L10</f>
        <v>0</v>
      </c>
      <c r="P10" s="19">
        <f>O10+M10</f>
        <v>1499999</v>
      </c>
      <c r="Q10" s="19">
        <f>D10-P10</f>
        <v>1</v>
      </c>
      <c r="R10" s="19">
        <f>Q10-1</f>
        <v>0</v>
      </c>
      <c r="S10" s="19">
        <f>R10+P10</f>
        <v>1499999</v>
      </c>
      <c r="T10" s="19">
        <f>Q10-R10</f>
        <v>1</v>
      </c>
      <c r="U10" s="19">
        <f>R10</f>
        <v>0</v>
      </c>
      <c r="V10" s="19">
        <f>U10+S10</f>
        <v>1499999</v>
      </c>
      <c r="W10" s="19">
        <f>D10-V10</f>
        <v>1</v>
      </c>
      <c r="X10" s="11"/>
      <c r="Y10" s="11"/>
      <c r="Z10" s="11"/>
      <c r="AA10" s="11"/>
      <c r="AB10" s="11"/>
      <c r="AC10" s="11"/>
      <c r="AD10" s="10">
        <f>AA10</f>
        <v>0</v>
      </c>
      <c r="AE10" s="10">
        <f>D10-1</f>
        <v>1499999</v>
      </c>
      <c r="AF10" s="10">
        <f>D10-AE10</f>
        <v>1</v>
      </c>
    </row>
    <row r="11" spans="1:32">
      <c r="A11" s="12">
        <v>6</v>
      </c>
      <c r="B11" s="15" t="s">
        <v>28</v>
      </c>
      <c r="C11" s="14" t="s">
        <v>27</v>
      </c>
      <c r="D11" s="13">
        <v>650000</v>
      </c>
      <c r="E11" s="12">
        <v>15</v>
      </c>
      <c r="F11" s="12">
        <v>15</v>
      </c>
      <c r="G11" s="11"/>
      <c r="H11" s="11"/>
      <c r="I11" s="11"/>
      <c r="J11" s="11"/>
      <c r="K11" s="11"/>
      <c r="L11" s="11"/>
      <c r="M11" s="19" t="s">
        <v>26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0">
        <v>36110.300000000047</v>
      </c>
      <c r="AE11" s="10">
        <v>649999</v>
      </c>
      <c r="AF11" s="10">
        <v>1</v>
      </c>
    </row>
    <row r="12" spans="1:32">
      <c r="A12" s="12">
        <v>7</v>
      </c>
      <c r="B12" s="15" t="s">
        <v>25</v>
      </c>
      <c r="C12" s="14" t="s">
        <v>24</v>
      </c>
      <c r="D12" s="13">
        <v>9745043.8699999992</v>
      </c>
      <c r="E12" s="12">
        <v>15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0">
        <v>649668.59133333329</v>
      </c>
      <c r="AE12" s="10">
        <v>9745042.8699999992</v>
      </c>
      <c r="AF12" s="10">
        <v>1</v>
      </c>
    </row>
    <row r="13" spans="1:32">
      <c r="A13" s="12">
        <v>8</v>
      </c>
      <c r="B13" s="18" t="s">
        <v>23</v>
      </c>
      <c r="C13" s="17" t="s">
        <v>22</v>
      </c>
      <c r="D13" s="16">
        <v>485000</v>
      </c>
      <c r="E13" s="12">
        <v>15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0">
        <v>32333.333333333332</v>
      </c>
      <c r="AE13" s="10">
        <v>476916.66666666657</v>
      </c>
      <c r="AF13" s="10">
        <v>8083.3333333334303</v>
      </c>
    </row>
    <row r="14" spans="1:32">
      <c r="A14" s="12">
        <v>9</v>
      </c>
      <c r="B14" s="15" t="s">
        <v>21</v>
      </c>
      <c r="C14" s="14" t="s">
        <v>20</v>
      </c>
      <c r="D14" s="13">
        <v>1728505.14</v>
      </c>
      <c r="E14" s="12">
        <v>15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0">
        <v>115233.67599999999</v>
      </c>
      <c r="AE14" s="10">
        <v>1632477.0766666664</v>
      </c>
      <c r="AF14" s="10">
        <v>96028.06333333347</v>
      </c>
    </row>
    <row r="15" spans="1:32">
      <c r="A15" s="12">
        <v>10</v>
      </c>
      <c r="B15" s="15" t="s">
        <v>19</v>
      </c>
      <c r="C15" s="14" t="s">
        <v>18</v>
      </c>
      <c r="D15" s="13">
        <v>1167456.08</v>
      </c>
      <c r="E15" s="12">
        <v>15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0">
        <v>77830.41</v>
      </c>
      <c r="AE15" s="10">
        <v>1089625.7700000003</v>
      </c>
      <c r="AF15" s="10">
        <v>77830.309999999823</v>
      </c>
    </row>
    <row r="16" spans="1:32">
      <c r="A16" s="12">
        <v>11</v>
      </c>
      <c r="B16" s="15" t="s">
        <v>17</v>
      </c>
      <c r="C16" s="14" t="s">
        <v>16</v>
      </c>
      <c r="D16" s="13">
        <v>488000</v>
      </c>
      <c r="E16" s="12">
        <v>10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0">
        <v>48800</v>
      </c>
      <c r="AE16" s="10">
        <v>317200.02</v>
      </c>
      <c r="AF16" s="10">
        <v>170799.97999999998</v>
      </c>
    </row>
    <row r="17" spans="1:32">
      <c r="A17" s="12">
        <v>12</v>
      </c>
      <c r="B17" s="15" t="s">
        <v>15</v>
      </c>
      <c r="C17" s="14" t="s">
        <v>14</v>
      </c>
      <c r="D17" s="13">
        <v>16677944</v>
      </c>
      <c r="E17" s="12">
        <v>15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0">
        <v>1111862.93</v>
      </c>
      <c r="AE17" s="10">
        <v>14454218.089999998</v>
      </c>
      <c r="AF17" s="10">
        <v>2223725.910000002</v>
      </c>
    </row>
    <row r="18" spans="1:32">
      <c r="A18" s="12">
        <v>13</v>
      </c>
      <c r="B18" s="15" t="s">
        <v>10</v>
      </c>
      <c r="C18" s="14" t="s">
        <v>13</v>
      </c>
      <c r="D18" s="13">
        <v>29048382.77</v>
      </c>
      <c r="E18" s="12">
        <v>15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0">
        <v>1936558.85</v>
      </c>
      <c r="AE18" s="10">
        <v>3711737.75</v>
      </c>
      <c r="AF18" s="10">
        <v>25336645.02</v>
      </c>
    </row>
    <row r="19" spans="1:32">
      <c r="A19" s="12">
        <v>14</v>
      </c>
      <c r="B19" s="15" t="s">
        <v>12</v>
      </c>
      <c r="C19" s="14" t="s">
        <v>11</v>
      </c>
      <c r="D19" s="13">
        <v>8345725.3399999999</v>
      </c>
      <c r="E19" s="12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0">
        <v>556381.68999999994</v>
      </c>
      <c r="AE19" s="10">
        <v>1066398.23</v>
      </c>
      <c r="AF19" s="10">
        <v>7279327.1099999994</v>
      </c>
    </row>
    <row r="20" spans="1:32">
      <c r="A20" s="12">
        <v>15</v>
      </c>
      <c r="B20" s="15" t="s">
        <v>10</v>
      </c>
      <c r="C20" s="14" t="s">
        <v>9</v>
      </c>
      <c r="D20" s="13">
        <v>1505891.89</v>
      </c>
      <c r="E20" s="12">
        <v>15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0">
        <v>100392.79</v>
      </c>
      <c r="AE20" s="10">
        <v>192419.56</v>
      </c>
      <c r="AF20" s="10">
        <v>1313472.3299999998</v>
      </c>
    </row>
    <row r="21" spans="1:32">
      <c r="A21" s="12">
        <v>16</v>
      </c>
      <c r="B21" s="15" t="s">
        <v>8</v>
      </c>
      <c r="C21" s="14" t="s">
        <v>7</v>
      </c>
      <c r="D21" s="13">
        <v>7744000</v>
      </c>
      <c r="E21" s="12">
        <v>15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0">
        <v>516266.67</v>
      </c>
      <c r="AE21" s="10">
        <v>645333.32999999996</v>
      </c>
      <c r="AF21" s="10">
        <v>7098666.6699999999</v>
      </c>
    </row>
    <row r="22" spans="1:32">
      <c r="A22" s="12">
        <v>17</v>
      </c>
      <c r="B22" s="15" t="s">
        <v>6</v>
      </c>
      <c r="C22" s="14" t="s">
        <v>5</v>
      </c>
      <c r="D22" s="13">
        <v>8070000</v>
      </c>
      <c r="E22" s="12">
        <v>15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0">
        <v>403499.97000000003</v>
      </c>
      <c r="AE22" s="10">
        <v>403499.97000000003</v>
      </c>
      <c r="AF22" s="10">
        <v>7666500.0300000003</v>
      </c>
    </row>
    <row r="23" spans="1:32">
      <c r="A23" s="12"/>
      <c r="B23" s="15"/>
      <c r="C23" s="14"/>
      <c r="D23" s="13">
        <f>SUM(D6:D22)</f>
        <v>97325949.090000004</v>
      </c>
      <c r="E23" s="12">
        <f>SUM(E6:E22)</f>
        <v>230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0">
        <f>SUM(AD6:AD22)</f>
        <v>5584939.2106666658</v>
      </c>
      <c r="AE23" s="10">
        <f>SUM(AE6:AE22)</f>
        <v>46054863.333333328</v>
      </c>
      <c r="AF23" s="10">
        <f>SUM(AF6:AF22)</f>
        <v>51271085.756666668</v>
      </c>
    </row>
    <row r="25" spans="1:32" ht="24" thickBot="1">
      <c r="E25" s="9" t="s">
        <v>4</v>
      </c>
      <c r="F25" s="9" t="s">
        <v>3</v>
      </c>
      <c r="AD25" s="9" t="s">
        <v>3</v>
      </c>
      <c r="AE25" s="8" t="s">
        <v>2</v>
      </c>
      <c r="AF25" s="8" t="s">
        <v>1</v>
      </c>
    </row>
    <row r="26" spans="1:32" ht="26.25" thickBot="1">
      <c r="C26" s="7" t="s">
        <v>0</v>
      </c>
      <c r="D26" s="6"/>
      <c r="E26" s="5">
        <f>D23</f>
        <v>97325949.090000004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3">
        <f>AD23</f>
        <v>5584939.2106666658</v>
      </c>
      <c r="AE26" s="3">
        <f>AE23</f>
        <v>46054863.333333328</v>
      </c>
      <c r="AF26" s="3">
        <f>AF23</f>
        <v>51271085.756666668</v>
      </c>
    </row>
  </sheetData>
  <mergeCells count="2">
    <mergeCell ref="A2:K2"/>
    <mergeCell ref="C26:D26"/>
  </mergeCells>
  <pageMargins left="0.70866141732283472" right="0.43" top="0.74803149606299213" bottom="0.74803149606299213" header="0.31496062992125984" footer="0.31496062992125984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สิ่งปลูกสร้าง งปม.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2026-10-08T06:47:38Z</dcterms:created>
  <dcterms:modified xsi:type="dcterms:W3CDTF">2026-10-08T06:48:20Z</dcterms:modified>
</cp:coreProperties>
</file>