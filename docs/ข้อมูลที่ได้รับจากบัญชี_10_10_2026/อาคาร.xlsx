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 activeTab="1"/>
  </bookViews>
  <sheets>
    <sheet name="อาคารพักอาศัย" sheetId="1" r:id="rId1"/>
    <sheet name="อาคาร เพื่อประโยชน์อื่น" sheetId="2" r:id="rId2"/>
    <sheet name="อาคารสำนักงาน" sheetId="3" r:id="rId3"/>
  </sheets>
  <definedNames>
    <definedName name="_xlnm.Print_Area" localSheetId="1">'อาคาร เพื่อประโยชน์อื่น'!$A$1:$AG$6</definedName>
    <definedName name="_xlnm.Print_Area" localSheetId="0">อาคารพักอาศัย!$A$1:$AG$14</definedName>
    <definedName name="_xlnm.Print_Area" localSheetId="2">อาคารสำนักงาน!$A$1:$AG$5</definedName>
  </definedNames>
  <calcPr calcId="124519"/>
</workbook>
</file>

<file path=xl/calcChain.xml><?xml version="1.0" encoding="utf-8"?>
<calcChain xmlns="http://schemas.openxmlformats.org/spreadsheetml/2006/main">
  <c r="F8" i="3"/>
  <c r="E8"/>
  <c r="E11" s="1"/>
  <c r="F88" i="2"/>
  <c r="E88"/>
  <c r="E91" s="1"/>
  <c r="K6" i="1"/>
  <c r="N6" s="1"/>
  <c r="Q6" s="1"/>
  <c r="L6"/>
  <c r="S6"/>
  <c r="K7"/>
  <c r="N7" s="1"/>
  <c r="Q7" s="1"/>
  <c r="S7"/>
  <c r="K8"/>
  <c r="N8" s="1"/>
  <c r="Q8" s="1"/>
  <c r="S8"/>
  <c r="K9"/>
  <c r="N9" s="1"/>
  <c r="Q9" s="1"/>
  <c r="S9"/>
  <c r="V9" s="1"/>
  <c r="K10"/>
  <c r="N10" s="1"/>
  <c r="S10"/>
  <c r="K11"/>
  <c r="M11"/>
  <c r="P11"/>
  <c r="S11" s="1"/>
  <c r="V11" s="1"/>
  <c r="K12"/>
  <c r="N12" s="1"/>
  <c r="O12" s="1"/>
  <c r="P12"/>
  <c r="S12" s="1"/>
  <c r="V12" s="1"/>
  <c r="AE12"/>
  <c r="AF12"/>
  <c r="AG12" s="1"/>
  <c r="K13"/>
  <c r="L13" s="1"/>
  <c r="M13"/>
  <c r="K14"/>
  <c r="M14"/>
  <c r="P14"/>
  <c r="E18"/>
  <c r="E21" s="1"/>
  <c r="F18"/>
  <c r="L9" l="1"/>
  <c r="L12"/>
  <c r="L8"/>
  <c r="L7"/>
  <c r="N13"/>
  <c r="O13" s="1"/>
  <c r="N14"/>
  <c r="Q14" s="1"/>
  <c r="Q12"/>
  <c r="R12" s="1"/>
  <c r="U12" s="1"/>
  <c r="X12" s="1"/>
  <c r="N11"/>
  <c r="O11" s="1"/>
  <c r="Q10"/>
  <c r="O10"/>
  <c r="R9"/>
  <c r="T9"/>
  <c r="U9" s="1"/>
  <c r="R8"/>
  <c r="T8"/>
  <c r="T7"/>
  <c r="R7"/>
  <c r="R6"/>
  <c r="T6"/>
  <c r="Q11"/>
  <c r="L14"/>
  <c r="L11"/>
  <c r="L10"/>
  <c r="O9"/>
  <c r="O8"/>
  <c r="O7"/>
  <c r="O6"/>
  <c r="O14" l="1"/>
  <c r="W9"/>
  <c r="X9" s="1"/>
  <c r="Y9" s="1"/>
  <c r="Z9" s="1"/>
  <c r="AA9" s="1"/>
  <c r="AB9" s="1"/>
  <c r="AC9" s="1"/>
  <c r="AD9" s="1"/>
  <c r="AE9" s="1"/>
  <c r="AF9" s="1"/>
  <c r="AG9" s="1"/>
  <c r="T12"/>
  <c r="W12" s="1"/>
  <c r="U7"/>
  <c r="W7"/>
  <c r="X7" s="1"/>
  <c r="Y7" s="1"/>
  <c r="Z7" s="1"/>
  <c r="AA7" s="1"/>
  <c r="AB7" s="1"/>
  <c r="AC7" s="1"/>
  <c r="AD7" s="1"/>
  <c r="AE7" s="1"/>
  <c r="AF7" s="1"/>
  <c r="AG7" s="1"/>
  <c r="R10"/>
  <c r="T10"/>
  <c r="R14"/>
  <c r="S14" s="1"/>
  <c r="T14" s="1"/>
  <c r="P13"/>
  <c r="Q13" s="1"/>
  <c r="T13" s="1"/>
  <c r="R11"/>
  <c r="T11"/>
  <c r="U6"/>
  <c r="W6"/>
  <c r="X6" s="1"/>
  <c r="Y6" s="1"/>
  <c r="Z6" s="1"/>
  <c r="AA6" s="1"/>
  <c r="AB6" s="1"/>
  <c r="AC6" s="1"/>
  <c r="AD6" s="1"/>
  <c r="AE6" s="1"/>
  <c r="W8"/>
  <c r="X8" s="1"/>
  <c r="Y8" s="1"/>
  <c r="Z8" s="1"/>
  <c r="AA8" s="1"/>
  <c r="AB8" s="1"/>
  <c r="AC8" s="1"/>
  <c r="AD8" s="1"/>
  <c r="AE8" s="1"/>
  <c r="AF8" s="1"/>
  <c r="AG8" s="1"/>
  <c r="U8"/>
  <c r="W14" l="1"/>
  <c r="X14" s="1"/>
  <c r="Y14" s="1"/>
  <c r="Z14" s="1"/>
  <c r="AA14" s="1"/>
  <c r="AB14" s="1"/>
  <c r="AC14" s="1"/>
  <c r="AD14" s="1"/>
  <c r="AE14" s="1"/>
  <c r="AF14" s="1"/>
  <c r="AG14" s="1"/>
  <c r="U14"/>
  <c r="U13"/>
  <c r="W13"/>
  <c r="X13" s="1"/>
  <c r="Y13" s="1"/>
  <c r="Z13" s="1"/>
  <c r="AA13" s="1"/>
  <c r="AB13" s="1"/>
  <c r="AC13" s="1"/>
  <c r="AD13" s="1"/>
  <c r="AE13" s="1"/>
  <c r="AF13" s="1"/>
  <c r="AG13" s="1"/>
  <c r="U11"/>
  <c r="W11"/>
  <c r="X11" s="1"/>
  <c r="Y11" s="1"/>
  <c r="Z11" s="1"/>
  <c r="AA11" s="1"/>
  <c r="AB11" s="1"/>
  <c r="AC11" s="1"/>
  <c r="AD11" s="1"/>
  <c r="AE11" s="1"/>
  <c r="AF11" s="1"/>
  <c r="AG11" s="1"/>
  <c r="AF6"/>
  <c r="W10"/>
  <c r="X10" s="1"/>
  <c r="Y10" s="1"/>
  <c r="Z10" s="1"/>
  <c r="AA10" s="1"/>
  <c r="AB10" s="1"/>
  <c r="AC10" s="1"/>
  <c r="AD10" s="1"/>
  <c r="AE10" s="1"/>
  <c r="AF10" s="1"/>
  <c r="AG10" s="1"/>
  <c r="U10"/>
  <c r="R13"/>
  <c r="AE8" i="3" l="1"/>
  <c r="F11" s="1"/>
  <c r="AF88" i="2"/>
  <c r="AE91" s="1"/>
  <c r="AG88"/>
  <c r="AF91" s="1"/>
  <c r="AE88"/>
  <c r="F91" s="1"/>
  <c r="AE18" i="1"/>
  <c r="F21" s="1"/>
  <c r="AF18"/>
  <c r="AE21" s="1"/>
  <c r="AG6"/>
  <c r="AG18" s="1"/>
  <c r="AF21" s="1"/>
  <c r="AF8" i="3" l="1"/>
  <c r="AE11" s="1"/>
  <c r="AG8"/>
  <c r="AF11" s="1"/>
</calcChain>
</file>

<file path=xl/sharedStrings.xml><?xml version="1.0" encoding="utf-8"?>
<sst xmlns="http://schemas.openxmlformats.org/spreadsheetml/2006/main" count="395" uniqueCount="280">
  <si>
    <t>ครุภัณฑ์ประจำปี 69</t>
  </si>
  <si>
    <t xml:space="preserve">สุทธิ </t>
  </si>
  <si>
    <t xml:space="preserve">สะสม </t>
  </si>
  <si>
    <t>ประจำปี</t>
  </si>
  <si>
    <t>มูลค่ารวม</t>
  </si>
  <si>
    <t>0920-007-0003/3(69)</t>
  </si>
  <si>
    <t>ต่อเติมห้องจ่ายยาในอาคารปุดจ้อ</t>
  </si>
  <si>
    <t>0920-007-0003/1(69)</t>
  </si>
  <si>
    <t>ปรับปรุงห้องจ่ายยาผู้ป่วยนอกชั้น1</t>
  </si>
  <si>
    <t>0920-007-0003/2(61)</t>
  </si>
  <si>
    <t>110000788868 02</t>
  </si>
  <si>
    <t>ปรับปรุงห้องจ่ายยาผู้ป่วยใน อาคารปุดจ้อ</t>
  </si>
  <si>
    <t>0920-007-0003/1(61)</t>
  </si>
  <si>
    <t>อาคารปุดจ้อ</t>
  </si>
  <si>
    <t>0920-007-0003/1(68)(1)</t>
  </si>
  <si>
    <t>110000315013(12)</t>
  </si>
  <si>
    <t>ปรับปรุงอาคารพักคนไข้ 298 เตียง</t>
  </si>
  <si>
    <t>5510-001-0002/3(68)</t>
  </si>
  <si>
    <t>110000331570(23)</t>
  </si>
  <si>
    <t>บันไดเลื่อน</t>
  </si>
  <si>
    <t>5510-001-0002/2(68)</t>
  </si>
  <si>
    <t>110000331570(22)</t>
  </si>
  <si>
    <t>5510-001-0002/1(68)</t>
  </si>
  <si>
    <t>110000331570(21)</t>
  </si>
  <si>
    <t>5510-001-0001/13(68)</t>
  </si>
  <si>
    <t>110000331570(20)</t>
  </si>
  <si>
    <t>ลิฟต์เตียงคนไข้</t>
  </si>
  <si>
    <t>5510-001-0001/12(68)</t>
  </si>
  <si>
    <t>110000331570(19)</t>
  </si>
  <si>
    <t>5510-001-0001/11(68)</t>
  </si>
  <si>
    <t>110000331570(18)</t>
  </si>
  <si>
    <t>5510-001-0001/10(68)</t>
  </si>
  <si>
    <t>110000331570(17)</t>
  </si>
  <si>
    <t>5510-001-0001/9(68)</t>
  </si>
  <si>
    <t>110000331570(16)</t>
  </si>
  <si>
    <t>5510-001-0001/8(68)</t>
  </si>
  <si>
    <t>110000331570(15)</t>
  </si>
  <si>
    <t>5510-001-0001/2(68)</t>
  </si>
  <si>
    <t>110000331570(14)</t>
  </si>
  <si>
    <t>5510-001-0001/1(68)</t>
  </si>
  <si>
    <t>110000331570(13)</t>
  </si>
  <si>
    <t>4310-004-0003/13(68)</t>
  </si>
  <si>
    <t>110000331570(12)</t>
  </si>
  <si>
    <t>เครื่องเติมอากาศสำหรับบ่อเก็บตะกอน</t>
  </si>
  <si>
    <t>4310-004-0003/12(68)</t>
  </si>
  <si>
    <t>110000331570(11)</t>
  </si>
  <si>
    <t>4310-004-0003/10(68)</t>
  </si>
  <si>
    <t>110000331570(10)</t>
  </si>
  <si>
    <t>เครื่องเติมอากาศสำหรับบ่อเติมอากาศ</t>
  </si>
  <si>
    <t>4310-004-0003/9(68)</t>
  </si>
  <si>
    <t>110000331570(9)</t>
  </si>
  <si>
    <t>4310-004-0003/8(68)</t>
  </si>
  <si>
    <t>110000331570(8)</t>
  </si>
  <si>
    <t>4310-004-0003/7(68)</t>
  </si>
  <si>
    <t>110000331570(7)</t>
  </si>
  <si>
    <t>4310-004-0003/6(68)</t>
  </si>
  <si>
    <t>110000331570(6)</t>
  </si>
  <si>
    <t>4310-004-0003/5(68)</t>
  </si>
  <si>
    <t>110000331570(5)</t>
  </si>
  <si>
    <t>4310-004-0003/4(68)</t>
  </si>
  <si>
    <t>110000331570(4)</t>
  </si>
  <si>
    <t>4310-004-0003/3(68)</t>
  </si>
  <si>
    <t>110000331570(3)</t>
  </si>
  <si>
    <t>เครื่องเติมอากาศสำหรับบ่อปรับสภาพ</t>
  </si>
  <si>
    <t>4310-004-0003/2(68)</t>
  </si>
  <si>
    <t>110000331570(2)</t>
  </si>
  <si>
    <t>4310-004-0003/1(68)</t>
  </si>
  <si>
    <t>110000331570(1)</t>
  </si>
  <si>
    <t>0920-007-0003/2(68)</t>
  </si>
  <si>
    <t>อาคารอุบัติเหตุฉุกเฉินโรคหัวใจ 10 ชั้น</t>
  </si>
  <si>
    <t>7490-015-0001/5(67)</t>
  </si>
  <si>
    <t>110000315013(11)</t>
  </si>
  <si>
    <t>ประตูอัตโนมัติ</t>
  </si>
  <si>
    <t>7490-015-0001/4(67)</t>
  </si>
  <si>
    <t>110000315013(10)</t>
  </si>
  <si>
    <t>7490-015-0001/3(67)</t>
  </si>
  <si>
    <t>110000315013(9)</t>
  </si>
  <si>
    <t>7490-015-0001/2(67)</t>
  </si>
  <si>
    <t>110000315013(8)</t>
  </si>
  <si>
    <t>7490-015-0001/1(67)</t>
  </si>
  <si>
    <t>110000315013(7)</t>
  </si>
  <si>
    <t>6520-008-0003/3(67)</t>
  </si>
  <si>
    <t>110000315013(6)</t>
  </si>
  <si>
    <t>ระบบท่อลมรับ-ส่งเอกสาร และพัสดุทางการแพทย์</t>
  </si>
  <si>
    <t>5510-001-0001/5(67)</t>
  </si>
  <si>
    <t>110000315013(3)</t>
  </si>
  <si>
    <t>ลิฟต์บรรทุกเตียงคนไข้ น้ำหนัก บรรทุก 1000 กก.</t>
  </si>
  <si>
    <t>5510-001-0001/4(67)</t>
  </si>
  <si>
    <t>110000315013(2)</t>
  </si>
  <si>
    <t>5510-001-0001/3(67)</t>
  </si>
  <si>
    <t>110000315013(1)</t>
  </si>
  <si>
    <t>5510-001-0001/7(67)</t>
  </si>
  <si>
    <t>110000315013(5)</t>
  </si>
  <si>
    <t>ลิฟต์โดยสาร น้ำหนัก บรรทุก 750 กก.</t>
  </si>
  <si>
    <t>5510-001-0001/6(67)</t>
  </si>
  <si>
    <t>110000315013(4)</t>
  </si>
  <si>
    <t>0920-007-0003/1(68)</t>
  </si>
  <si>
    <t>อาคารพักคนไข้ 298 เตียง</t>
  </si>
  <si>
    <t>A-0073 งปม</t>
  </si>
  <si>
    <t>110000337414</t>
  </si>
  <si>
    <t>อาคารกลุ่มงานโครงสร้างพื้นฐานและวิศวกรรมทางการแพทย์</t>
  </si>
  <si>
    <t>A-0067</t>
  </si>
  <si>
    <t>100000282835</t>
  </si>
  <si>
    <t xml:space="preserve">อาคารพักแพทย์ พยาบาล เภสัช </t>
  </si>
  <si>
    <t>7730-002-0001/1(67)</t>
  </si>
  <si>
    <t>ลิฟท์โดยสารชนิดมีห้องเครื่อง</t>
  </si>
  <si>
    <t>A-0074</t>
  </si>
  <si>
    <t>อาคารคลินิกคัดกรองโรคติดเชื้อทางเดินหายใจ</t>
  </si>
  <si>
    <t>A-0072</t>
  </si>
  <si>
    <t>อาคารพักผู้ป่วยจิตเวช</t>
  </si>
  <si>
    <t>A-0071</t>
  </si>
  <si>
    <t xml:space="preserve">ศูนย์สุขภาพชุมชนเมือง </t>
  </si>
  <si>
    <t>A-0070</t>
  </si>
  <si>
    <t xml:space="preserve">โรงพยาบาลส่งเสริมสุขภาพตำบลบ้านเกาะโหลน </t>
  </si>
  <si>
    <t>A-0069</t>
  </si>
  <si>
    <t xml:space="preserve">ศูนย์เวชศาสตร์ใต้น้ำ </t>
  </si>
  <si>
    <t>A-0068</t>
  </si>
  <si>
    <t xml:space="preserve">โครงการก่อสร้างและปรับปรุงอาคารสมุนไพร </t>
  </si>
  <si>
    <t>A-0066</t>
  </si>
  <si>
    <t xml:space="preserve">อาคารบริการและจอดรถ 10 ชั้น </t>
  </si>
  <si>
    <t>5510-001-0001/1(65)</t>
  </si>
  <si>
    <t>ชนิด 1020002 ลิฟต์ขนเตียงผู้ป่วยขนาดไม่น้อยกว่า 1,000 กิโลกรัม 4 ชั้น</t>
  </si>
  <si>
    <t xml:space="preserve">A-0065 </t>
  </si>
  <si>
    <t>ชนิด 0100002 ปรับปรุงห้องผ่าตัดไฮบริด (ส่วนปรับปรุงอาคาร)</t>
  </si>
  <si>
    <t>5510-001-0001/2(62)</t>
  </si>
  <si>
    <t>110000237535 01</t>
  </si>
  <si>
    <t>ชนิด 1020002 ลิฟต์ขนเตียงผู้ป่วย ขนาดไม่น้อยกว่า 1000 กิโลกนัม 4 ชั้น</t>
  </si>
  <si>
    <t>5510-001-0001/1(62)</t>
  </si>
  <si>
    <t>110000237524 01 02</t>
  </si>
  <si>
    <t>5510-001-0001/7(61)</t>
  </si>
  <si>
    <t>110000292920 04</t>
  </si>
  <si>
    <t>ชนิด 1020002 ลิฟท์ขนเตียงผู้ป่วย</t>
  </si>
  <si>
    <t>5510-001-0001/6(61)</t>
  </si>
  <si>
    <t>110000237178 04</t>
  </si>
  <si>
    <t>5510-001-0001/3(61)</t>
  </si>
  <si>
    <t>110000237178 03</t>
  </si>
  <si>
    <t>ชนิด 1020002 ลิฟท์โดยสาร</t>
  </si>
  <si>
    <t>5510-001-0001/2(61)</t>
  </si>
  <si>
    <t>110000237178 02</t>
  </si>
  <si>
    <t>5510-001-0001/1(61)</t>
  </si>
  <si>
    <t>110000237178 01</t>
  </si>
  <si>
    <t>A-0063(60)</t>
  </si>
  <si>
    <t>110000337412</t>
  </si>
  <si>
    <t>ชนิด 0100002 อาคารหลวงพ่อแช่ม</t>
  </si>
  <si>
    <t>A-0062(56) (อาศัย)</t>
  </si>
  <si>
    <t>110000293226</t>
  </si>
  <si>
    <t>ชนิด 0100003 อาคารพักพยาบาล 32 ยูนิต (ใต้ถุนหน่วยจ่ายกลาง) (3/2/2556)</t>
  </si>
  <si>
    <t>A-0061(56) (ประโยชน์อื่น)</t>
  </si>
  <si>
    <t>110000337411</t>
  </si>
  <si>
    <t>ชนิด 0100002 อาคารบ้านคุณพุ่ม (1/10/2555)งปม</t>
  </si>
  <si>
    <t>7730-002-0001/13(56)</t>
  </si>
  <si>
    <t>110000337411 06</t>
  </si>
  <si>
    <t>ชนิด 1020002 ลิฟท์โดยสาร 6 ชั้น 6 ประตู (1/10/2555)</t>
  </si>
  <si>
    <t>7730-002-0001/12(56)</t>
  </si>
  <si>
    <t>110000337411 05</t>
  </si>
  <si>
    <t>7730-002-0001/11(56)</t>
  </si>
  <si>
    <t>110000337411 04</t>
  </si>
  <si>
    <t>7730-002-0001/10(56)</t>
  </si>
  <si>
    <t>110000337411 03</t>
  </si>
  <si>
    <t>ชนิด 1020002 ลิฟท์บรรทุกเตียง 7 ชั้น 7 ประตู (1/10/2555)</t>
  </si>
  <si>
    <t>7730-002-0001/9(56)</t>
  </si>
  <si>
    <t>110000337411 02</t>
  </si>
  <si>
    <t>7730-002-0001/8(56)</t>
  </si>
  <si>
    <t>110000292920 03</t>
  </si>
  <si>
    <t>ชนิด 1020002 ลิฟท์โดยสาร (1/10/2555)</t>
  </si>
  <si>
    <t xml:space="preserve">A-0056(56) </t>
  </si>
  <si>
    <t>110000315203</t>
  </si>
  <si>
    <t>ชนิด 0100001 อาคารศูนย์แพทย์ (งปม.1-10-2555)</t>
  </si>
  <si>
    <t>A-0055(55)</t>
  </si>
  <si>
    <t>110000337413</t>
  </si>
  <si>
    <t>ชนิด 0200005 อาคารพักพยาบาล 32 ห้อง (16 ครอบครัว) (24/5/2555)งปม</t>
  </si>
  <si>
    <t>A-0025   สนง.</t>
  </si>
  <si>
    <t>110000246483</t>
  </si>
  <si>
    <t>ชนิด 0100024 ตึกอำนวยการ</t>
  </si>
  <si>
    <t>A-0052(53)  ประโยชน์อื่น</t>
  </si>
  <si>
    <t>110000238004</t>
  </si>
  <si>
    <t>ชนิด 0200003 ปรับปรุงห้องผ่าตัดชั้น6 (2553)</t>
  </si>
  <si>
    <t>A-0050(52)  ประโยชน์อื่น</t>
  </si>
  <si>
    <t>110000237667</t>
  </si>
  <si>
    <t>ชนิด 0200002 อาคารแพทย์ทางเลือก</t>
  </si>
  <si>
    <t>A-0044(43)</t>
  </si>
  <si>
    <t>110000247173</t>
  </si>
  <si>
    <t>ชนิด 0100036 อาคารเวชศาสตร์ใต้น้ำ</t>
  </si>
  <si>
    <t>A-0024</t>
  </si>
  <si>
    <t>110000237593</t>
  </si>
  <si>
    <t>ชนิด 0100023 ตึกสามัญ</t>
  </si>
  <si>
    <t>A-0023</t>
  </si>
  <si>
    <t>110000237549</t>
  </si>
  <si>
    <t>ชนิด 0100022 ตึกสูติกรรม(เก่า)</t>
  </si>
  <si>
    <t>A-0022</t>
  </si>
  <si>
    <t>110000237535</t>
  </si>
  <si>
    <t>ชนิด 0100021 ตึกสูติ - นรีเวช</t>
  </si>
  <si>
    <t>A-0021</t>
  </si>
  <si>
    <t>110000237524</t>
  </si>
  <si>
    <t>ชนิด 0100020 ตึกสงฆ์อาพาธ</t>
  </si>
  <si>
    <t>A-0016</t>
  </si>
  <si>
    <t>110000237512</t>
  </si>
  <si>
    <t>ชนิด 0100016 ตึกรัตนโกสินทร์ 200 ปี</t>
  </si>
  <si>
    <t>A-0011</t>
  </si>
  <si>
    <t>110000237481</t>
  </si>
  <si>
    <t>ชนิด 0100003 ตึก X-RAY</t>
  </si>
  <si>
    <t>A-0009</t>
  </si>
  <si>
    <t>110000237473</t>
  </si>
  <si>
    <t>ชนิด 0100012 ตึกผู้ป่วยหนัก ICU</t>
  </si>
  <si>
    <t>A-0007</t>
  </si>
  <si>
    <t>110000237457</t>
  </si>
  <si>
    <t>ชนิด 0100010 ตึกบุญพัฒน์</t>
  </si>
  <si>
    <t>A-0006</t>
  </si>
  <si>
    <t>110000237377</t>
  </si>
  <si>
    <t>ชนิด 0100009 ตึกน้อมเกล้า</t>
  </si>
  <si>
    <t>A-0003</t>
  </si>
  <si>
    <t>110000237209</t>
  </si>
  <si>
    <t>ชนิด 0100006 ตึกชันสูตร ศูนย์วิทยาศาสตร์การแพทย์</t>
  </si>
  <si>
    <t>A-0002</t>
  </si>
  <si>
    <t>110000247123</t>
  </si>
  <si>
    <t>ชนิด 0100002 อาคารผู้ป่วย 114 เตียง(5ชั้น)</t>
  </si>
  <si>
    <t>A-0001</t>
  </si>
  <si>
    <t>110000237178</t>
  </si>
  <si>
    <t>ชนิด 0100001 อาคารผู้ป่วย 6 ชั้น</t>
  </si>
  <si>
    <t>A-0053(53)  พักอาศัย</t>
  </si>
  <si>
    <t>110000237005</t>
  </si>
  <si>
    <t>ชนิด 0200004  บ้านพักผู้อำนวยการ</t>
  </si>
  <si>
    <t>A-0049(52) พักอาศัย</t>
  </si>
  <si>
    <t>110000236997</t>
  </si>
  <si>
    <t>ชนิด 0200001 อาคารพักแพทย์ 22 ยูนิต</t>
  </si>
  <si>
    <r>
      <t xml:space="preserve">7730-002-0001/1(52)  </t>
    </r>
    <r>
      <rPr>
        <b/>
        <u/>
        <sz val="16"/>
        <color rgb="FFFF0000"/>
        <rFont val="Angsana New"/>
        <family val="1"/>
      </rPr>
      <t xml:space="preserve">  พักอาศัย</t>
    </r>
  </si>
  <si>
    <t>ชนิด 1020002 ลิฟท์โดยสาร(หอพักแพทย์ 32ยูนิต)</t>
  </si>
  <si>
    <t>A-0040      พักอาศัย</t>
  </si>
  <si>
    <t>110000236977</t>
  </si>
  <si>
    <t>ชนิด 0100038 อาคารพักแพทย์ (32 ยูนิต)</t>
  </si>
  <si>
    <t>A-0039      พักอาศัย</t>
  </si>
  <si>
    <t>110000236966</t>
  </si>
  <si>
    <t>ชนิด 0100035 อาคารพักแพทย์ (10 ยูนิต)</t>
  </si>
  <si>
    <t>A-0036     พักอาศัย</t>
  </si>
  <si>
    <t>110000236918</t>
  </si>
  <si>
    <t>ชนิด 0100037 แฟลตพักแพทย์(6 ครอบครัว)</t>
  </si>
  <si>
    <t>A-0035     พักอาศัย</t>
  </si>
  <si>
    <t>110000236884</t>
  </si>
  <si>
    <t>ชนิด 0100032 แฟลตพยาบาล 2</t>
  </si>
  <si>
    <t>A-0034     พักอาศัย</t>
  </si>
  <si>
    <t>110000236854</t>
  </si>
  <si>
    <t>ชนิด 0100031 แฟลตพยาบาล 1</t>
  </si>
  <si>
    <t>A-0010    พักอาศัย</t>
  </si>
  <si>
    <t>110000236820</t>
  </si>
  <si>
    <t>ชนิด 0100013 ตึกพักแพทย์ (6 ครอบครัว)</t>
  </si>
  <si>
    <t>มูลค่าสุทธิ69</t>
  </si>
  <si>
    <t>ค่าเสื่อมสะสม69</t>
  </si>
  <si>
    <t>ประจำปี69</t>
  </si>
  <si>
    <t>มูลค่าสุทธิ66</t>
  </si>
  <si>
    <t>ค่าเสื่อมสะสม66</t>
  </si>
  <si>
    <t>ประจำปี66</t>
  </si>
  <si>
    <t>มูลค่าสุทธิ65</t>
  </si>
  <si>
    <t>ค่าเสื่อมสะสม65</t>
  </si>
  <si>
    <t>ประจำปี65</t>
  </si>
  <si>
    <t>มูลค่าสุทธิ64</t>
  </si>
  <si>
    <t>ค่าเสื่อมสะสม64</t>
  </si>
  <si>
    <t>ประจำปี64</t>
  </si>
  <si>
    <t>มูลค่าสุทธิ63</t>
  </si>
  <si>
    <t>ค่าเสื่อมสะสม63</t>
  </si>
  <si>
    <t>ประจำปี63</t>
  </si>
  <si>
    <t>มูลค่าสุทธิ62</t>
  </si>
  <si>
    <t>ค่าเสื่อมสะสม62</t>
  </si>
  <si>
    <t>ประจำปี62</t>
  </si>
  <si>
    <t>มูลค่าสุทธิ61</t>
  </si>
  <si>
    <t>ค่าเสื่อมสะสม61</t>
  </si>
  <si>
    <t>ประจำปี61</t>
  </si>
  <si>
    <t>มูลค่าสุทธิ60</t>
  </si>
  <si>
    <t>ค่าเสื่อมสะสม60</t>
  </si>
  <si>
    <t>ประจำปี60</t>
  </si>
  <si>
    <t>มูลค่าสุทธิ59</t>
  </si>
  <si>
    <t>ค่าเสื่อมสะสม59</t>
  </si>
  <si>
    <t>ประจำปี59</t>
  </si>
  <si>
    <t>อายุการใช้งาน</t>
  </si>
  <si>
    <t>รหัสครุภัณฑ์</t>
  </si>
  <si>
    <t>รายการ</t>
  </si>
  <si>
    <t>ลำดับที่</t>
  </si>
  <si>
    <t>รายงานค่าเสื่อมประจำปีโรงพยาบาลวชิระภูเก็ต</t>
  </si>
  <si>
    <t>ประเภทครุภัณฑ์ อาคารพักอาศัย</t>
  </si>
  <si>
    <t>ประเภทครุภัณฑ์ อาคารเพื่อประโยชน์อื่น</t>
  </si>
  <si>
    <t>ประเภทครุภัณฑ์ อาคารสำนักงาน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</si>
</sst>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[$-101041E]d\ mmm\ yy;@"/>
  </numFmts>
  <fonts count="16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6"/>
      <color theme="1"/>
      <name val="Angsana New"/>
      <family val="1"/>
      <charset val="222"/>
    </font>
    <font>
      <b/>
      <sz val="16"/>
      <name val="AngsanaUPC"/>
      <family val="1"/>
      <charset val="222"/>
    </font>
    <font>
      <b/>
      <sz val="16"/>
      <name val="Angsana New"/>
      <family val="1"/>
      <charset val="222"/>
    </font>
    <font>
      <sz val="14"/>
      <name val="Angsana New"/>
      <family val="1"/>
    </font>
    <font>
      <b/>
      <sz val="14"/>
      <name val="Angsana New"/>
      <family val="1"/>
    </font>
    <font>
      <b/>
      <sz val="14"/>
      <color theme="1"/>
      <name val="Angsana New"/>
      <family val="1"/>
    </font>
    <font>
      <b/>
      <sz val="16"/>
      <color indexed="8"/>
      <name val="Angsana New"/>
      <family val="1"/>
    </font>
    <font>
      <b/>
      <sz val="14"/>
      <color indexed="8"/>
      <name val="Angsana New"/>
      <family val="1"/>
    </font>
    <font>
      <b/>
      <u/>
      <sz val="16"/>
      <color rgb="FFFF0000"/>
      <name val="Angsana New"/>
      <family val="1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0" fontId="4" fillId="0" borderId="0"/>
    <xf numFmtId="0" fontId="1" fillId="0" borderId="0"/>
  </cellStyleXfs>
  <cellXfs count="90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43" fontId="3" fillId="0" borderId="0" xfId="1" applyFont="1"/>
    <xf numFmtId="0" fontId="3" fillId="0" borderId="0" xfId="0" applyFont="1"/>
    <xf numFmtId="43" fontId="3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2" xfId="1" applyFont="1" applyBorder="1"/>
    <xf numFmtId="0" fontId="2" fillId="0" borderId="2" xfId="0" applyFont="1" applyBorder="1"/>
    <xf numFmtId="43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1" fontId="5" fillId="0" borderId="2" xfId="2" applyNumberFormat="1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2" xfId="2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3" applyFont="1" applyBorder="1" applyAlignment="1">
      <alignment horizontal="center"/>
    </xf>
    <xf numFmtId="0" fontId="2" fillId="0" borderId="2" xfId="3" applyFont="1" applyBorder="1" applyAlignment="1">
      <alignment horizontal="center"/>
    </xf>
    <xf numFmtId="1" fontId="5" fillId="0" borderId="2" xfId="3" applyNumberFormat="1" applyFont="1" applyBorder="1" applyAlignment="1">
      <alignment horizontal="left"/>
    </xf>
    <xf numFmtId="0" fontId="2" fillId="0" borderId="2" xfId="3" applyFont="1" applyBorder="1" applyAlignment="1">
      <alignment shrinkToFit="1"/>
    </xf>
    <xf numFmtId="1" fontId="5" fillId="0" borderId="2" xfId="3" applyNumberFormat="1" applyFont="1" applyBorder="1"/>
    <xf numFmtId="0" fontId="5" fillId="0" borderId="2" xfId="3" applyFont="1" applyBorder="1" applyAlignment="1">
      <alignment shrinkToFit="1"/>
    </xf>
    <xf numFmtId="0" fontId="2" fillId="0" borderId="2" xfId="7" applyFont="1" applyBorder="1" applyAlignment="1">
      <alignment horizontal="center"/>
    </xf>
    <xf numFmtId="0" fontId="2" fillId="0" borderId="2" xfId="8" applyFont="1" applyBorder="1" applyAlignment="1">
      <alignment shrinkToFit="1"/>
    </xf>
    <xf numFmtId="187" fontId="5" fillId="0" borderId="2" xfId="3" applyNumberFormat="1" applyFont="1" applyBorder="1" applyAlignment="1">
      <alignment horizontal="left" shrinkToFit="1"/>
    </xf>
    <xf numFmtId="0" fontId="6" fillId="0" borderId="2" xfId="0" applyFont="1" applyBorder="1" applyAlignment="1">
      <alignment horizontal="center"/>
    </xf>
    <xf numFmtId="43" fontId="8" fillId="0" borderId="2" xfId="10" applyFont="1" applyFill="1" applyBorder="1" applyAlignment="1">
      <alignment horizontal="center" vertical="top"/>
    </xf>
    <xf numFmtId="43" fontId="8" fillId="0" borderId="2" xfId="10" applyFont="1" applyFill="1" applyBorder="1" applyAlignment="1">
      <alignment vertical="top" shrinkToFit="1"/>
    </xf>
    <xf numFmtId="43" fontId="8" fillId="0" borderId="2" xfId="10" applyFont="1" applyFill="1" applyBorder="1" applyAlignment="1">
      <alignment vertical="top"/>
    </xf>
    <xf numFmtId="0" fontId="10" fillId="0" borderId="2" xfId="0" applyFont="1" applyBorder="1" applyAlignment="1">
      <alignment horizontal="left"/>
    </xf>
    <xf numFmtId="0" fontId="10" fillId="0" borderId="2" xfId="3" applyFont="1" applyBorder="1" applyAlignment="1">
      <alignment horizontal="center"/>
    </xf>
    <xf numFmtId="0" fontId="11" fillId="0" borderId="2" xfId="11" applyFont="1" applyBorder="1" applyAlignment="1">
      <alignment horizontal="center"/>
    </xf>
    <xf numFmtId="0" fontId="10" fillId="0" borderId="2" xfId="11" applyFont="1" applyBorder="1"/>
    <xf numFmtId="0" fontId="10" fillId="0" borderId="2" xfId="12" applyFont="1" applyBorder="1" applyAlignment="1">
      <alignment horizontal="center"/>
    </xf>
    <xf numFmtId="0" fontId="11" fillId="0" borderId="2" xfId="12" applyFont="1" applyBorder="1" applyAlignment="1">
      <alignment horizontal="center"/>
    </xf>
    <xf numFmtId="187" fontId="10" fillId="0" borderId="2" xfId="12" applyNumberFormat="1" applyFont="1" applyBorder="1" applyAlignment="1">
      <alignment horizontal="left"/>
    </xf>
    <xf numFmtId="187" fontId="5" fillId="0" borderId="2" xfId="0" applyNumberFormat="1" applyFont="1" applyBorder="1" applyAlignment="1">
      <alignment horizontal="left"/>
    </xf>
    <xf numFmtId="0" fontId="10" fillId="0" borderId="2" xfId="14" applyFont="1" applyBorder="1" applyAlignment="1">
      <alignment horizontal="center"/>
    </xf>
    <xf numFmtId="14" fontId="10" fillId="0" borderId="2" xfId="14" applyNumberFormat="1" applyFont="1" applyBorder="1"/>
    <xf numFmtId="0" fontId="5" fillId="0" borderId="2" xfId="0" applyFont="1" applyBorder="1" applyAlignment="1">
      <alignment horizontal="left" shrinkToFit="1"/>
    </xf>
    <xf numFmtId="0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43" fontId="5" fillId="0" borderId="2" xfId="10" applyFont="1" applyFill="1" applyBorder="1" applyAlignment="1">
      <alignment vertical="top"/>
    </xf>
    <xf numFmtId="43" fontId="5" fillId="0" borderId="2" xfId="10" applyFont="1" applyFill="1" applyBorder="1" applyAlignment="1">
      <alignment horizontal="center" vertical="top"/>
    </xf>
    <xf numFmtId="1" fontId="10" fillId="0" borderId="2" xfId="0" applyNumberFormat="1" applyFont="1" applyBorder="1" applyAlignment="1">
      <alignment horizontal="left"/>
    </xf>
    <xf numFmtId="43" fontId="12" fillId="0" borderId="2" xfId="10" applyFont="1" applyFill="1" applyBorder="1" applyAlignment="1">
      <alignment vertical="top"/>
    </xf>
    <xf numFmtId="43" fontId="12" fillId="0" borderId="2" xfId="10" applyFont="1" applyFill="1" applyBorder="1" applyAlignment="1">
      <alignment horizontal="center" vertical="top"/>
    </xf>
    <xf numFmtId="43" fontId="5" fillId="0" borderId="2" xfId="10" applyFont="1" applyFill="1" applyBorder="1" applyAlignment="1">
      <alignment horizontal="left" vertical="top"/>
    </xf>
    <xf numFmtId="43" fontId="2" fillId="0" borderId="2" xfId="1" applyFont="1" applyFill="1" applyBorder="1" applyAlignment="1">
      <alignment horizontal="left"/>
    </xf>
    <xf numFmtId="43" fontId="2" fillId="0" borderId="2" xfId="1" applyFont="1" applyFill="1" applyBorder="1"/>
    <xf numFmtId="43" fontId="2" fillId="2" borderId="2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left"/>
    </xf>
    <xf numFmtId="0" fontId="2" fillId="0" borderId="2" xfId="0" applyFont="1" applyFill="1" applyBorder="1"/>
    <xf numFmtId="0" fontId="9" fillId="0" borderId="2" xfId="0" applyFont="1" applyFill="1" applyBorder="1" applyAlignment="1">
      <alignment horizontal="left"/>
    </xf>
    <xf numFmtId="4" fontId="7" fillId="0" borderId="2" xfId="0" applyNumberFormat="1" applyFont="1" applyFill="1" applyBorder="1"/>
    <xf numFmtId="0" fontId="6" fillId="0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43" fontId="5" fillId="8" borderId="2" xfId="10" applyFont="1" applyFill="1" applyBorder="1" applyAlignment="1">
      <alignment vertical="top"/>
    </xf>
    <xf numFmtId="0" fontId="10" fillId="8" borderId="2" xfId="0" applyFont="1" applyFill="1" applyBorder="1" applyAlignment="1">
      <alignment horizontal="left"/>
    </xf>
    <xf numFmtId="43" fontId="5" fillId="8" borderId="2" xfId="10" applyFont="1" applyFill="1" applyBorder="1" applyAlignment="1">
      <alignment horizontal="center" vertical="top"/>
    </xf>
    <xf numFmtId="43" fontId="2" fillId="8" borderId="2" xfId="1" applyFont="1" applyFill="1" applyBorder="1" applyAlignment="1">
      <alignment horizontal="center"/>
    </xf>
    <xf numFmtId="43" fontId="2" fillId="8" borderId="2" xfId="0" applyNumberFormat="1" applyFont="1" applyFill="1" applyBorder="1" applyAlignment="1">
      <alignment horizontal="center"/>
    </xf>
    <xf numFmtId="43" fontId="2" fillId="8" borderId="2" xfId="1" applyFont="1" applyFill="1" applyBorder="1"/>
    <xf numFmtId="43" fontId="2" fillId="8" borderId="2" xfId="0" applyNumberFormat="1" applyFont="1" applyFill="1" applyBorder="1"/>
    <xf numFmtId="43" fontId="5" fillId="8" borderId="2" xfId="10" applyFont="1" applyFill="1" applyBorder="1" applyAlignment="1">
      <alignment horizontal="left" vertical="top"/>
    </xf>
    <xf numFmtId="0" fontId="2" fillId="8" borderId="2" xfId="0" applyFont="1" applyFill="1" applyBorder="1" applyAlignment="1">
      <alignment horizontal="left" shrinkToFit="1"/>
    </xf>
    <xf numFmtId="1" fontId="10" fillId="8" borderId="2" xfId="0" applyNumberFormat="1" applyFont="1" applyFill="1" applyBorder="1" applyAlignment="1">
      <alignment horizontal="left"/>
    </xf>
    <xf numFmtId="0" fontId="2" fillId="8" borderId="2" xfId="0" applyFont="1" applyFill="1" applyBorder="1"/>
    <xf numFmtId="43" fontId="8" fillId="8" borderId="2" xfId="10" applyFont="1" applyFill="1" applyBorder="1" applyAlignment="1">
      <alignment vertical="top"/>
    </xf>
    <xf numFmtId="43" fontId="8" fillId="8" borderId="2" xfId="10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/>
    </xf>
    <xf numFmtId="43" fontId="13" fillId="8" borderId="2" xfId="10" applyFont="1" applyFill="1" applyBorder="1" applyAlignment="1">
      <alignment vertical="top"/>
    </xf>
    <xf numFmtId="43" fontId="12" fillId="8" borderId="2" xfId="10" applyFont="1" applyFill="1" applyBorder="1" applyAlignment="1">
      <alignment horizontal="center" vertical="top"/>
    </xf>
    <xf numFmtId="43" fontId="12" fillId="8" borderId="2" xfId="10" applyFont="1" applyFill="1" applyBorder="1" applyAlignment="1">
      <alignment vertical="top"/>
    </xf>
    <xf numFmtId="0" fontId="2" fillId="0" borderId="0" xfId="0" applyFont="1" applyAlignment="1">
      <alignment horizontal="center"/>
    </xf>
  </cellXfs>
  <cellStyles count="31">
    <cellStyle name="Comma" xfId="1" builtinId="3"/>
    <cellStyle name="Comma 3" xfId="15"/>
    <cellStyle name="Comma 6" xfId="4"/>
    <cellStyle name="Comma 7" xfId="16"/>
    <cellStyle name="Normal" xfId="0" builtinId="0"/>
    <cellStyle name="Normal 2" xfId="11"/>
    <cellStyle name="เครื่องหมายจุลภาค 2" xfId="13"/>
    <cellStyle name="เครื่องหมายจุลภาค 3" xfId="17"/>
    <cellStyle name="เครื่องหมายจุลภาค 3 2" xfId="10"/>
    <cellStyle name="จุลภาค 10 2" xfId="6"/>
    <cellStyle name="จุลภาค 11 3" xfId="18"/>
    <cellStyle name="จุลภาค 13" xfId="19"/>
    <cellStyle name="จุลภาค 14" xfId="20"/>
    <cellStyle name="จุลภาค 15" xfId="21"/>
    <cellStyle name="จุลภาค 17" xfId="22"/>
    <cellStyle name="จุลภาค 18" xfId="23"/>
    <cellStyle name="จุลภาค 2" xfId="9"/>
    <cellStyle name="จุลภาค 5" xfId="5"/>
    <cellStyle name="ปกติ 10" xfId="24"/>
    <cellStyle name="ปกติ 11" xfId="25"/>
    <cellStyle name="ปกติ 2" xfId="26"/>
    <cellStyle name="ปกติ 2 2 2" xfId="8"/>
    <cellStyle name="ปกติ 3" xfId="27"/>
    <cellStyle name="ปกติ 3 2" xfId="3"/>
    <cellStyle name="ปกติ 4" xfId="28"/>
    <cellStyle name="ปกติ 5" xfId="29"/>
    <cellStyle name="ปกติ 5 2" xfId="14"/>
    <cellStyle name="ปกติ 6" xfId="12"/>
    <cellStyle name="ปกติ 7" xfId="7"/>
    <cellStyle name="ปกติ 8" xfId="30"/>
    <cellStyle name="ปกติ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72648</xdr:rowOff>
    </xdr:from>
    <xdr:to>
      <xdr:col>0</xdr:col>
      <xdr:colOff>565042</xdr:colOff>
      <xdr:row>3</xdr:row>
      <xdr:rowOff>209872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434598"/>
          <a:ext cx="517417" cy="2896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72648</xdr:rowOff>
    </xdr:from>
    <xdr:to>
      <xdr:col>0</xdr:col>
      <xdr:colOff>565042</xdr:colOff>
      <xdr:row>3</xdr:row>
      <xdr:rowOff>209872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663198"/>
          <a:ext cx="517417" cy="432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72648</xdr:rowOff>
    </xdr:from>
    <xdr:to>
      <xdr:col>0</xdr:col>
      <xdr:colOff>565042</xdr:colOff>
      <xdr:row>3</xdr:row>
      <xdr:rowOff>209872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663198"/>
          <a:ext cx="517417" cy="432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59999389629810485"/>
    <pageSetUpPr fitToPage="1"/>
  </sheetPr>
  <dimension ref="A2:AG21"/>
  <sheetViews>
    <sheetView zoomScaleSheetLayoutView="118" workbookViewId="0">
      <selection activeCell="B4" sqref="B4"/>
    </sheetView>
  </sheetViews>
  <sheetFormatPr defaultColWidth="9.75" defaultRowHeight="23.25"/>
  <cols>
    <col min="1" max="1" width="9.75" style="1"/>
    <col min="2" max="2" width="34.25" style="1" customWidth="1"/>
    <col min="3" max="3" width="17.375" style="1" customWidth="1"/>
    <col min="4" max="4" width="23.25" style="3" customWidth="1"/>
    <col min="5" max="5" width="16.875" style="1" customWidth="1"/>
    <col min="6" max="6" width="14.875" style="1" customWidth="1"/>
    <col min="7" max="7" width="13.625" style="1" hidden="1" customWidth="1"/>
    <col min="8" max="8" width="12.875" style="1" hidden="1" customWidth="1"/>
    <col min="9" max="9" width="13.625" style="1" hidden="1" customWidth="1"/>
    <col min="10" max="10" width="12" style="1" hidden="1" customWidth="1"/>
    <col min="11" max="11" width="13.75" style="1" hidden="1" customWidth="1"/>
    <col min="12" max="12" width="12.25" style="1" hidden="1" customWidth="1"/>
    <col min="13" max="13" width="12.625" style="1" hidden="1" customWidth="1"/>
    <col min="14" max="14" width="13" style="1" hidden="1" customWidth="1"/>
    <col min="15" max="18" width="12.625" style="1" hidden="1" customWidth="1"/>
    <col min="19" max="19" width="12.375" style="1" hidden="1" customWidth="1"/>
    <col min="20" max="20" width="13.375" style="1" hidden="1" customWidth="1"/>
    <col min="21" max="21" width="12.875" style="1" hidden="1" customWidth="1"/>
    <col min="22" max="22" width="12" style="1" hidden="1" customWidth="1"/>
    <col min="23" max="24" width="12.25" style="1" hidden="1" customWidth="1"/>
    <col min="25" max="25" width="12.875" style="1" hidden="1" customWidth="1"/>
    <col min="26" max="27" width="12.25" style="1" hidden="1" customWidth="1"/>
    <col min="28" max="28" width="0" style="1" hidden="1" customWidth="1"/>
    <col min="29" max="29" width="13" style="1" hidden="1" customWidth="1"/>
    <col min="30" max="30" width="11.25" style="1" hidden="1" customWidth="1"/>
    <col min="31" max="31" width="12.875" style="2" customWidth="1"/>
    <col min="32" max="32" width="16.5" style="2" customWidth="1"/>
    <col min="33" max="33" width="17.75" style="2" customWidth="1"/>
    <col min="34" max="16384" width="9.75" style="1"/>
  </cols>
  <sheetData>
    <row r="2" spans="1:33">
      <c r="A2" s="89" t="s">
        <v>276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33">
      <c r="A3" s="3"/>
      <c r="B3" s="3"/>
      <c r="C3" s="3"/>
      <c r="E3" s="3"/>
      <c r="F3" s="3"/>
      <c r="G3" s="3"/>
      <c r="H3" s="3"/>
      <c r="I3" s="3"/>
      <c r="J3" s="3"/>
      <c r="K3" s="3"/>
      <c r="L3" s="3"/>
    </row>
    <row r="4" spans="1:33">
      <c r="A4" s="63"/>
      <c r="B4" s="63" t="s">
        <v>277</v>
      </c>
      <c r="C4" s="63"/>
      <c r="D4" s="62"/>
    </row>
    <row r="5" spans="1:33">
      <c r="A5" s="12" t="s">
        <v>275</v>
      </c>
      <c r="B5" s="12" t="s">
        <v>274</v>
      </c>
      <c r="C5" s="12"/>
      <c r="D5" s="12" t="s">
        <v>273</v>
      </c>
      <c r="E5" s="12" t="s">
        <v>4</v>
      </c>
      <c r="F5" s="12" t="s">
        <v>272</v>
      </c>
      <c r="G5" s="12" t="s">
        <v>271</v>
      </c>
      <c r="H5" s="12" t="s">
        <v>270</v>
      </c>
      <c r="I5" s="12" t="s">
        <v>269</v>
      </c>
      <c r="J5" s="12" t="s">
        <v>268</v>
      </c>
      <c r="K5" s="12" t="s">
        <v>267</v>
      </c>
      <c r="L5" s="12" t="s">
        <v>266</v>
      </c>
      <c r="M5" s="12" t="s">
        <v>265</v>
      </c>
      <c r="N5" s="12" t="s">
        <v>264</v>
      </c>
      <c r="O5" s="12" t="s">
        <v>263</v>
      </c>
      <c r="P5" s="61" t="s">
        <v>262</v>
      </c>
      <c r="Q5" s="61" t="s">
        <v>261</v>
      </c>
      <c r="R5" s="61" t="s">
        <v>260</v>
      </c>
      <c r="S5" s="60" t="s">
        <v>259</v>
      </c>
      <c r="T5" s="60" t="s">
        <v>258</v>
      </c>
      <c r="U5" s="60" t="s">
        <v>257</v>
      </c>
      <c r="V5" s="59" t="s">
        <v>256</v>
      </c>
      <c r="W5" s="59" t="s">
        <v>255</v>
      </c>
      <c r="X5" s="59" t="s">
        <v>254</v>
      </c>
      <c r="Y5" s="58" t="s">
        <v>253</v>
      </c>
      <c r="Z5" s="58" t="s">
        <v>252</v>
      </c>
      <c r="AA5" s="58" t="s">
        <v>251</v>
      </c>
      <c r="AB5" s="57" t="s">
        <v>250</v>
      </c>
      <c r="AC5" s="57" t="s">
        <v>249</v>
      </c>
      <c r="AD5" s="57" t="s">
        <v>248</v>
      </c>
      <c r="AE5" s="56" t="s">
        <v>247</v>
      </c>
      <c r="AF5" s="56" t="s">
        <v>246</v>
      </c>
      <c r="AG5" s="56" t="s">
        <v>245</v>
      </c>
    </row>
    <row r="6" spans="1:33">
      <c r="A6" s="71">
        <v>1</v>
      </c>
      <c r="B6" s="72" t="s">
        <v>244</v>
      </c>
      <c r="C6" s="73" t="s">
        <v>243</v>
      </c>
      <c r="D6" s="74" t="s">
        <v>242</v>
      </c>
      <c r="E6" s="72">
        <v>1756000</v>
      </c>
      <c r="F6" s="71">
        <v>25</v>
      </c>
      <c r="G6" s="71">
        <v>0</v>
      </c>
      <c r="H6" s="75">
        <v>1755999</v>
      </c>
      <c r="I6" s="75">
        <v>1</v>
      </c>
      <c r="J6" s="75">
        <v>0</v>
      </c>
      <c r="K6" s="76">
        <f t="shared" ref="K6:K14" si="0">ROUND(H6+J6,2)</f>
        <v>1755999</v>
      </c>
      <c r="L6" s="76">
        <f t="shared" ref="L6:L14" si="1">ROUND(E6-K6,2)</f>
        <v>1</v>
      </c>
      <c r="M6" s="77">
        <v>0</v>
      </c>
      <c r="N6" s="78">
        <f t="shared" ref="N6:N11" si="2">ROUND(K6+M6,2)</f>
        <v>1755999</v>
      </c>
      <c r="O6" s="78">
        <f t="shared" ref="O6:O11" si="3">ROUND(E6-N6,2)</f>
        <v>1</v>
      </c>
      <c r="P6" s="78">
        <v>0</v>
      </c>
      <c r="Q6" s="78">
        <f t="shared" ref="Q6:Q11" si="4">N6+P6</f>
        <v>1755999</v>
      </c>
      <c r="R6" s="78">
        <f t="shared" ref="R6:R11" si="5">ROUND(E6-Q6,2)</f>
        <v>1</v>
      </c>
      <c r="S6" s="78">
        <f t="shared" ref="S6:S12" si="6">P6</f>
        <v>0</v>
      </c>
      <c r="T6" s="78">
        <f t="shared" ref="T6:T11" si="7">Q6+S6</f>
        <v>1755999</v>
      </c>
      <c r="U6" s="78">
        <f t="shared" ref="U6:U11" si="8">E6-T6</f>
        <v>1</v>
      </c>
      <c r="V6" s="78">
        <v>0</v>
      </c>
      <c r="W6" s="78">
        <f t="shared" ref="W6:W14" si="9">V6+T6</f>
        <v>1755999</v>
      </c>
      <c r="X6" s="78">
        <f t="shared" ref="X6:X11" si="10">E6-W6</f>
        <v>1</v>
      </c>
      <c r="Y6" s="78">
        <f t="shared" ref="Y6:Y11" si="11">X6-1</f>
        <v>0</v>
      </c>
      <c r="Z6" s="78">
        <f t="shared" ref="Z6:Z11" si="12">Y6+W6</f>
        <v>1755999</v>
      </c>
      <c r="AA6" s="78">
        <f t="shared" ref="AA6:AA11" si="13">E6-Z6</f>
        <v>1</v>
      </c>
      <c r="AB6" s="78">
        <f t="shared" ref="AB6:AB11" si="14">AA6-1</f>
        <v>0</v>
      </c>
      <c r="AC6" s="78">
        <f t="shared" ref="AC6:AC11" si="15">AB6+Z6</f>
        <v>1755999</v>
      </c>
      <c r="AD6" s="78">
        <f t="shared" ref="AD6:AD11" si="16">E6-AC6</f>
        <v>1</v>
      </c>
      <c r="AE6" s="77">
        <f t="shared" ref="AE6:AE11" si="17">AD6-1</f>
        <v>0</v>
      </c>
      <c r="AF6" s="77">
        <f t="shared" ref="AF6:AF11" si="18">AE6+AC6</f>
        <v>1755999</v>
      </c>
      <c r="AG6" s="77">
        <f t="shared" ref="AG6:AG14" si="19">E6-AF6</f>
        <v>1</v>
      </c>
    </row>
    <row r="7" spans="1:33">
      <c r="A7" s="71">
        <v>2</v>
      </c>
      <c r="B7" s="72" t="s">
        <v>241</v>
      </c>
      <c r="C7" s="73" t="s">
        <v>240</v>
      </c>
      <c r="D7" s="74" t="s">
        <v>239</v>
      </c>
      <c r="E7" s="72">
        <v>2180000</v>
      </c>
      <c r="F7" s="71">
        <v>25</v>
      </c>
      <c r="G7" s="71">
        <v>0</v>
      </c>
      <c r="H7" s="75">
        <v>2179999</v>
      </c>
      <c r="I7" s="75">
        <v>1</v>
      </c>
      <c r="J7" s="75">
        <v>0</v>
      </c>
      <c r="K7" s="76">
        <f t="shared" si="0"/>
        <v>2179999</v>
      </c>
      <c r="L7" s="76">
        <f t="shared" si="1"/>
        <v>1</v>
      </c>
      <c r="M7" s="77">
        <v>0</v>
      </c>
      <c r="N7" s="78">
        <f t="shared" si="2"/>
        <v>2179999</v>
      </c>
      <c r="O7" s="78">
        <f t="shared" si="3"/>
        <v>1</v>
      </c>
      <c r="P7" s="78">
        <v>0</v>
      </c>
      <c r="Q7" s="78">
        <f t="shared" si="4"/>
        <v>2179999</v>
      </c>
      <c r="R7" s="78">
        <f t="shared" si="5"/>
        <v>1</v>
      </c>
      <c r="S7" s="78">
        <f t="shared" si="6"/>
        <v>0</v>
      </c>
      <c r="T7" s="78">
        <f t="shared" si="7"/>
        <v>2179999</v>
      </c>
      <c r="U7" s="78">
        <f t="shared" si="8"/>
        <v>1</v>
      </c>
      <c r="V7" s="78">
        <v>0</v>
      </c>
      <c r="W7" s="78">
        <f t="shared" si="9"/>
        <v>2179999</v>
      </c>
      <c r="X7" s="78">
        <f t="shared" si="10"/>
        <v>1</v>
      </c>
      <c r="Y7" s="78">
        <f t="shared" si="11"/>
        <v>0</v>
      </c>
      <c r="Z7" s="78">
        <f t="shared" si="12"/>
        <v>2179999</v>
      </c>
      <c r="AA7" s="78">
        <f t="shared" si="13"/>
        <v>1</v>
      </c>
      <c r="AB7" s="78">
        <f t="shared" si="14"/>
        <v>0</v>
      </c>
      <c r="AC7" s="78">
        <f t="shared" si="15"/>
        <v>2179999</v>
      </c>
      <c r="AD7" s="78">
        <f t="shared" si="16"/>
        <v>1</v>
      </c>
      <c r="AE7" s="77">
        <f t="shared" si="17"/>
        <v>0</v>
      </c>
      <c r="AF7" s="77">
        <f t="shared" si="18"/>
        <v>2179999</v>
      </c>
      <c r="AG7" s="77">
        <f t="shared" si="19"/>
        <v>1</v>
      </c>
    </row>
    <row r="8" spans="1:33">
      <c r="A8" s="71">
        <v>3</v>
      </c>
      <c r="B8" s="72" t="s">
        <v>238</v>
      </c>
      <c r="C8" s="73" t="s">
        <v>237</v>
      </c>
      <c r="D8" s="74" t="s">
        <v>236</v>
      </c>
      <c r="E8" s="72">
        <v>2300000</v>
      </c>
      <c r="F8" s="71">
        <v>25</v>
      </c>
      <c r="G8" s="71">
        <v>0</v>
      </c>
      <c r="H8" s="75">
        <v>2299999</v>
      </c>
      <c r="I8" s="75">
        <v>1</v>
      </c>
      <c r="J8" s="75">
        <v>0</v>
      </c>
      <c r="K8" s="76">
        <f t="shared" si="0"/>
        <v>2299999</v>
      </c>
      <c r="L8" s="76">
        <f t="shared" si="1"/>
        <v>1</v>
      </c>
      <c r="M8" s="77">
        <v>0</v>
      </c>
      <c r="N8" s="78">
        <f t="shared" si="2"/>
        <v>2299999</v>
      </c>
      <c r="O8" s="78">
        <f t="shared" si="3"/>
        <v>1</v>
      </c>
      <c r="P8" s="78">
        <v>0</v>
      </c>
      <c r="Q8" s="78">
        <f t="shared" si="4"/>
        <v>2299999</v>
      </c>
      <c r="R8" s="78">
        <f t="shared" si="5"/>
        <v>1</v>
      </c>
      <c r="S8" s="78">
        <f t="shared" si="6"/>
        <v>0</v>
      </c>
      <c r="T8" s="78">
        <f t="shared" si="7"/>
        <v>2299999</v>
      </c>
      <c r="U8" s="78">
        <f t="shared" si="8"/>
        <v>1</v>
      </c>
      <c r="V8" s="78">
        <v>0</v>
      </c>
      <c r="W8" s="78">
        <f t="shared" si="9"/>
        <v>2299999</v>
      </c>
      <c r="X8" s="78">
        <f t="shared" si="10"/>
        <v>1</v>
      </c>
      <c r="Y8" s="78">
        <f t="shared" si="11"/>
        <v>0</v>
      </c>
      <c r="Z8" s="78">
        <f t="shared" si="12"/>
        <v>2299999</v>
      </c>
      <c r="AA8" s="78">
        <f t="shared" si="13"/>
        <v>1</v>
      </c>
      <c r="AB8" s="78">
        <f t="shared" si="14"/>
        <v>0</v>
      </c>
      <c r="AC8" s="78">
        <f t="shared" si="15"/>
        <v>2299999</v>
      </c>
      <c r="AD8" s="78">
        <f t="shared" si="16"/>
        <v>1</v>
      </c>
      <c r="AE8" s="77">
        <f t="shared" si="17"/>
        <v>0</v>
      </c>
      <c r="AF8" s="77">
        <f t="shared" si="18"/>
        <v>2299999</v>
      </c>
      <c r="AG8" s="77">
        <f t="shared" si="19"/>
        <v>1</v>
      </c>
    </row>
    <row r="9" spans="1:33">
      <c r="A9" s="71">
        <v>4</v>
      </c>
      <c r="B9" s="72" t="s">
        <v>235</v>
      </c>
      <c r="C9" s="73" t="s">
        <v>234</v>
      </c>
      <c r="D9" s="74" t="s">
        <v>233</v>
      </c>
      <c r="E9" s="72">
        <v>1830000</v>
      </c>
      <c r="F9" s="71">
        <v>25</v>
      </c>
      <c r="G9" s="71">
        <v>0</v>
      </c>
      <c r="H9" s="75">
        <v>1829999</v>
      </c>
      <c r="I9" s="75">
        <v>1</v>
      </c>
      <c r="J9" s="75">
        <v>0</v>
      </c>
      <c r="K9" s="76">
        <f t="shared" si="0"/>
        <v>1829999</v>
      </c>
      <c r="L9" s="76">
        <f t="shared" si="1"/>
        <v>1</v>
      </c>
      <c r="M9" s="77">
        <v>0</v>
      </c>
      <c r="N9" s="78">
        <f t="shared" si="2"/>
        <v>1829999</v>
      </c>
      <c r="O9" s="78">
        <f t="shared" si="3"/>
        <v>1</v>
      </c>
      <c r="P9" s="78">
        <v>0</v>
      </c>
      <c r="Q9" s="78">
        <f t="shared" si="4"/>
        <v>1829999</v>
      </c>
      <c r="R9" s="78">
        <f t="shared" si="5"/>
        <v>1</v>
      </c>
      <c r="S9" s="78">
        <f t="shared" si="6"/>
        <v>0</v>
      </c>
      <c r="T9" s="78">
        <f t="shared" si="7"/>
        <v>1829999</v>
      </c>
      <c r="U9" s="78">
        <f t="shared" si="8"/>
        <v>1</v>
      </c>
      <c r="V9" s="78">
        <f>S9</f>
        <v>0</v>
      </c>
      <c r="W9" s="78">
        <f t="shared" si="9"/>
        <v>1829999</v>
      </c>
      <c r="X9" s="78">
        <f t="shared" si="10"/>
        <v>1</v>
      </c>
      <c r="Y9" s="78">
        <f t="shared" si="11"/>
        <v>0</v>
      </c>
      <c r="Z9" s="78">
        <f t="shared" si="12"/>
        <v>1829999</v>
      </c>
      <c r="AA9" s="78">
        <f t="shared" si="13"/>
        <v>1</v>
      </c>
      <c r="AB9" s="78">
        <f t="shared" si="14"/>
        <v>0</v>
      </c>
      <c r="AC9" s="78">
        <f t="shared" si="15"/>
        <v>1829999</v>
      </c>
      <c r="AD9" s="78">
        <f t="shared" si="16"/>
        <v>1</v>
      </c>
      <c r="AE9" s="77">
        <f t="shared" si="17"/>
        <v>0</v>
      </c>
      <c r="AF9" s="77">
        <f t="shared" si="18"/>
        <v>1829999</v>
      </c>
      <c r="AG9" s="77">
        <f t="shared" si="19"/>
        <v>1</v>
      </c>
    </row>
    <row r="10" spans="1:33">
      <c r="A10" s="71">
        <v>5</v>
      </c>
      <c r="B10" s="79" t="s">
        <v>232</v>
      </c>
      <c r="C10" s="73" t="s">
        <v>231</v>
      </c>
      <c r="D10" s="74" t="s">
        <v>230</v>
      </c>
      <c r="E10" s="72">
        <v>4690000</v>
      </c>
      <c r="F10" s="71">
        <v>25</v>
      </c>
      <c r="G10" s="75">
        <v>46899</v>
      </c>
      <c r="H10" s="75">
        <v>4689999</v>
      </c>
      <c r="I10" s="75">
        <v>1</v>
      </c>
      <c r="J10" s="75">
        <v>0</v>
      </c>
      <c r="K10" s="76">
        <f t="shared" si="0"/>
        <v>4689999</v>
      </c>
      <c r="L10" s="76">
        <f t="shared" si="1"/>
        <v>1</v>
      </c>
      <c r="M10" s="77">
        <v>0</v>
      </c>
      <c r="N10" s="78">
        <f t="shared" si="2"/>
        <v>4689999</v>
      </c>
      <c r="O10" s="78">
        <f t="shared" si="3"/>
        <v>1</v>
      </c>
      <c r="P10" s="78">
        <v>0</v>
      </c>
      <c r="Q10" s="78">
        <f t="shared" si="4"/>
        <v>4689999</v>
      </c>
      <c r="R10" s="78">
        <f t="shared" si="5"/>
        <v>1</v>
      </c>
      <c r="S10" s="78">
        <f t="shared" si="6"/>
        <v>0</v>
      </c>
      <c r="T10" s="78">
        <f t="shared" si="7"/>
        <v>4689999</v>
      </c>
      <c r="U10" s="78">
        <f t="shared" si="8"/>
        <v>1</v>
      </c>
      <c r="V10" s="78">
        <v>0</v>
      </c>
      <c r="W10" s="78">
        <f t="shared" si="9"/>
        <v>4689999</v>
      </c>
      <c r="X10" s="78">
        <f t="shared" si="10"/>
        <v>1</v>
      </c>
      <c r="Y10" s="78">
        <f t="shared" si="11"/>
        <v>0</v>
      </c>
      <c r="Z10" s="78">
        <f t="shared" si="12"/>
        <v>4689999</v>
      </c>
      <c r="AA10" s="78">
        <f t="shared" si="13"/>
        <v>1</v>
      </c>
      <c r="AB10" s="78">
        <f t="shared" si="14"/>
        <v>0</v>
      </c>
      <c r="AC10" s="78">
        <f t="shared" si="15"/>
        <v>4689999</v>
      </c>
      <c r="AD10" s="78">
        <f t="shared" si="16"/>
        <v>1</v>
      </c>
      <c r="AE10" s="77">
        <f t="shared" si="17"/>
        <v>0</v>
      </c>
      <c r="AF10" s="77">
        <f t="shared" si="18"/>
        <v>4689999</v>
      </c>
      <c r="AG10" s="77">
        <f t="shared" si="19"/>
        <v>1</v>
      </c>
    </row>
    <row r="11" spans="1:33">
      <c r="A11" s="71">
        <v>6</v>
      </c>
      <c r="B11" s="79" t="s">
        <v>229</v>
      </c>
      <c r="C11" s="73" t="s">
        <v>228</v>
      </c>
      <c r="D11" s="74" t="s">
        <v>227</v>
      </c>
      <c r="E11" s="72">
        <v>18700000</v>
      </c>
      <c r="F11" s="71">
        <v>25</v>
      </c>
      <c r="G11" s="77">
        <v>748000</v>
      </c>
      <c r="H11" s="77">
        <v>14773000</v>
      </c>
      <c r="I11" s="77">
        <v>3927000</v>
      </c>
      <c r="J11" s="77">
        <v>748000</v>
      </c>
      <c r="K11" s="76">
        <f t="shared" si="0"/>
        <v>15521000</v>
      </c>
      <c r="L11" s="76">
        <f t="shared" si="1"/>
        <v>3179000</v>
      </c>
      <c r="M11" s="77">
        <f>ROUND(E11/F11,2)</f>
        <v>748000</v>
      </c>
      <c r="N11" s="78">
        <f t="shared" si="2"/>
        <v>16269000</v>
      </c>
      <c r="O11" s="78">
        <f t="shared" si="3"/>
        <v>2431000</v>
      </c>
      <c r="P11" s="78">
        <f>ROUND(E11/F11,2)</f>
        <v>748000</v>
      </c>
      <c r="Q11" s="78">
        <f t="shared" si="4"/>
        <v>17017000</v>
      </c>
      <c r="R11" s="78">
        <f t="shared" si="5"/>
        <v>1683000</v>
      </c>
      <c r="S11" s="78">
        <f t="shared" si="6"/>
        <v>748000</v>
      </c>
      <c r="T11" s="78">
        <f t="shared" si="7"/>
        <v>17765000</v>
      </c>
      <c r="U11" s="78">
        <f t="shared" si="8"/>
        <v>935000</v>
      </c>
      <c r="V11" s="78">
        <f>S11</f>
        <v>748000</v>
      </c>
      <c r="W11" s="78">
        <f t="shared" si="9"/>
        <v>18513000</v>
      </c>
      <c r="X11" s="78">
        <f t="shared" si="10"/>
        <v>187000</v>
      </c>
      <c r="Y11" s="78">
        <f t="shared" si="11"/>
        <v>186999</v>
      </c>
      <c r="Z11" s="78">
        <f t="shared" si="12"/>
        <v>18699999</v>
      </c>
      <c r="AA11" s="78">
        <f t="shared" si="13"/>
        <v>1</v>
      </c>
      <c r="AB11" s="78">
        <f t="shared" si="14"/>
        <v>0</v>
      </c>
      <c r="AC11" s="78">
        <f t="shared" si="15"/>
        <v>18699999</v>
      </c>
      <c r="AD11" s="78">
        <f t="shared" si="16"/>
        <v>1</v>
      </c>
      <c r="AE11" s="77">
        <f t="shared" si="17"/>
        <v>0</v>
      </c>
      <c r="AF11" s="77">
        <f t="shared" si="18"/>
        <v>18699999</v>
      </c>
      <c r="AG11" s="77">
        <f t="shared" si="19"/>
        <v>1</v>
      </c>
    </row>
    <row r="12" spans="1:33">
      <c r="A12" s="71">
        <v>7</v>
      </c>
      <c r="B12" s="80" t="s">
        <v>226</v>
      </c>
      <c r="C12" s="81">
        <v>11000023699701</v>
      </c>
      <c r="D12" s="71" t="s">
        <v>225</v>
      </c>
      <c r="E12" s="75">
        <v>1650000</v>
      </c>
      <c r="F12" s="71">
        <v>5</v>
      </c>
      <c r="G12" s="75">
        <v>0</v>
      </c>
      <c r="H12" s="75">
        <v>1649999</v>
      </c>
      <c r="I12" s="75">
        <v>1</v>
      </c>
      <c r="J12" s="71">
        <v>0</v>
      </c>
      <c r="K12" s="76">
        <f t="shared" si="0"/>
        <v>1649999</v>
      </c>
      <c r="L12" s="76">
        <f t="shared" si="1"/>
        <v>1</v>
      </c>
      <c r="M12" s="78">
        <v>0</v>
      </c>
      <c r="N12" s="78">
        <f>K12+M12</f>
        <v>1649999</v>
      </c>
      <c r="O12" s="78">
        <f>E12-N12</f>
        <v>1</v>
      </c>
      <c r="P12" s="78">
        <f>M12</f>
        <v>0</v>
      </c>
      <c r="Q12" s="78">
        <f>P12+N12</f>
        <v>1649999</v>
      </c>
      <c r="R12" s="78">
        <f>E12-Q12</f>
        <v>1</v>
      </c>
      <c r="S12" s="78">
        <f t="shared" si="6"/>
        <v>0</v>
      </c>
      <c r="T12" s="78">
        <f>S12+Q12</f>
        <v>1649999</v>
      </c>
      <c r="U12" s="78">
        <f>R12-S12</f>
        <v>1</v>
      </c>
      <c r="V12" s="78">
        <f>S12</f>
        <v>0</v>
      </c>
      <c r="W12" s="78">
        <f t="shared" si="9"/>
        <v>1649999</v>
      </c>
      <c r="X12" s="78">
        <f>U12-V12</f>
        <v>1</v>
      </c>
      <c r="Y12" s="82"/>
      <c r="Z12" s="82"/>
      <c r="AA12" s="82"/>
      <c r="AB12" s="82"/>
      <c r="AC12" s="82"/>
      <c r="AD12" s="82"/>
      <c r="AE12" s="77">
        <f>AD12</f>
        <v>0</v>
      </c>
      <c r="AF12" s="77">
        <f>E12-1</f>
        <v>1649999</v>
      </c>
      <c r="AG12" s="77">
        <f t="shared" si="19"/>
        <v>1</v>
      </c>
    </row>
    <row r="13" spans="1:33">
      <c r="A13" s="71">
        <v>8</v>
      </c>
      <c r="B13" s="79" t="s">
        <v>224</v>
      </c>
      <c r="C13" s="73" t="s">
        <v>223</v>
      </c>
      <c r="D13" s="74" t="s">
        <v>222</v>
      </c>
      <c r="E13" s="72">
        <v>21729644.960000001</v>
      </c>
      <c r="F13" s="71">
        <v>15</v>
      </c>
      <c r="G13" s="77">
        <v>2172964.36</v>
      </c>
      <c r="H13" s="77">
        <v>16297233.050000001</v>
      </c>
      <c r="I13" s="77">
        <v>5432411.9100000001</v>
      </c>
      <c r="J13" s="77">
        <v>2172964.36</v>
      </c>
      <c r="K13" s="76">
        <f t="shared" si="0"/>
        <v>18470197.41</v>
      </c>
      <c r="L13" s="76">
        <f t="shared" si="1"/>
        <v>3259447.55</v>
      </c>
      <c r="M13" s="77">
        <f>ROUND(E13/F13,2)</f>
        <v>1448643</v>
      </c>
      <c r="N13" s="78">
        <f>ROUND(K13+M13,2)</f>
        <v>19918840.41</v>
      </c>
      <c r="O13" s="78">
        <f>ROUND(E13-N13,2)</f>
        <v>1810804.55</v>
      </c>
      <c r="P13" s="78">
        <f>ROUND(O13-1,2)</f>
        <v>1810803.55</v>
      </c>
      <c r="Q13" s="78">
        <f>N13+P13</f>
        <v>21729643.960000001</v>
      </c>
      <c r="R13" s="78">
        <f>ROUND(O13-P13,2)</f>
        <v>1</v>
      </c>
      <c r="S13" s="78">
        <v>0</v>
      </c>
      <c r="T13" s="78">
        <f>Q13+S13</f>
        <v>21729643.960000001</v>
      </c>
      <c r="U13" s="78">
        <f>E13-T13</f>
        <v>1</v>
      </c>
      <c r="V13" s="78">
        <v>0</v>
      </c>
      <c r="W13" s="78">
        <f t="shared" si="9"/>
        <v>21729643.960000001</v>
      </c>
      <c r="X13" s="78">
        <f>E13-W13</f>
        <v>1</v>
      </c>
      <c r="Y13" s="78">
        <f>X13-1</f>
        <v>0</v>
      </c>
      <c r="Z13" s="78">
        <f>Y13+W13</f>
        <v>21729643.960000001</v>
      </c>
      <c r="AA13" s="78">
        <f>E13-Z13</f>
        <v>1</v>
      </c>
      <c r="AB13" s="78">
        <f>AA13-1</f>
        <v>0</v>
      </c>
      <c r="AC13" s="78">
        <f>AB13+Z13</f>
        <v>21729643.960000001</v>
      </c>
      <c r="AD13" s="78">
        <f>E13-AC13</f>
        <v>1</v>
      </c>
      <c r="AE13" s="77">
        <f>AD13-1</f>
        <v>0</v>
      </c>
      <c r="AF13" s="77">
        <f>AE13+AC13</f>
        <v>21729643.960000001</v>
      </c>
      <c r="AG13" s="77">
        <f t="shared" si="19"/>
        <v>1</v>
      </c>
    </row>
    <row r="14" spans="1:33">
      <c r="A14" s="71">
        <v>9</v>
      </c>
      <c r="B14" s="79" t="s">
        <v>221</v>
      </c>
      <c r="C14" s="73" t="s">
        <v>220</v>
      </c>
      <c r="D14" s="74" t="s">
        <v>219</v>
      </c>
      <c r="E14" s="72">
        <v>4077000</v>
      </c>
      <c r="F14" s="71">
        <v>15</v>
      </c>
      <c r="G14" s="77">
        <v>407700</v>
      </c>
      <c r="H14" s="77">
        <v>2446200</v>
      </c>
      <c r="I14" s="77">
        <v>1630800</v>
      </c>
      <c r="J14" s="77">
        <v>407700</v>
      </c>
      <c r="K14" s="76">
        <f t="shared" si="0"/>
        <v>2853900</v>
      </c>
      <c r="L14" s="76">
        <f t="shared" si="1"/>
        <v>1223100</v>
      </c>
      <c r="M14" s="77">
        <f>ROUND(E14/F14,2)</f>
        <v>271800</v>
      </c>
      <c r="N14" s="78">
        <f>ROUND(K14+M14,2)</f>
        <v>3125700</v>
      </c>
      <c r="O14" s="78">
        <f>ROUND(E14-N14,2)</f>
        <v>951300</v>
      </c>
      <c r="P14" s="78">
        <f>ROUND(E14/F14,2)</f>
        <v>271800</v>
      </c>
      <c r="Q14" s="78">
        <f>N14+P14</f>
        <v>3397500</v>
      </c>
      <c r="R14" s="78">
        <f>ROUND(E14-Q14,2)</f>
        <v>679500</v>
      </c>
      <c r="S14" s="78">
        <f>R14-1</f>
        <v>679499</v>
      </c>
      <c r="T14" s="78">
        <f>Q14+S14</f>
        <v>4076999</v>
      </c>
      <c r="U14" s="78">
        <f>E14-T14</f>
        <v>1</v>
      </c>
      <c r="V14" s="78">
        <v>0</v>
      </c>
      <c r="W14" s="78">
        <f t="shared" si="9"/>
        <v>4076999</v>
      </c>
      <c r="X14" s="78">
        <f>E14-W14</f>
        <v>1</v>
      </c>
      <c r="Y14" s="78">
        <f>X14-1</f>
        <v>0</v>
      </c>
      <c r="Z14" s="78">
        <f>Y14+W14</f>
        <v>4076999</v>
      </c>
      <c r="AA14" s="78">
        <f>E14-Z14</f>
        <v>1</v>
      </c>
      <c r="AB14" s="78">
        <f>AA14-1</f>
        <v>0</v>
      </c>
      <c r="AC14" s="78">
        <f>AB14+Z14</f>
        <v>4076999</v>
      </c>
      <c r="AD14" s="78">
        <f>E14-AC14</f>
        <v>1</v>
      </c>
      <c r="AE14" s="77">
        <f>AD14-1</f>
        <v>0</v>
      </c>
      <c r="AF14" s="77">
        <f>AE14+AC14</f>
        <v>4076999</v>
      </c>
      <c r="AG14" s="77">
        <f t="shared" si="19"/>
        <v>1</v>
      </c>
    </row>
    <row r="15" spans="1:33">
      <c r="A15" s="71">
        <v>10</v>
      </c>
      <c r="B15" s="86" t="s">
        <v>170</v>
      </c>
      <c r="C15" s="73" t="s">
        <v>169</v>
      </c>
      <c r="D15" s="87" t="s">
        <v>168</v>
      </c>
      <c r="E15" s="88">
        <v>10689300</v>
      </c>
      <c r="F15" s="71">
        <v>25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77">
        <v>427572</v>
      </c>
      <c r="AF15" s="77">
        <v>6128532</v>
      </c>
      <c r="AG15" s="77">
        <v>4560768</v>
      </c>
    </row>
    <row r="16" spans="1:33">
      <c r="A16" s="71">
        <v>11</v>
      </c>
      <c r="B16" s="72" t="s">
        <v>146</v>
      </c>
      <c r="C16" s="73" t="s">
        <v>145</v>
      </c>
      <c r="D16" s="74" t="s">
        <v>144</v>
      </c>
      <c r="E16" s="72">
        <v>25798500</v>
      </c>
      <c r="F16" s="71">
        <v>25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77">
        <v>1031940</v>
      </c>
      <c r="AF16" s="77">
        <v>14103180</v>
      </c>
      <c r="AG16" s="77">
        <v>11695320</v>
      </c>
    </row>
    <row r="17" spans="1:33">
      <c r="A17" s="71">
        <v>12</v>
      </c>
      <c r="B17" s="83" t="s">
        <v>103</v>
      </c>
      <c r="C17" s="73" t="s">
        <v>102</v>
      </c>
      <c r="D17" s="84" t="s">
        <v>101</v>
      </c>
      <c r="E17" s="83">
        <v>74900000</v>
      </c>
      <c r="F17" s="85">
        <v>25</v>
      </c>
      <c r="G17" s="85">
        <v>25</v>
      </c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77">
        <v>2996000</v>
      </c>
      <c r="AF17" s="77">
        <v>25965333.359999999</v>
      </c>
      <c r="AG17" s="77">
        <v>48934666.640000001</v>
      </c>
    </row>
    <row r="18" spans="1:33">
      <c r="A18" s="10"/>
      <c r="B18" s="10"/>
      <c r="C18" s="10"/>
      <c r="D18" s="12"/>
      <c r="E18" s="11">
        <f>SUM(E6:E17)</f>
        <v>170300444.96000001</v>
      </c>
      <c r="F18" s="11">
        <f>SUM(F6:F17)</f>
        <v>260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>
        <f>SUM(AE6:AE17)</f>
        <v>4455512</v>
      </c>
      <c r="AF18" s="9">
        <f>SUM(AF6:AF17)</f>
        <v>105109681.32000001</v>
      </c>
      <c r="AG18" s="9">
        <f>SUM(AG6:AG17)</f>
        <v>65190763.640000001</v>
      </c>
    </row>
    <row r="20" spans="1:33" ht="24" thickBot="1">
      <c r="E20" s="8" t="s">
        <v>4</v>
      </c>
      <c r="F20" s="8" t="s">
        <v>3</v>
      </c>
      <c r="G20" s="8" t="s">
        <v>2</v>
      </c>
      <c r="H20" s="8" t="s">
        <v>1</v>
      </c>
      <c r="AE20" s="8" t="s">
        <v>2</v>
      </c>
      <c r="AF20" s="8" t="s">
        <v>1</v>
      </c>
    </row>
    <row r="21" spans="1:33" ht="26.25" thickBot="1">
      <c r="D21" s="7" t="s">
        <v>0</v>
      </c>
      <c r="E21" s="6">
        <f>E18</f>
        <v>170300444.96000001</v>
      </c>
      <c r="F21" s="6">
        <f>AE18</f>
        <v>4455512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4">
        <f>AF18</f>
        <v>105109681.32000001</v>
      </c>
      <c r="AF21" s="4">
        <f>AG18</f>
        <v>65190763.640000001</v>
      </c>
    </row>
  </sheetData>
  <mergeCells count="1">
    <mergeCell ref="A2:L2"/>
  </mergeCell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59999389629810485"/>
    <pageSetUpPr fitToPage="1"/>
  </sheetPr>
  <dimension ref="A2:AG91"/>
  <sheetViews>
    <sheetView tabSelected="1" topLeftCell="A64" zoomScaleSheetLayoutView="118" workbookViewId="0">
      <selection activeCell="B4" sqref="B4"/>
    </sheetView>
  </sheetViews>
  <sheetFormatPr defaultColWidth="9.75" defaultRowHeight="23.25"/>
  <cols>
    <col min="1" max="1" width="9.75" style="1"/>
    <col min="2" max="2" width="34.25" style="1" customWidth="1"/>
    <col min="3" max="3" width="17.375" style="1" customWidth="1"/>
    <col min="4" max="4" width="23.25" style="64" customWidth="1"/>
    <col min="5" max="5" width="16.875" style="1" customWidth="1"/>
    <col min="6" max="6" width="14.875" style="1" customWidth="1"/>
    <col min="7" max="7" width="13.625" style="1" hidden="1" customWidth="1"/>
    <col min="8" max="8" width="12.875" style="1" hidden="1" customWidth="1"/>
    <col min="9" max="9" width="13.625" style="1" hidden="1" customWidth="1"/>
    <col min="10" max="10" width="12" style="1" hidden="1" customWidth="1"/>
    <col min="11" max="11" width="13.75" style="1" hidden="1" customWidth="1"/>
    <col min="12" max="12" width="12.25" style="1" hidden="1" customWidth="1"/>
    <col min="13" max="13" width="12.625" style="1" hidden="1" customWidth="1"/>
    <col min="14" max="14" width="13" style="1" hidden="1" customWidth="1"/>
    <col min="15" max="18" width="12.625" style="1" hidden="1" customWidth="1"/>
    <col min="19" max="19" width="12.375" style="1" hidden="1" customWidth="1"/>
    <col min="20" max="20" width="13.375" style="1" hidden="1" customWidth="1"/>
    <col min="21" max="21" width="12.875" style="1" hidden="1" customWidth="1"/>
    <col min="22" max="22" width="12" style="1" hidden="1" customWidth="1"/>
    <col min="23" max="24" width="12.25" style="1" hidden="1" customWidth="1"/>
    <col min="25" max="25" width="12.875" style="1" hidden="1" customWidth="1"/>
    <col min="26" max="27" width="12.25" style="1" hidden="1" customWidth="1"/>
    <col min="28" max="28" width="0" style="1" hidden="1" customWidth="1"/>
    <col min="29" max="29" width="13" style="1" hidden="1" customWidth="1"/>
    <col min="30" max="30" width="11.25" style="1" hidden="1" customWidth="1"/>
    <col min="31" max="31" width="12.875" style="2" customWidth="1"/>
    <col min="32" max="32" width="16.5" style="2" customWidth="1"/>
    <col min="33" max="33" width="17.75" style="2" customWidth="1"/>
    <col min="34" max="16384" width="9.75" style="1"/>
  </cols>
  <sheetData>
    <row r="2" spans="1:33">
      <c r="A2" s="89" t="s">
        <v>276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33">
      <c r="A3" s="64"/>
      <c r="B3" s="64"/>
      <c r="C3" s="64"/>
      <c r="E3" s="64"/>
      <c r="F3" s="64"/>
      <c r="G3" s="64"/>
      <c r="H3" s="64"/>
      <c r="I3" s="64"/>
      <c r="J3" s="64"/>
      <c r="K3" s="64"/>
      <c r="L3" s="64"/>
    </row>
    <row r="4" spans="1:33">
      <c r="A4" s="63"/>
      <c r="B4" s="63" t="s">
        <v>278</v>
      </c>
      <c r="C4" s="63"/>
      <c r="D4" s="62"/>
    </row>
    <row r="5" spans="1:33">
      <c r="A5" s="12" t="s">
        <v>275</v>
      </c>
      <c r="B5" s="12" t="s">
        <v>274</v>
      </c>
      <c r="C5" s="12"/>
      <c r="D5" s="12" t="s">
        <v>273</v>
      </c>
      <c r="E5" s="12" t="s">
        <v>4</v>
      </c>
      <c r="F5" s="12" t="s">
        <v>272</v>
      </c>
      <c r="G5" s="12" t="s">
        <v>271</v>
      </c>
      <c r="H5" s="12" t="s">
        <v>270</v>
      </c>
      <c r="I5" s="12" t="s">
        <v>269</v>
      </c>
      <c r="J5" s="12" t="s">
        <v>268</v>
      </c>
      <c r="K5" s="12" t="s">
        <v>267</v>
      </c>
      <c r="L5" s="12" t="s">
        <v>266</v>
      </c>
      <c r="M5" s="12" t="s">
        <v>265</v>
      </c>
      <c r="N5" s="12" t="s">
        <v>264</v>
      </c>
      <c r="O5" s="12" t="s">
        <v>263</v>
      </c>
      <c r="P5" s="61" t="s">
        <v>262</v>
      </c>
      <c r="Q5" s="61" t="s">
        <v>261</v>
      </c>
      <c r="R5" s="61" t="s">
        <v>260</v>
      </c>
      <c r="S5" s="60" t="s">
        <v>259</v>
      </c>
      <c r="T5" s="60" t="s">
        <v>258</v>
      </c>
      <c r="U5" s="60" t="s">
        <v>257</v>
      </c>
      <c r="V5" s="59" t="s">
        <v>256</v>
      </c>
      <c r="W5" s="59" t="s">
        <v>255</v>
      </c>
      <c r="X5" s="59" t="s">
        <v>254</v>
      </c>
      <c r="Y5" s="58" t="s">
        <v>253</v>
      </c>
      <c r="Z5" s="58" t="s">
        <v>252</v>
      </c>
      <c r="AA5" s="58" t="s">
        <v>251</v>
      </c>
      <c r="AB5" s="57" t="s">
        <v>250</v>
      </c>
      <c r="AC5" s="57" t="s">
        <v>249</v>
      </c>
      <c r="AD5" s="57" t="s">
        <v>248</v>
      </c>
      <c r="AE5" s="56" t="s">
        <v>247</v>
      </c>
      <c r="AF5" s="56" t="s">
        <v>246</v>
      </c>
      <c r="AG5" s="56" t="s">
        <v>245</v>
      </c>
    </row>
    <row r="6" spans="1:33">
      <c r="A6" s="12">
        <v>1</v>
      </c>
      <c r="B6" s="21" t="s">
        <v>218</v>
      </c>
      <c r="C6" s="35" t="s">
        <v>217</v>
      </c>
      <c r="D6" s="12" t="s">
        <v>216</v>
      </c>
      <c r="E6" s="54">
        <v>153500000</v>
      </c>
      <c r="F6" s="12">
        <v>25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9">
        <v>0</v>
      </c>
      <c r="AF6" s="9">
        <v>153499999</v>
      </c>
      <c r="AG6" s="9">
        <v>1</v>
      </c>
    </row>
    <row r="7" spans="1:33">
      <c r="A7" s="12">
        <v>2</v>
      </c>
      <c r="B7" s="21" t="s">
        <v>215</v>
      </c>
      <c r="C7" s="35" t="s">
        <v>214</v>
      </c>
      <c r="D7" s="12" t="s">
        <v>213</v>
      </c>
      <c r="E7" s="54">
        <v>49480000</v>
      </c>
      <c r="F7" s="12">
        <v>25</v>
      </c>
      <c r="G7" s="10"/>
      <c r="H7" s="10"/>
      <c r="I7" s="10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9">
        <v>0</v>
      </c>
      <c r="AF7" s="9">
        <v>49479999</v>
      </c>
      <c r="AG7" s="9">
        <v>1</v>
      </c>
    </row>
    <row r="8" spans="1:33">
      <c r="A8" s="12">
        <v>3</v>
      </c>
      <c r="B8" s="21" t="s">
        <v>212</v>
      </c>
      <c r="C8" s="35" t="s">
        <v>211</v>
      </c>
      <c r="D8" s="12" t="s">
        <v>210</v>
      </c>
      <c r="E8" s="54">
        <v>7949900</v>
      </c>
      <c r="F8" s="12">
        <v>25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9">
        <v>0</v>
      </c>
      <c r="AF8" s="9">
        <v>7949899</v>
      </c>
      <c r="AG8" s="9">
        <v>1</v>
      </c>
    </row>
    <row r="9" spans="1:33">
      <c r="A9" s="12">
        <v>4</v>
      </c>
      <c r="B9" s="21" t="s">
        <v>209</v>
      </c>
      <c r="C9" s="35" t="s">
        <v>208</v>
      </c>
      <c r="D9" s="12" t="s">
        <v>207</v>
      </c>
      <c r="E9" s="54">
        <v>14193000</v>
      </c>
      <c r="F9" s="12">
        <v>25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9">
        <v>0</v>
      </c>
      <c r="AF9" s="9">
        <v>14192999</v>
      </c>
      <c r="AG9" s="9">
        <v>1</v>
      </c>
    </row>
    <row r="10" spans="1:33">
      <c r="A10" s="12">
        <v>5</v>
      </c>
      <c r="B10" s="21" t="s">
        <v>206</v>
      </c>
      <c r="C10" s="35" t="s">
        <v>205</v>
      </c>
      <c r="D10" s="12" t="s">
        <v>204</v>
      </c>
      <c r="E10" s="54">
        <v>151000</v>
      </c>
      <c r="F10" s="12">
        <v>25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9">
        <v>0</v>
      </c>
      <c r="AF10" s="9">
        <v>150999</v>
      </c>
      <c r="AG10" s="9">
        <v>1</v>
      </c>
    </row>
    <row r="11" spans="1:33">
      <c r="A11" s="12">
        <v>6</v>
      </c>
      <c r="B11" s="21" t="s">
        <v>203</v>
      </c>
      <c r="C11" s="35" t="s">
        <v>202</v>
      </c>
      <c r="D11" s="12" t="s">
        <v>201</v>
      </c>
      <c r="E11" s="54">
        <v>3266000</v>
      </c>
      <c r="F11" s="12">
        <v>25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9">
        <v>0</v>
      </c>
      <c r="AF11" s="9">
        <v>3265999</v>
      </c>
      <c r="AG11" s="9">
        <v>1</v>
      </c>
    </row>
    <row r="12" spans="1:33">
      <c r="A12" s="12">
        <v>7</v>
      </c>
      <c r="B12" s="21" t="s">
        <v>200</v>
      </c>
      <c r="C12" s="35" t="s">
        <v>199</v>
      </c>
      <c r="D12" s="12" t="s">
        <v>198</v>
      </c>
      <c r="E12" s="54">
        <v>4174060</v>
      </c>
      <c r="F12" s="12">
        <v>25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9">
        <v>0</v>
      </c>
      <c r="AF12" s="9">
        <v>4174059</v>
      </c>
      <c r="AG12" s="9">
        <v>1</v>
      </c>
    </row>
    <row r="13" spans="1:33">
      <c r="A13" s="12">
        <v>8</v>
      </c>
      <c r="B13" s="21" t="s">
        <v>197</v>
      </c>
      <c r="C13" s="35" t="s">
        <v>196</v>
      </c>
      <c r="D13" s="12" t="s">
        <v>195</v>
      </c>
      <c r="E13" s="54">
        <v>3369914</v>
      </c>
      <c r="F13" s="12">
        <v>25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9">
        <v>0</v>
      </c>
      <c r="AF13" s="9">
        <v>3369913</v>
      </c>
      <c r="AG13" s="9">
        <v>1</v>
      </c>
    </row>
    <row r="14" spans="1:33">
      <c r="A14" s="12">
        <v>9</v>
      </c>
      <c r="B14" s="53" t="s">
        <v>194</v>
      </c>
      <c r="C14" s="35" t="s">
        <v>193</v>
      </c>
      <c r="D14" s="49" t="s">
        <v>192</v>
      </c>
      <c r="E14" s="54">
        <v>18000000</v>
      </c>
      <c r="F14" s="12">
        <v>25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9">
        <v>0</v>
      </c>
      <c r="AF14" s="9">
        <v>17999999</v>
      </c>
      <c r="AG14" s="9">
        <v>1</v>
      </c>
    </row>
    <row r="15" spans="1:33">
      <c r="A15" s="12">
        <v>10</v>
      </c>
      <c r="B15" s="53" t="s">
        <v>191</v>
      </c>
      <c r="C15" s="35" t="s">
        <v>190</v>
      </c>
      <c r="D15" s="49" t="s">
        <v>189</v>
      </c>
      <c r="E15" s="54">
        <v>22800000</v>
      </c>
      <c r="F15" s="12">
        <v>25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9">
        <v>0</v>
      </c>
      <c r="AF15" s="9">
        <v>22799999</v>
      </c>
      <c r="AG15" s="9">
        <v>1</v>
      </c>
    </row>
    <row r="16" spans="1:33">
      <c r="A16" s="12">
        <v>11</v>
      </c>
      <c r="B16" s="53" t="s">
        <v>188</v>
      </c>
      <c r="C16" s="35" t="s">
        <v>187</v>
      </c>
      <c r="D16" s="49" t="s">
        <v>186</v>
      </c>
      <c r="E16" s="54">
        <v>586000</v>
      </c>
      <c r="F16" s="12">
        <v>25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9">
        <v>0</v>
      </c>
      <c r="AF16" s="9">
        <v>585999</v>
      </c>
      <c r="AG16" s="9">
        <v>1</v>
      </c>
    </row>
    <row r="17" spans="1:33">
      <c r="A17" s="12">
        <v>12</v>
      </c>
      <c r="B17" s="53" t="s">
        <v>185</v>
      </c>
      <c r="C17" s="35" t="s">
        <v>184</v>
      </c>
      <c r="D17" s="49" t="s">
        <v>183</v>
      </c>
      <c r="E17" s="54">
        <v>4500000</v>
      </c>
      <c r="F17" s="12">
        <v>25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9">
        <v>0</v>
      </c>
      <c r="AF17" s="9">
        <v>4499999</v>
      </c>
      <c r="AG17" s="9">
        <v>1</v>
      </c>
    </row>
    <row r="18" spans="1:33">
      <c r="A18" s="12">
        <v>13</v>
      </c>
      <c r="B18" s="53" t="s">
        <v>182</v>
      </c>
      <c r="C18" s="35" t="s">
        <v>181</v>
      </c>
      <c r="D18" s="49" t="s">
        <v>180</v>
      </c>
      <c r="E18" s="54">
        <v>17208500</v>
      </c>
      <c r="F18" s="12">
        <v>25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9">
        <v>688340</v>
      </c>
      <c r="AF18" s="9">
        <v>17036415</v>
      </c>
      <c r="AG18" s="9">
        <v>172085</v>
      </c>
    </row>
    <row r="19" spans="1:33">
      <c r="A19" s="12">
        <v>14</v>
      </c>
      <c r="B19" s="53" t="s">
        <v>179</v>
      </c>
      <c r="C19" s="35" t="s">
        <v>178</v>
      </c>
      <c r="D19" s="49" t="s">
        <v>177</v>
      </c>
      <c r="E19" s="54">
        <v>5998257</v>
      </c>
      <c r="F19" s="12">
        <v>10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9">
        <v>0</v>
      </c>
      <c r="AF19" s="9">
        <v>5998256</v>
      </c>
      <c r="AG19" s="9">
        <v>1</v>
      </c>
    </row>
    <row r="20" spans="1:33">
      <c r="A20" s="12">
        <v>15</v>
      </c>
      <c r="B20" s="53" t="s">
        <v>176</v>
      </c>
      <c r="C20" s="35" t="s">
        <v>175</v>
      </c>
      <c r="D20" s="49" t="s">
        <v>174</v>
      </c>
      <c r="E20" s="54">
        <v>29297250</v>
      </c>
      <c r="F20" s="12">
        <v>10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9">
        <v>0</v>
      </c>
      <c r="AF20" s="9">
        <v>29297249</v>
      </c>
      <c r="AG20" s="9">
        <v>1</v>
      </c>
    </row>
    <row r="21" spans="1:33">
      <c r="A21" s="12">
        <v>16</v>
      </c>
      <c r="B21" s="48" t="s">
        <v>167</v>
      </c>
      <c r="C21" s="35" t="s">
        <v>166</v>
      </c>
      <c r="D21" s="49" t="s">
        <v>165</v>
      </c>
      <c r="E21" s="54">
        <v>95879892.400000006</v>
      </c>
      <c r="F21" s="12">
        <v>25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9">
        <v>3835195.7</v>
      </c>
      <c r="AF21" s="9">
        <v>53692739.760000013</v>
      </c>
      <c r="AG21" s="9">
        <v>42187152.639999993</v>
      </c>
    </row>
    <row r="22" spans="1:33">
      <c r="A22" s="12">
        <v>17</v>
      </c>
      <c r="B22" s="21" t="s">
        <v>164</v>
      </c>
      <c r="C22" s="50" t="s">
        <v>163</v>
      </c>
      <c r="D22" s="12" t="s">
        <v>162</v>
      </c>
      <c r="E22" s="54">
        <v>1800000</v>
      </c>
      <c r="F22" s="12">
        <v>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9">
        <v>0</v>
      </c>
      <c r="AF22" s="9">
        <v>1799999</v>
      </c>
      <c r="AG22" s="9">
        <v>1</v>
      </c>
    </row>
    <row r="23" spans="1:33">
      <c r="A23" s="12">
        <v>18</v>
      </c>
      <c r="B23" s="21" t="s">
        <v>159</v>
      </c>
      <c r="C23" s="50" t="s">
        <v>161</v>
      </c>
      <c r="D23" s="12" t="s">
        <v>160</v>
      </c>
      <c r="E23" s="54">
        <v>1909000</v>
      </c>
      <c r="F23" s="12">
        <v>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9">
        <v>0</v>
      </c>
      <c r="AF23" s="9">
        <v>1908999</v>
      </c>
      <c r="AG23" s="9">
        <v>1</v>
      </c>
    </row>
    <row r="24" spans="1:33">
      <c r="A24" s="12">
        <v>19</v>
      </c>
      <c r="B24" s="21" t="s">
        <v>159</v>
      </c>
      <c r="C24" s="50" t="s">
        <v>158</v>
      </c>
      <c r="D24" s="12" t="s">
        <v>157</v>
      </c>
      <c r="E24" s="54">
        <v>1909000</v>
      </c>
      <c r="F24" s="12">
        <v>5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9">
        <v>0</v>
      </c>
      <c r="AF24" s="9">
        <v>1908999</v>
      </c>
      <c r="AG24" s="9">
        <v>1</v>
      </c>
    </row>
    <row r="25" spans="1:33">
      <c r="A25" s="12">
        <v>20</v>
      </c>
      <c r="B25" s="21" t="s">
        <v>152</v>
      </c>
      <c r="C25" s="50" t="s">
        <v>156</v>
      </c>
      <c r="D25" s="12" t="s">
        <v>155</v>
      </c>
      <c r="E25" s="54">
        <v>1452500</v>
      </c>
      <c r="F25" s="12">
        <v>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9">
        <v>0</v>
      </c>
      <c r="AF25" s="9">
        <v>1452499</v>
      </c>
      <c r="AG25" s="9">
        <v>1</v>
      </c>
    </row>
    <row r="26" spans="1:33">
      <c r="A26" s="12">
        <v>21</v>
      </c>
      <c r="B26" s="21" t="s">
        <v>152</v>
      </c>
      <c r="C26" s="50" t="s">
        <v>154</v>
      </c>
      <c r="D26" s="12" t="s">
        <v>153</v>
      </c>
      <c r="E26" s="54">
        <v>1452500</v>
      </c>
      <c r="F26" s="12">
        <v>5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9">
        <v>0</v>
      </c>
      <c r="AF26" s="9">
        <v>1452499</v>
      </c>
      <c r="AG26" s="9">
        <v>1</v>
      </c>
    </row>
    <row r="27" spans="1:33">
      <c r="A27" s="12">
        <v>22</v>
      </c>
      <c r="B27" s="21" t="s">
        <v>152</v>
      </c>
      <c r="C27" s="50" t="s">
        <v>151</v>
      </c>
      <c r="D27" s="12" t="s">
        <v>150</v>
      </c>
      <c r="E27" s="54">
        <v>1618500</v>
      </c>
      <c r="F27" s="12">
        <v>5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9">
        <v>0</v>
      </c>
      <c r="AF27" s="9">
        <v>1618499</v>
      </c>
      <c r="AG27" s="9">
        <v>1</v>
      </c>
    </row>
    <row r="28" spans="1:33">
      <c r="A28" s="12">
        <v>23</v>
      </c>
      <c r="B28" s="48" t="s">
        <v>149</v>
      </c>
      <c r="C28" s="35" t="s">
        <v>148</v>
      </c>
      <c r="D28" s="49" t="s">
        <v>147</v>
      </c>
      <c r="E28" s="54">
        <v>302475448.25</v>
      </c>
      <c r="F28" s="12">
        <v>25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9">
        <v>12099017.93</v>
      </c>
      <c r="AF28" s="9">
        <v>169386250.92000005</v>
      </c>
      <c r="AG28" s="9">
        <v>133089197.32999995</v>
      </c>
    </row>
    <row r="29" spans="1:33">
      <c r="A29" s="12">
        <v>24</v>
      </c>
      <c r="B29" s="47" t="s">
        <v>143</v>
      </c>
      <c r="C29" s="35" t="s">
        <v>142</v>
      </c>
      <c r="D29" s="17" t="s">
        <v>141</v>
      </c>
      <c r="E29" s="54">
        <v>139374123.40000001</v>
      </c>
      <c r="F29" s="46">
        <v>25</v>
      </c>
      <c r="G29" s="46">
        <v>25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9">
        <v>5574964.9400000004</v>
      </c>
      <c r="AF29" s="9">
        <v>59001712.269999996</v>
      </c>
      <c r="AG29" s="9">
        <v>80372411.13000001</v>
      </c>
    </row>
    <row r="30" spans="1:33">
      <c r="A30" s="12">
        <v>25</v>
      </c>
      <c r="B30" s="19" t="s">
        <v>136</v>
      </c>
      <c r="C30" s="35" t="s">
        <v>140</v>
      </c>
      <c r="D30" s="17" t="s">
        <v>139</v>
      </c>
      <c r="E30" s="54">
        <v>1635514.02</v>
      </c>
      <c r="F30" s="17">
        <v>5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9">
        <v>0</v>
      </c>
      <c r="AF30" s="9">
        <v>1635513.02</v>
      </c>
      <c r="AG30" s="9">
        <v>1</v>
      </c>
    </row>
    <row r="31" spans="1:33">
      <c r="A31" s="12">
        <v>26</v>
      </c>
      <c r="B31" s="19" t="s">
        <v>136</v>
      </c>
      <c r="C31" s="35" t="s">
        <v>138</v>
      </c>
      <c r="D31" s="17" t="s">
        <v>137</v>
      </c>
      <c r="E31" s="54">
        <v>1635514.02</v>
      </c>
      <c r="F31" s="17">
        <v>5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9">
        <v>0</v>
      </c>
      <c r="AF31" s="9">
        <v>1635513.02</v>
      </c>
      <c r="AG31" s="9">
        <v>1</v>
      </c>
    </row>
    <row r="32" spans="1:33">
      <c r="A32" s="12">
        <v>27</v>
      </c>
      <c r="B32" s="19" t="s">
        <v>136</v>
      </c>
      <c r="C32" s="35" t="s">
        <v>135</v>
      </c>
      <c r="D32" s="17" t="s">
        <v>134</v>
      </c>
      <c r="E32" s="54">
        <v>1635514.02</v>
      </c>
      <c r="F32" s="17">
        <v>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9">
        <v>0</v>
      </c>
      <c r="AF32" s="9">
        <v>1635513.02</v>
      </c>
      <c r="AG32" s="9">
        <v>1</v>
      </c>
    </row>
    <row r="33" spans="1:33">
      <c r="A33" s="12">
        <v>28</v>
      </c>
      <c r="B33" s="45" t="s">
        <v>131</v>
      </c>
      <c r="C33" s="35" t="s">
        <v>133</v>
      </c>
      <c r="D33" s="17" t="s">
        <v>132</v>
      </c>
      <c r="E33" s="54">
        <v>1750000</v>
      </c>
      <c r="F33" s="17">
        <v>5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9">
        <v>0</v>
      </c>
      <c r="AF33" s="9">
        <v>1749999</v>
      </c>
      <c r="AG33" s="9">
        <v>1</v>
      </c>
    </row>
    <row r="34" spans="1:33">
      <c r="A34" s="12">
        <v>29</v>
      </c>
      <c r="B34" s="45" t="s">
        <v>131</v>
      </c>
      <c r="C34" s="35" t="s">
        <v>130</v>
      </c>
      <c r="D34" s="17" t="s">
        <v>129</v>
      </c>
      <c r="E34" s="54">
        <v>1550000</v>
      </c>
      <c r="F34" s="17">
        <v>5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9">
        <v>0</v>
      </c>
      <c r="AF34" s="9">
        <v>1549999</v>
      </c>
      <c r="AG34" s="9">
        <v>1</v>
      </c>
    </row>
    <row r="35" spans="1:33">
      <c r="A35" s="12">
        <v>30</v>
      </c>
      <c r="B35" s="44" t="s">
        <v>126</v>
      </c>
      <c r="C35" s="35" t="s">
        <v>128</v>
      </c>
      <c r="D35" s="43" t="s">
        <v>127</v>
      </c>
      <c r="E35" s="54">
        <v>1550000</v>
      </c>
      <c r="F35" s="43">
        <v>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9">
        <v>0</v>
      </c>
      <c r="AF35" s="9">
        <v>1549999</v>
      </c>
      <c r="AG35" s="9">
        <v>1</v>
      </c>
    </row>
    <row r="36" spans="1:33">
      <c r="A36" s="12">
        <v>31</v>
      </c>
      <c r="B36" s="44" t="s">
        <v>126</v>
      </c>
      <c r="C36" s="35" t="s">
        <v>125</v>
      </c>
      <c r="D36" s="43" t="s">
        <v>124</v>
      </c>
      <c r="E36" s="54">
        <v>1550000</v>
      </c>
      <c r="F36" s="43">
        <v>5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9">
        <v>0</v>
      </c>
      <c r="AF36" s="9">
        <v>1549999</v>
      </c>
      <c r="AG36" s="9">
        <v>1</v>
      </c>
    </row>
    <row r="37" spans="1:33">
      <c r="A37" s="12">
        <v>32</v>
      </c>
      <c r="B37" s="42" t="s">
        <v>123</v>
      </c>
      <c r="C37" s="10"/>
      <c r="D37" s="12" t="s">
        <v>122</v>
      </c>
      <c r="E37" s="54">
        <v>9846462.3200000003</v>
      </c>
      <c r="F37" s="17">
        <v>25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9">
        <v>0</v>
      </c>
      <c r="AF37" s="9">
        <v>9846461.3200000003</v>
      </c>
      <c r="AG37" s="9">
        <v>1</v>
      </c>
    </row>
    <row r="38" spans="1:33">
      <c r="A38" s="12">
        <v>33</v>
      </c>
      <c r="B38" s="41" t="s">
        <v>121</v>
      </c>
      <c r="C38" s="41"/>
      <c r="D38" s="40" t="s">
        <v>120</v>
      </c>
      <c r="E38" s="54">
        <v>1550000</v>
      </c>
      <c r="F38" s="39">
        <v>5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9">
        <v>310000</v>
      </c>
      <c r="AF38" s="9">
        <v>1498333.3</v>
      </c>
      <c r="AG38" s="9">
        <v>51666.699999999953</v>
      </c>
    </row>
    <row r="39" spans="1:33">
      <c r="A39" s="12">
        <v>34</v>
      </c>
      <c r="B39" s="34" t="s">
        <v>119</v>
      </c>
      <c r="C39" s="10"/>
      <c r="D39" s="32" t="s">
        <v>118</v>
      </c>
      <c r="E39" s="54">
        <v>222738699.25999999</v>
      </c>
      <c r="F39" s="31">
        <v>25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9">
        <v>8909547.9700000007</v>
      </c>
      <c r="AF39" s="9">
        <v>80185931.730000004</v>
      </c>
      <c r="AG39" s="9">
        <v>142552767.52999997</v>
      </c>
    </row>
    <row r="40" spans="1:33">
      <c r="A40" s="12">
        <v>35</v>
      </c>
      <c r="B40" s="34" t="s">
        <v>117</v>
      </c>
      <c r="C40" s="10"/>
      <c r="D40" s="32" t="s">
        <v>116</v>
      </c>
      <c r="E40" s="54">
        <v>3989000</v>
      </c>
      <c r="F40" s="31">
        <v>25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9">
        <v>159560</v>
      </c>
      <c r="AF40" s="9">
        <v>1289776.67</v>
      </c>
      <c r="AG40" s="9">
        <v>2699223.33</v>
      </c>
    </row>
    <row r="41" spans="1:33">
      <c r="A41" s="12">
        <v>36</v>
      </c>
      <c r="B41" s="34" t="s">
        <v>115</v>
      </c>
      <c r="C41" s="10"/>
      <c r="D41" s="32" t="s">
        <v>114</v>
      </c>
      <c r="E41" s="54">
        <v>1449000</v>
      </c>
      <c r="F41" s="31">
        <v>25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9">
        <v>57960</v>
      </c>
      <c r="AF41" s="9">
        <v>410550</v>
      </c>
      <c r="AG41" s="9">
        <v>1038450</v>
      </c>
    </row>
    <row r="42" spans="1:33">
      <c r="A42" s="12">
        <v>37</v>
      </c>
      <c r="B42" s="34" t="s">
        <v>113</v>
      </c>
      <c r="C42" s="10"/>
      <c r="D42" s="32" t="s">
        <v>112</v>
      </c>
      <c r="E42" s="54">
        <v>4064168.19</v>
      </c>
      <c r="F42" s="31">
        <v>25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9">
        <v>162566.73000000001</v>
      </c>
      <c r="AF42" s="9">
        <v>1137967.1100000001</v>
      </c>
      <c r="AG42" s="9">
        <v>2926201.08</v>
      </c>
    </row>
    <row r="43" spans="1:33">
      <c r="A43" s="12">
        <v>38</v>
      </c>
      <c r="B43" s="34" t="s">
        <v>111</v>
      </c>
      <c r="C43" s="10"/>
      <c r="D43" s="32" t="s">
        <v>110</v>
      </c>
      <c r="E43" s="54">
        <v>41184771.399999999</v>
      </c>
      <c r="F43" s="31">
        <v>25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9">
        <v>1647390.86</v>
      </c>
      <c r="AF43" s="9">
        <v>9335214.8600000013</v>
      </c>
      <c r="AG43" s="9">
        <v>31849556.539999999</v>
      </c>
    </row>
    <row r="44" spans="1:33">
      <c r="A44" s="12">
        <v>39</v>
      </c>
      <c r="B44" s="34" t="s">
        <v>109</v>
      </c>
      <c r="C44" s="10"/>
      <c r="D44" s="32" t="s">
        <v>108</v>
      </c>
      <c r="E44" s="54">
        <v>1610000</v>
      </c>
      <c r="F44" s="31">
        <v>25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9">
        <v>64400</v>
      </c>
      <c r="AF44" s="9">
        <v>531300</v>
      </c>
      <c r="AG44" s="9">
        <v>1078700</v>
      </c>
    </row>
    <row r="45" spans="1:33">
      <c r="A45" s="12">
        <v>40</v>
      </c>
      <c r="B45" s="33" t="s">
        <v>107</v>
      </c>
      <c r="C45" s="10"/>
      <c r="D45" s="32" t="s">
        <v>106</v>
      </c>
      <c r="E45" s="54">
        <v>2169044.46</v>
      </c>
      <c r="F45" s="31">
        <v>25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9">
        <v>86761.778399999996</v>
      </c>
      <c r="AF45" s="9">
        <v>173523.55679999999</v>
      </c>
      <c r="AG45" s="9">
        <v>1995520.9032000001</v>
      </c>
    </row>
    <row r="46" spans="1:33">
      <c r="A46" s="12">
        <v>41</v>
      </c>
      <c r="B46" s="38" t="s">
        <v>105</v>
      </c>
      <c r="C46" s="38"/>
      <c r="D46" s="37" t="s">
        <v>104</v>
      </c>
      <c r="E46" s="54">
        <v>1700000</v>
      </c>
      <c r="F46" s="36">
        <v>5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9">
        <v>340000</v>
      </c>
      <c r="AF46" s="9">
        <v>991666.63</v>
      </c>
      <c r="AG46" s="9">
        <v>708333.37</v>
      </c>
    </row>
    <row r="47" spans="1:33">
      <c r="A47" s="12">
        <v>42</v>
      </c>
      <c r="B47" s="30" t="s">
        <v>97</v>
      </c>
      <c r="C47" s="24">
        <v>110000315013</v>
      </c>
      <c r="D47" s="22" t="s">
        <v>96</v>
      </c>
      <c r="E47" s="54">
        <v>227686876</v>
      </c>
      <c r="F47" s="22">
        <v>25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9">
        <v>9107475.0399999991</v>
      </c>
      <c r="AF47" s="9">
        <v>18214950.039999999</v>
      </c>
      <c r="AG47" s="9">
        <v>209471925.96000001</v>
      </c>
    </row>
    <row r="48" spans="1:33">
      <c r="A48" s="12">
        <v>43</v>
      </c>
      <c r="B48" s="30" t="s">
        <v>93</v>
      </c>
      <c r="C48" s="24" t="s">
        <v>95</v>
      </c>
      <c r="D48" s="22" t="s">
        <v>94</v>
      </c>
      <c r="E48" s="54">
        <v>1800000</v>
      </c>
      <c r="F48" s="22">
        <v>5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9">
        <v>360000</v>
      </c>
      <c r="AF48" s="9">
        <v>720000</v>
      </c>
      <c r="AG48" s="9">
        <v>1080000</v>
      </c>
    </row>
    <row r="49" spans="1:33">
      <c r="A49" s="12">
        <v>44</v>
      </c>
      <c r="B49" s="30" t="s">
        <v>93</v>
      </c>
      <c r="C49" s="24" t="s">
        <v>92</v>
      </c>
      <c r="D49" s="22" t="s">
        <v>91</v>
      </c>
      <c r="E49" s="54">
        <v>1800000</v>
      </c>
      <c r="F49" s="22">
        <v>5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9">
        <v>360000</v>
      </c>
      <c r="AF49" s="9">
        <v>720000</v>
      </c>
      <c r="AG49" s="9">
        <v>1080000</v>
      </c>
    </row>
    <row r="50" spans="1:33">
      <c r="A50" s="12">
        <v>45</v>
      </c>
      <c r="B50" s="30" t="s">
        <v>86</v>
      </c>
      <c r="C50" s="24" t="s">
        <v>90</v>
      </c>
      <c r="D50" s="22" t="s">
        <v>89</v>
      </c>
      <c r="E50" s="54">
        <v>2200000</v>
      </c>
      <c r="F50" s="22">
        <v>5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9">
        <v>440000</v>
      </c>
      <c r="AF50" s="9">
        <v>880000.04</v>
      </c>
      <c r="AG50" s="9">
        <v>1319999.96</v>
      </c>
    </row>
    <row r="51" spans="1:33">
      <c r="A51" s="12">
        <v>46</v>
      </c>
      <c r="B51" s="30" t="s">
        <v>86</v>
      </c>
      <c r="C51" s="24" t="s">
        <v>88</v>
      </c>
      <c r="D51" s="22" t="s">
        <v>87</v>
      </c>
      <c r="E51" s="54">
        <v>2200000</v>
      </c>
      <c r="F51" s="22">
        <v>5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9">
        <v>440000</v>
      </c>
      <c r="AF51" s="9">
        <v>880000.04</v>
      </c>
      <c r="AG51" s="9">
        <v>1319999.96</v>
      </c>
    </row>
    <row r="52" spans="1:33">
      <c r="A52" s="12">
        <v>47</v>
      </c>
      <c r="B52" s="30" t="s">
        <v>86</v>
      </c>
      <c r="C52" s="24" t="s">
        <v>85</v>
      </c>
      <c r="D52" s="22" t="s">
        <v>84</v>
      </c>
      <c r="E52" s="54">
        <v>2200000</v>
      </c>
      <c r="F52" s="22">
        <v>5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9">
        <v>440000</v>
      </c>
      <c r="AF52" s="9">
        <v>880000.04</v>
      </c>
      <c r="AG52" s="9">
        <v>1319999.96</v>
      </c>
    </row>
    <row r="53" spans="1:33">
      <c r="A53" s="12">
        <v>48</v>
      </c>
      <c r="B53" s="30" t="s">
        <v>83</v>
      </c>
      <c r="C53" s="24" t="s">
        <v>82</v>
      </c>
      <c r="D53" s="23" t="s">
        <v>81</v>
      </c>
      <c r="E53" s="54">
        <v>2842112</v>
      </c>
      <c r="F53" s="22">
        <v>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9">
        <v>568422.40000000002</v>
      </c>
      <c r="AF53" s="9">
        <v>1136844.76</v>
      </c>
      <c r="AG53" s="9">
        <v>1705267.24</v>
      </c>
    </row>
    <row r="54" spans="1:33">
      <c r="A54" s="12">
        <v>49</v>
      </c>
      <c r="B54" s="30" t="s">
        <v>72</v>
      </c>
      <c r="C54" s="24" t="s">
        <v>80</v>
      </c>
      <c r="D54" s="23" t="s">
        <v>79</v>
      </c>
      <c r="E54" s="54">
        <v>40000</v>
      </c>
      <c r="F54" s="22">
        <v>3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9">
        <v>13333.33</v>
      </c>
      <c r="AF54" s="9">
        <v>26666.65</v>
      </c>
      <c r="AG54" s="9">
        <v>13333.349999999999</v>
      </c>
    </row>
    <row r="55" spans="1:33">
      <c r="A55" s="12">
        <v>50</v>
      </c>
      <c r="B55" s="30" t="s">
        <v>72</v>
      </c>
      <c r="C55" s="24" t="s">
        <v>78</v>
      </c>
      <c r="D55" s="23" t="s">
        <v>77</v>
      </c>
      <c r="E55" s="54">
        <v>40000</v>
      </c>
      <c r="F55" s="22">
        <v>3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9">
        <v>13333.33</v>
      </c>
      <c r="AF55" s="9">
        <v>26666.65</v>
      </c>
      <c r="AG55" s="9">
        <v>13333.349999999999</v>
      </c>
    </row>
    <row r="56" spans="1:33">
      <c r="A56" s="12">
        <v>51</v>
      </c>
      <c r="B56" s="30" t="s">
        <v>72</v>
      </c>
      <c r="C56" s="24" t="s">
        <v>76</v>
      </c>
      <c r="D56" s="23" t="s">
        <v>75</v>
      </c>
      <c r="E56" s="54">
        <v>40000</v>
      </c>
      <c r="F56" s="22">
        <v>3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9">
        <v>13333.33</v>
      </c>
      <c r="AF56" s="9">
        <v>26666.65</v>
      </c>
      <c r="AG56" s="9">
        <v>13333.349999999999</v>
      </c>
    </row>
    <row r="57" spans="1:33">
      <c r="A57" s="12">
        <v>52</v>
      </c>
      <c r="B57" s="30" t="s">
        <v>72</v>
      </c>
      <c r="C57" s="24" t="s">
        <v>74</v>
      </c>
      <c r="D57" s="23" t="s">
        <v>73</v>
      </c>
      <c r="E57" s="54">
        <v>40000</v>
      </c>
      <c r="F57" s="22">
        <v>3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9">
        <v>13333.33</v>
      </c>
      <c r="AF57" s="9">
        <v>26666.65</v>
      </c>
      <c r="AG57" s="9">
        <v>13333.349999999999</v>
      </c>
    </row>
    <row r="58" spans="1:33">
      <c r="A58" s="12">
        <v>53</v>
      </c>
      <c r="B58" s="30" t="s">
        <v>72</v>
      </c>
      <c r="C58" s="24" t="s">
        <v>71</v>
      </c>
      <c r="D58" s="23" t="s">
        <v>70</v>
      </c>
      <c r="E58" s="54">
        <v>40000</v>
      </c>
      <c r="F58" s="22">
        <v>3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9">
        <v>13333.33</v>
      </c>
      <c r="AF58" s="9">
        <v>26666.65</v>
      </c>
      <c r="AG58" s="9">
        <v>13333.349999999999</v>
      </c>
    </row>
    <row r="59" spans="1:33">
      <c r="A59" s="12">
        <v>54</v>
      </c>
      <c r="B59" s="29" t="s">
        <v>69</v>
      </c>
      <c r="C59" s="24">
        <v>110000331570</v>
      </c>
      <c r="D59" s="28" t="s">
        <v>68</v>
      </c>
      <c r="E59" s="54">
        <v>473581324.94999999</v>
      </c>
      <c r="F59" s="22">
        <v>25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9">
        <v>18943253</v>
      </c>
      <c r="AF59" s="9">
        <v>34729297.200000003</v>
      </c>
      <c r="AG59" s="9">
        <v>438852027.75</v>
      </c>
    </row>
    <row r="60" spans="1:33">
      <c r="A60" s="12">
        <v>55</v>
      </c>
      <c r="B60" s="27" t="s">
        <v>63</v>
      </c>
      <c r="C60" s="26" t="s">
        <v>67</v>
      </c>
      <c r="D60" s="23" t="s">
        <v>66</v>
      </c>
      <c r="E60" s="54">
        <v>67782</v>
      </c>
      <c r="F60" s="22">
        <v>2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9">
        <v>33891</v>
      </c>
      <c r="AF60" s="9">
        <v>62133.5</v>
      </c>
      <c r="AG60" s="9">
        <v>5648.5</v>
      </c>
    </row>
    <row r="61" spans="1:33">
      <c r="A61" s="12">
        <v>56</v>
      </c>
      <c r="B61" s="29" t="s">
        <v>63</v>
      </c>
      <c r="C61" s="26" t="s">
        <v>65</v>
      </c>
      <c r="D61" s="28" t="s">
        <v>64</v>
      </c>
      <c r="E61" s="54">
        <v>67782</v>
      </c>
      <c r="F61" s="22">
        <v>2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9">
        <v>33891</v>
      </c>
      <c r="AF61" s="9">
        <v>62133.5</v>
      </c>
      <c r="AG61" s="9">
        <v>5648.5</v>
      </c>
    </row>
    <row r="62" spans="1:33">
      <c r="A62" s="12">
        <v>57</v>
      </c>
      <c r="B62" s="27" t="s">
        <v>63</v>
      </c>
      <c r="C62" s="26" t="s">
        <v>62</v>
      </c>
      <c r="D62" s="23" t="s">
        <v>61</v>
      </c>
      <c r="E62" s="54">
        <v>67782</v>
      </c>
      <c r="F62" s="22">
        <v>2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9">
        <v>33891</v>
      </c>
      <c r="AF62" s="9">
        <v>62133.5</v>
      </c>
      <c r="AG62" s="9">
        <v>5648.5</v>
      </c>
    </row>
    <row r="63" spans="1:33">
      <c r="A63" s="12">
        <v>58</v>
      </c>
      <c r="B63" s="29" t="s">
        <v>48</v>
      </c>
      <c r="C63" s="26" t="s">
        <v>60</v>
      </c>
      <c r="D63" s="28" t="s">
        <v>59</v>
      </c>
      <c r="E63" s="54">
        <v>52200</v>
      </c>
      <c r="F63" s="22">
        <v>2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9">
        <v>26100</v>
      </c>
      <c r="AF63" s="9">
        <v>47850</v>
      </c>
      <c r="AG63" s="9">
        <v>4350</v>
      </c>
    </row>
    <row r="64" spans="1:33">
      <c r="A64" s="12">
        <v>59</v>
      </c>
      <c r="B64" s="27" t="s">
        <v>48</v>
      </c>
      <c r="C64" s="26" t="s">
        <v>58</v>
      </c>
      <c r="D64" s="23" t="s">
        <v>57</v>
      </c>
      <c r="E64" s="54">
        <v>52200</v>
      </c>
      <c r="F64" s="22">
        <v>2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9">
        <v>26100</v>
      </c>
      <c r="AF64" s="9">
        <v>47850</v>
      </c>
      <c r="AG64" s="9">
        <v>4350</v>
      </c>
    </row>
    <row r="65" spans="1:33">
      <c r="A65" s="12">
        <v>60</v>
      </c>
      <c r="B65" s="29" t="s">
        <v>48</v>
      </c>
      <c r="C65" s="26" t="s">
        <v>56</v>
      </c>
      <c r="D65" s="28" t="s">
        <v>55</v>
      </c>
      <c r="E65" s="54">
        <v>52200</v>
      </c>
      <c r="F65" s="22">
        <v>2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9">
        <v>26100</v>
      </c>
      <c r="AF65" s="9">
        <v>47850</v>
      </c>
      <c r="AG65" s="9">
        <v>4350</v>
      </c>
    </row>
    <row r="66" spans="1:33">
      <c r="A66" s="12">
        <v>61</v>
      </c>
      <c r="B66" s="27" t="s">
        <v>48</v>
      </c>
      <c r="C66" s="26" t="s">
        <v>54</v>
      </c>
      <c r="D66" s="23" t="s">
        <v>53</v>
      </c>
      <c r="E66" s="54">
        <v>52200</v>
      </c>
      <c r="F66" s="22">
        <v>2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9">
        <v>26100</v>
      </c>
      <c r="AF66" s="9">
        <v>47850</v>
      </c>
      <c r="AG66" s="9">
        <v>4350</v>
      </c>
    </row>
    <row r="67" spans="1:33">
      <c r="A67" s="12">
        <v>62</v>
      </c>
      <c r="B67" s="29" t="s">
        <v>48</v>
      </c>
      <c r="C67" s="26" t="s">
        <v>52</v>
      </c>
      <c r="D67" s="28" t="s">
        <v>51</v>
      </c>
      <c r="E67" s="54">
        <v>52200</v>
      </c>
      <c r="F67" s="22">
        <v>2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9">
        <v>26100</v>
      </c>
      <c r="AF67" s="9">
        <v>47850</v>
      </c>
      <c r="AG67" s="9">
        <v>4350</v>
      </c>
    </row>
    <row r="68" spans="1:33">
      <c r="A68" s="12">
        <v>63</v>
      </c>
      <c r="B68" s="27" t="s">
        <v>48</v>
      </c>
      <c r="C68" s="26" t="s">
        <v>50</v>
      </c>
      <c r="D68" s="23" t="s">
        <v>49</v>
      </c>
      <c r="E68" s="54">
        <v>52200</v>
      </c>
      <c r="F68" s="22">
        <v>2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9">
        <v>26100</v>
      </c>
      <c r="AF68" s="9">
        <v>47850</v>
      </c>
      <c r="AG68" s="9">
        <v>4350</v>
      </c>
    </row>
    <row r="69" spans="1:33">
      <c r="A69" s="12">
        <v>64</v>
      </c>
      <c r="B69" s="29" t="s">
        <v>48</v>
      </c>
      <c r="C69" s="26" t="s">
        <v>47</v>
      </c>
      <c r="D69" s="28" t="s">
        <v>46</v>
      </c>
      <c r="E69" s="54">
        <v>52200</v>
      </c>
      <c r="F69" s="22">
        <v>2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9">
        <v>26100</v>
      </c>
      <c r="AF69" s="9">
        <v>47850</v>
      </c>
      <c r="AG69" s="9">
        <v>4350</v>
      </c>
    </row>
    <row r="70" spans="1:33">
      <c r="A70" s="12">
        <v>65</v>
      </c>
      <c r="B70" s="27" t="s">
        <v>43</v>
      </c>
      <c r="C70" s="26" t="s">
        <v>45</v>
      </c>
      <c r="D70" s="23" t="s">
        <v>44</v>
      </c>
      <c r="E70" s="54">
        <v>67782</v>
      </c>
      <c r="F70" s="22">
        <v>2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9">
        <v>33891</v>
      </c>
      <c r="AF70" s="9">
        <v>62133.5</v>
      </c>
      <c r="AG70" s="9">
        <v>5648.5</v>
      </c>
    </row>
    <row r="71" spans="1:33">
      <c r="A71" s="12">
        <v>66</v>
      </c>
      <c r="B71" s="29" t="s">
        <v>43</v>
      </c>
      <c r="C71" s="26" t="s">
        <v>42</v>
      </c>
      <c r="D71" s="28" t="s">
        <v>41</v>
      </c>
      <c r="E71" s="54">
        <v>67782</v>
      </c>
      <c r="F71" s="22">
        <v>2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9">
        <v>33891</v>
      </c>
      <c r="AF71" s="9">
        <v>62133.5</v>
      </c>
      <c r="AG71" s="9">
        <v>5648.5</v>
      </c>
    </row>
    <row r="72" spans="1:33">
      <c r="A72" s="12">
        <v>67</v>
      </c>
      <c r="B72" s="27" t="s">
        <v>26</v>
      </c>
      <c r="C72" s="26" t="s">
        <v>40</v>
      </c>
      <c r="D72" s="23" t="s">
        <v>39</v>
      </c>
      <c r="E72" s="54">
        <v>1901004</v>
      </c>
      <c r="F72" s="22">
        <v>5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9">
        <v>380200.8</v>
      </c>
      <c r="AF72" s="9">
        <v>697034.8</v>
      </c>
      <c r="AG72" s="9">
        <v>1203969.2</v>
      </c>
    </row>
    <row r="73" spans="1:33">
      <c r="A73" s="12">
        <v>68</v>
      </c>
      <c r="B73" s="29" t="s">
        <v>26</v>
      </c>
      <c r="C73" s="26" t="s">
        <v>38</v>
      </c>
      <c r="D73" s="28" t="s">
        <v>37</v>
      </c>
      <c r="E73" s="54">
        <v>1901004</v>
      </c>
      <c r="F73" s="22">
        <v>5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9">
        <v>380200.8</v>
      </c>
      <c r="AF73" s="9">
        <v>697034.8</v>
      </c>
      <c r="AG73" s="9">
        <v>1203969.2</v>
      </c>
    </row>
    <row r="74" spans="1:33">
      <c r="A74" s="12">
        <v>69</v>
      </c>
      <c r="B74" s="27" t="s">
        <v>26</v>
      </c>
      <c r="C74" s="26" t="s">
        <v>36</v>
      </c>
      <c r="D74" s="23" t="s">
        <v>35</v>
      </c>
      <c r="E74" s="54">
        <v>1901004</v>
      </c>
      <c r="F74" s="22">
        <v>5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9">
        <v>380200.8</v>
      </c>
      <c r="AF74" s="9">
        <v>697034.8</v>
      </c>
      <c r="AG74" s="9">
        <v>1203969.2</v>
      </c>
    </row>
    <row r="75" spans="1:33">
      <c r="A75" s="12">
        <v>70</v>
      </c>
      <c r="B75" s="27" t="s">
        <v>26</v>
      </c>
      <c r="C75" s="26" t="s">
        <v>34</v>
      </c>
      <c r="D75" s="23" t="s">
        <v>33</v>
      </c>
      <c r="E75" s="54">
        <v>1901004</v>
      </c>
      <c r="F75" s="22">
        <v>5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9">
        <v>380200.8</v>
      </c>
      <c r="AF75" s="9">
        <v>697034.8</v>
      </c>
      <c r="AG75" s="9">
        <v>1203969.2</v>
      </c>
    </row>
    <row r="76" spans="1:33">
      <c r="A76" s="12">
        <v>71</v>
      </c>
      <c r="B76" s="29" t="s">
        <v>26</v>
      </c>
      <c r="C76" s="26" t="s">
        <v>32</v>
      </c>
      <c r="D76" s="28" t="s">
        <v>31</v>
      </c>
      <c r="E76" s="54">
        <v>1901004</v>
      </c>
      <c r="F76" s="22">
        <v>5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9">
        <v>380200.8</v>
      </c>
      <c r="AF76" s="9">
        <v>697034.8</v>
      </c>
      <c r="AG76" s="9">
        <v>1203969.2</v>
      </c>
    </row>
    <row r="77" spans="1:33">
      <c r="A77" s="12">
        <v>72</v>
      </c>
      <c r="B77" s="27" t="s">
        <v>26</v>
      </c>
      <c r="C77" s="26" t="s">
        <v>30</v>
      </c>
      <c r="D77" s="23" t="s">
        <v>29</v>
      </c>
      <c r="E77" s="54">
        <v>1901004</v>
      </c>
      <c r="F77" s="22">
        <v>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9">
        <v>380200.8</v>
      </c>
      <c r="AF77" s="9">
        <v>697034.8</v>
      </c>
      <c r="AG77" s="9">
        <v>1203969.2</v>
      </c>
    </row>
    <row r="78" spans="1:33">
      <c r="A78" s="12">
        <v>73</v>
      </c>
      <c r="B78" s="29" t="s">
        <v>26</v>
      </c>
      <c r="C78" s="26" t="s">
        <v>28</v>
      </c>
      <c r="D78" s="28" t="s">
        <v>27</v>
      </c>
      <c r="E78" s="54">
        <v>1823094</v>
      </c>
      <c r="F78" s="22">
        <v>5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9">
        <v>364618.8</v>
      </c>
      <c r="AF78" s="9">
        <v>668467.80000000005</v>
      </c>
      <c r="AG78" s="9">
        <v>1154626.2</v>
      </c>
    </row>
    <row r="79" spans="1:33">
      <c r="A79" s="12">
        <v>74</v>
      </c>
      <c r="B79" s="27" t="s">
        <v>26</v>
      </c>
      <c r="C79" s="26" t="s">
        <v>25</v>
      </c>
      <c r="D79" s="23" t="s">
        <v>24</v>
      </c>
      <c r="E79" s="54">
        <v>1316679</v>
      </c>
      <c r="F79" s="22">
        <v>5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9">
        <v>263335.8</v>
      </c>
      <c r="AF79" s="9">
        <v>482782.3</v>
      </c>
      <c r="AG79" s="9">
        <v>833896.7</v>
      </c>
    </row>
    <row r="80" spans="1:33">
      <c r="A80" s="12">
        <v>75</v>
      </c>
      <c r="B80" s="27" t="s">
        <v>19</v>
      </c>
      <c r="C80" s="26" t="s">
        <v>23</v>
      </c>
      <c r="D80" s="23" t="s">
        <v>22</v>
      </c>
      <c r="E80" s="54">
        <v>3220000</v>
      </c>
      <c r="F80" s="22">
        <v>5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9">
        <v>644000</v>
      </c>
      <c r="AF80" s="9">
        <v>1180666.7</v>
      </c>
      <c r="AG80" s="9">
        <v>2039333.3</v>
      </c>
    </row>
    <row r="81" spans="1:33">
      <c r="A81" s="12">
        <v>76</v>
      </c>
      <c r="B81" s="29" t="s">
        <v>19</v>
      </c>
      <c r="C81" s="26" t="s">
        <v>21</v>
      </c>
      <c r="D81" s="28" t="s">
        <v>20</v>
      </c>
      <c r="E81" s="54">
        <v>3220000</v>
      </c>
      <c r="F81" s="22">
        <v>5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9">
        <v>644000</v>
      </c>
      <c r="AF81" s="9">
        <v>1180666.7</v>
      </c>
      <c r="AG81" s="9">
        <v>2039333.3</v>
      </c>
    </row>
    <row r="82" spans="1:33">
      <c r="A82" s="12">
        <v>77</v>
      </c>
      <c r="B82" s="27" t="s">
        <v>19</v>
      </c>
      <c r="C82" s="26" t="s">
        <v>18</v>
      </c>
      <c r="D82" s="23" t="s">
        <v>17</v>
      </c>
      <c r="E82" s="54">
        <v>3220000</v>
      </c>
      <c r="F82" s="22">
        <v>5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9">
        <v>644000</v>
      </c>
      <c r="AF82" s="9">
        <v>1180666.7</v>
      </c>
      <c r="AG82" s="9">
        <v>2039333.3</v>
      </c>
    </row>
    <row r="83" spans="1:33">
      <c r="A83" s="12">
        <v>78</v>
      </c>
      <c r="B83" s="25" t="s">
        <v>16</v>
      </c>
      <c r="C83" s="24" t="s">
        <v>15</v>
      </c>
      <c r="D83" s="23" t="s">
        <v>14</v>
      </c>
      <c r="E83" s="54">
        <v>8505462.8900000006</v>
      </c>
      <c r="F83" s="22">
        <v>25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9">
        <v>340218.52</v>
      </c>
      <c r="AF83" s="9">
        <v>368570.06</v>
      </c>
      <c r="AG83" s="9">
        <v>8136892.830000001</v>
      </c>
    </row>
    <row r="84" spans="1:33">
      <c r="A84" s="12">
        <v>79</v>
      </c>
      <c r="B84" s="21" t="s">
        <v>13</v>
      </c>
      <c r="C84" s="20">
        <v>110000788868</v>
      </c>
      <c r="D84" s="12" t="s">
        <v>12</v>
      </c>
      <c r="E84" s="54">
        <v>3475000</v>
      </c>
      <c r="F84" s="17">
        <v>25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9">
        <v>139000</v>
      </c>
      <c r="AF84" s="9">
        <v>1193083.31</v>
      </c>
      <c r="AG84" s="9">
        <v>2281916.69</v>
      </c>
    </row>
    <row r="85" spans="1:33">
      <c r="A85" s="12">
        <v>80</v>
      </c>
      <c r="B85" s="19" t="s">
        <v>11</v>
      </c>
      <c r="C85" s="18" t="s">
        <v>10</v>
      </c>
      <c r="D85" s="17" t="s">
        <v>9</v>
      </c>
      <c r="E85" s="54">
        <v>949090</v>
      </c>
      <c r="F85" s="17">
        <v>25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9">
        <v>37963.599999999999</v>
      </c>
      <c r="AF85" s="9">
        <v>316363.32</v>
      </c>
      <c r="AG85" s="9">
        <v>632726.67999999993</v>
      </c>
    </row>
    <row r="86" spans="1:33">
      <c r="A86" s="12">
        <v>81</v>
      </c>
      <c r="B86" s="16" t="s">
        <v>8</v>
      </c>
      <c r="C86" s="14">
        <v>110000643859</v>
      </c>
      <c r="D86" s="13" t="s">
        <v>7</v>
      </c>
      <c r="E86" s="54">
        <v>2300000</v>
      </c>
      <c r="F86" s="13">
        <v>25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9">
        <v>46000.020000000004</v>
      </c>
      <c r="AF86" s="9">
        <v>46000.020000000004</v>
      </c>
      <c r="AG86" s="9">
        <v>2253999.98</v>
      </c>
    </row>
    <row r="87" spans="1:33">
      <c r="A87" s="12">
        <v>82</v>
      </c>
      <c r="B87" s="15" t="s">
        <v>6</v>
      </c>
      <c r="C87" s="14">
        <v>11000078886804</v>
      </c>
      <c r="D87" s="13" t="s">
        <v>5</v>
      </c>
      <c r="E87" s="54">
        <v>1282071.57</v>
      </c>
      <c r="F87" s="13">
        <v>25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9">
        <v>4273.57</v>
      </c>
      <c r="AF87" s="9">
        <v>4273.57</v>
      </c>
      <c r="AG87" s="9">
        <v>1277798</v>
      </c>
    </row>
    <row r="88" spans="1:33">
      <c r="A88" s="10"/>
      <c r="B88" s="10"/>
      <c r="C88" s="10"/>
      <c r="D88" s="12"/>
      <c r="E88" s="11">
        <f>SUM(E6:E87)</f>
        <v>1939884577.1500003</v>
      </c>
      <c r="F88" s="11">
        <f>SUM(F6:F87)</f>
        <v>994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9">
        <f>SUM(AE6:AE87)</f>
        <v>70422293.108399943</v>
      </c>
      <c r="AF88" s="9">
        <f>SUM(AF6:AF87)</f>
        <v>812975031.3367995</v>
      </c>
      <c r="AG88" s="9">
        <f>SUM(AG6:AG87)</f>
        <v>1126909545.8132005</v>
      </c>
    </row>
    <row r="90" spans="1:33" ht="24" thickBot="1">
      <c r="E90" s="8" t="s">
        <v>4</v>
      </c>
      <c r="F90" s="8" t="s">
        <v>3</v>
      </c>
      <c r="G90" s="8" t="s">
        <v>2</v>
      </c>
      <c r="H90" s="8" t="s">
        <v>1</v>
      </c>
      <c r="AE90" s="8" t="s">
        <v>2</v>
      </c>
      <c r="AF90" s="8" t="s">
        <v>1</v>
      </c>
    </row>
    <row r="91" spans="1:33" ht="26.25" thickBot="1">
      <c r="D91" s="7" t="s">
        <v>0</v>
      </c>
      <c r="E91" s="6">
        <f>E88</f>
        <v>1939884577.1500003</v>
      </c>
      <c r="F91" s="6">
        <f>AE88</f>
        <v>70422293.108399943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4">
        <f>AF88</f>
        <v>812975031.3367995</v>
      </c>
      <c r="AF91" s="4">
        <f>AG88</f>
        <v>1126909545.8132005</v>
      </c>
    </row>
  </sheetData>
  <mergeCells count="1">
    <mergeCell ref="A2:L2"/>
  </mergeCell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 tint="0.59999389629810485"/>
    <pageSetUpPr fitToPage="1"/>
  </sheetPr>
  <dimension ref="A2:AG11"/>
  <sheetViews>
    <sheetView zoomScaleSheetLayoutView="118" workbookViewId="0">
      <selection activeCell="F15" sqref="F15"/>
    </sheetView>
  </sheetViews>
  <sheetFormatPr defaultColWidth="9.75" defaultRowHeight="23.25"/>
  <cols>
    <col min="1" max="1" width="9.75" style="1"/>
    <col min="2" max="2" width="34.25" style="1" customWidth="1"/>
    <col min="3" max="3" width="17.375" style="1" customWidth="1"/>
    <col min="4" max="4" width="23.25" style="64" customWidth="1"/>
    <col min="5" max="5" width="16.875" style="1" customWidth="1"/>
    <col min="6" max="6" width="14.875" style="1" customWidth="1"/>
    <col min="7" max="7" width="13.625" style="1" hidden="1" customWidth="1"/>
    <col min="8" max="8" width="12.875" style="1" hidden="1" customWidth="1"/>
    <col min="9" max="9" width="13.625" style="1" hidden="1" customWidth="1"/>
    <col min="10" max="10" width="12" style="1" hidden="1" customWidth="1"/>
    <col min="11" max="11" width="13.75" style="1" hidden="1" customWidth="1"/>
    <col min="12" max="12" width="12.25" style="1" hidden="1" customWidth="1"/>
    <col min="13" max="13" width="12.625" style="1" hidden="1" customWidth="1"/>
    <col min="14" max="14" width="13" style="1" hidden="1" customWidth="1"/>
    <col min="15" max="18" width="12.625" style="1" hidden="1" customWidth="1"/>
    <col min="19" max="19" width="12.375" style="1" hidden="1" customWidth="1"/>
    <col min="20" max="20" width="13.375" style="1" hidden="1" customWidth="1"/>
    <col min="21" max="21" width="12.875" style="1" hidden="1" customWidth="1"/>
    <col min="22" max="22" width="12" style="1" hidden="1" customWidth="1"/>
    <col min="23" max="24" width="12.25" style="1" hidden="1" customWidth="1"/>
    <col min="25" max="25" width="12.875" style="1" hidden="1" customWidth="1"/>
    <col min="26" max="27" width="12.25" style="1" hidden="1" customWidth="1"/>
    <col min="28" max="28" width="0" style="1" hidden="1" customWidth="1"/>
    <col min="29" max="29" width="13" style="1" hidden="1" customWidth="1"/>
    <col min="30" max="30" width="11.25" style="1" hidden="1" customWidth="1"/>
    <col min="31" max="31" width="12.875" style="2" customWidth="1"/>
    <col min="32" max="32" width="16.5" style="2" customWidth="1"/>
    <col min="33" max="33" width="17.75" style="2" customWidth="1"/>
    <col min="34" max="16384" width="9.75" style="1"/>
  </cols>
  <sheetData>
    <row r="2" spans="1:33">
      <c r="A2" s="89" t="s">
        <v>276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33">
      <c r="A3" s="64"/>
      <c r="B3" s="64"/>
      <c r="C3" s="64"/>
      <c r="E3" s="64"/>
      <c r="F3" s="64"/>
      <c r="G3" s="64"/>
      <c r="H3" s="64"/>
      <c r="I3" s="64"/>
      <c r="J3" s="64"/>
      <c r="K3" s="64"/>
      <c r="L3" s="64"/>
    </row>
    <row r="4" spans="1:33">
      <c r="A4" s="63"/>
      <c r="B4" s="63" t="s">
        <v>279</v>
      </c>
      <c r="C4" s="63"/>
      <c r="D4" s="62"/>
    </row>
    <row r="5" spans="1:33">
      <c r="A5" s="12" t="s">
        <v>275</v>
      </c>
      <c r="B5" s="12" t="s">
        <v>274</v>
      </c>
      <c r="C5" s="12"/>
      <c r="D5" s="12" t="s">
        <v>273</v>
      </c>
      <c r="E5" s="12" t="s">
        <v>4</v>
      </c>
      <c r="F5" s="12" t="s">
        <v>272</v>
      </c>
      <c r="G5" s="12" t="s">
        <v>271</v>
      </c>
      <c r="H5" s="12" t="s">
        <v>270</v>
      </c>
      <c r="I5" s="12" t="s">
        <v>269</v>
      </c>
      <c r="J5" s="12" t="s">
        <v>268</v>
      </c>
      <c r="K5" s="12" t="s">
        <v>267</v>
      </c>
      <c r="L5" s="12" t="s">
        <v>266</v>
      </c>
      <c r="M5" s="12" t="s">
        <v>265</v>
      </c>
      <c r="N5" s="12" t="s">
        <v>264</v>
      </c>
      <c r="O5" s="12" t="s">
        <v>263</v>
      </c>
      <c r="P5" s="61" t="s">
        <v>262</v>
      </c>
      <c r="Q5" s="61" t="s">
        <v>261</v>
      </c>
      <c r="R5" s="61" t="s">
        <v>260</v>
      </c>
      <c r="S5" s="60" t="s">
        <v>259</v>
      </c>
      <c r="T5" s="60" t="s">
        <v>258</v>
      </c>
      <c r="U5" s="60" t="s">
        <v>257</v>
      </c>
      <c r="V5" s="59" t="s">
        <v>256</v>
      </c>
      <c r="W5" s="59" t="s">
        <v>255</v>
      </c>
      <c r="X5" s="59" t="s">
        <v>254</v>
      </c>
      <c r="Y5" s="58" t="s">
        <v>253</v>
      </c>
      <c r="Z5" s="58" t="s">
        <v>252</v>
      </c>
      <c r="AA5" s="58" t="s">
        <v>251</v>
      </c>
      <c r="AB5" s="57" t="s">
        <v>250</v>
      </c>
      <c r="AC5" s="57" t="s">
        <v>249</v>
      </c>
      <c r="AD5" s="57" t="s">
        <v>248</v>
      </c>
      <c r="AE5" s="56" t="s">
        <v>247</v>
      </c>
      <c r="AF5" s="56" t="s">
        <v>246</v>
      </c>
      <c r="AG5" s="56" t="s">
        <v>245</v>
      </c>
    </row>
    <row r="6" spans="1:33">
      <c r="A6" s="65">
        <v>1</v>
      </c>
      <c r="B6" s="51" t="s">
        <v>173</v>
      </c>
      <c r="C6" s="66" t="s">
        <v>172</v>
      </c>
      <c r="D6" s="52" t="s">
        <v>171</v>
      </c>
      <c r="E6" s="51">
        <v>11071700</v>
      </c>
      <c r="F6" s="65">
        <v>25</v>
      </c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55">
        <v>0</v>
      </c>
      <c r="AF6" s="55">
        <v>11071699</v>
      </c>
      <c r="AG6" s="55">
        <v>1</v>
      </c>
    </row>
    <row r="7" spans="1:33">
      <c r="A7" s="65">
        <v>2</v>
      </c>
      <c r="B7" s="51" t="s">
        <v>100</v>
      </c>
      <c r="C7" s="68" t="s">
        <v>99</v>
      </c>
      <c r="D7" s="32" t="s">
        <v>98</v>
      </c>
      <c r="E7" s="69">
        <v>3307500</v>
      </c>
      <c r="F7" s="70">
        <v>25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55">
        <v>132300</v>
      </c>
      <c r="AF7" s="55">
        <v>617400</v>
      </c>
      <c r="AG7" s="55">
        <v>2690100</v>
      </c>
    </row>
    <row r="8" spans="1:33">
      <c r="A8" s="10"/>
      <c r="B8" s="10"/>
      <c r="C8" s="10"/>
      <c r="D8" s="12"/>
      <c r="E8" s="11">
        <f>SUM(E6:E7)</f>
        <v>14379200</v>
      </c>
      <c r="F8" s="11">
        <f>SUM(F6:F7)</f>
        <v>50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9">
        <f>SUM(AE6:AE7)</f>
        <v>132300</v>
      </c>
      <c r="AF8" s="9">
        <f>SUM(AF6:AF7)</f>
        <v>11689099</v>
      </c>
      <c r="AG8" s="9">
        <f>SUM(AG6:AG7)</f>
        <v>2690101</v>
      </c>
    </row>
    <row r="10" spans="1:33" ht="24" thickBot="1">
      <c r="E10" s="8" t="s">
        <v>4</v>
      </c>
      <c r="F10" s="8" t="s">
        <v>3</v>
      </c>
      <c r="G10" s="8" t="s">
        <v>2</v>
      </c>
      <c r="H10" s="8" t="s">
        <v>1</v>
      </c>
      <c r="AE10" s="8" t="s">
        <v>2</v>
      </c>
      <c r="AF10" s="8" t="s">
        <v>1</v>
      </c>
    </row>
    <row r="11" spans="1:33" ht="26.25" thickBot="1">
      <c r="D11" s="7" t="s">
        <v>0</v>
      </c>
      <c r="E11" s="6">
        <f>E8</f>
        <v>14379200</v>
      </c>
      <c r="F11" s="6">
        <f>AE8</f>
        <v>132300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4">
        <f>AF8</f>
        <v>11689099</v>
      </c>
      <c r="AF11" s="4">
        <f>AG8</f>
        <v>2690101</v>
      </c>
    </row>
  </sheetData>
  <mergeCells count="1">
    <mergeCell ref="A2:L2"/>
  </mergeCell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อาคารพักอาศัย</vt:lpstr>
      <vt:lpstr>อาคาร เพื่อประโยชน์อื่น</vt:lpstr>
      <vt:lpstr>อาคารสำนักงาน</vt:lpstr>
      <vt:lpstr>'อาคาร เพื่อประโยชน์อื่น'!Print_Area</vt:lpstr>
      <vt:lpstr>อาคารพักอาศัย!Print_Area</vt:lpstr>
      <vt:lpstr>อาคารสำนักงาน!Print_Area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2026-10-08T07:04:02Z</dcterms:created>
  <dcterms:modified xsi:type="dcterms:W3CDTF">2026-10-10T08:17:13Z</dcterms:modified>
</cp:coreProperties>
</file>