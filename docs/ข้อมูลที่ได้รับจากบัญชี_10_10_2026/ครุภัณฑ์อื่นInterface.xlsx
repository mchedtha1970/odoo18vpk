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เครื่องจักรกล Interface" sheetId="2" r:id="rId1"/>
    <sheet name="กีฬา Interface" sheetId="3" r:id="rId2"/>
    <sheet name="โรงงานเครื่องมือ Interface" sheetId="4" r:id="rId3"/>
    <sheet name="ดนตรี Interface)" sheetId="1" r:id="rId4"/>
    <sheet name="การศึกษา Interface" sheetId="5" r:id="rId5"/>
    <sheet name="สิ่งก่อสร้างเครื่องจักรกลInf" sheetId="6" r:id="rId6"/>
  </sheets>
  <definedNames>
    <definedName name="_xlnm._FilterDatabase" localSheetId="4" hidden="1">'การศึกษา Interface'!$A$5:$G$5</definedName>
    <definedName name="_xlnm._FilterDatabase" localSheetId="1" hidden="1">'กีฬา Interface'!$A$5:$E$5</definedName>
    <definedName name="_xlnm._FilterDatabase" localSheetId="0" hidden="1">'เครื่องจักรกล Interface'!$A$5:$E$5</definedName>
    <definedName name="_xlnm._FilterDatabase" localSheetId="2" hidden="1">'โรงงานเครื่องมือ Interface'!$A$5:$E$5</definedName>
    <definedName name="_xlnm._FilterDatabase" localSheetId="5" hidden="1">สิ่งก่อสร้างเครื่องจักรกลInf!#REF!</definedName>
    <definedName name="_xlnm.Print_Area" localSheetId="4">'การศึกษา Interface'!$A$2:$N$19</definedName>
    <definedName name="_xlnm.Print_Area" localSheetId="1">'กีฬา Interface'!$A$2:$L$35</definedName>
    <definedName name="_xlnm.Print_Area" localSheetId="0">'เครื่องจักรกล Interface'!$A$2:$L$6</definedName>
    <definedName name="_xlnm.Print_Area" localSheetId="3">'ดนตรี Interface)'!$A$1:$H$29</definedName>
    <definedName name="_xlnm.Print_Area" localSheetId="2">'โรงงานเครื่องมือ Interface'!$A$2:$L$154</definedName>
  </definedNames>
  <calcPr calcId="124519"/>
</workbook>
</file>

<file path=xl/calcChain.xml><?xml version="1.0" encoding="utf-8"?>
<calcChain xmlns="http://schemas.openxmlformats.org/spreadsheetml/2006/main">
  <c r="E13" i="2"/>
  <c r="F13"/>
  <c r="G13"/>
  <c r="D13"/>
  <c r="D13" i="6"/>
  <c r="E13"/>
  <c r="F13"/>
  <c r="G13"/>
  <c r="H13"/>
  <c r="D17"/>
  <c r="E17"/>
  <c r="F17"/>
  <c r="G17"/>
  <c r="K6" i="5"/>
  <c r="L6"/>
  <c r="M6" s="1"/>
  <c r="N6"/>
  <c r="K7"/>
  <c r="L7"/>
  <c r="M7" s="1"/>
  <c r="N7"/>
  <c r="K8"/>
  <c r="L8"/>
  <c r="M8" s="1"/>
  <c r="N8"/>
  <c r="K9"/>
  <c r="L9"/>
  <c r="M9" s="1"/>
  <c r="N9"/>
  <c r="K10"/>
  <c r="L10"/>
  <c r="M10" s="1"/>
  <c r="N10"/>
  <c r="K11"/>
  <c r="L11"/>
  <c r="M11" s="1"/>
  <c r="N11"/>
  <c r="K12"/>
  <c r="L12"/>
  <c r="M12" s="1"/>
  <c r="N12"/>
  <c r="K13"/>
  <c r="L13"/>
  <c r="M13" s="1"/>
  <c r="N13"/>
  <c r="K14"/>
  <c r="L14"/>
  <c r="M14" s="1"/>
  <c r="N14"/>
  <c r="K15"/>
  <c r="L15"/>
  <c r="M15" s="1"/>
  <c r="N15"/>
  <c r="K16"/>
  <c r="L16"/>
  <c r="M16" s="1"/>
  <c r="N16"/>
  <c r="K17"/>
  <c r="L17"/>
  <c r="M17" s="1"/>
  <c r="N17"/>
  <c r="K18"/>
  <c r="L18"/>
  <c r="M18" s="1"/>
  <c r="N18"/>
  <c r="K19"/>
  <c r="L19"/>
  <c r="M19" s="1"/>
  <c r="N19"/>
  <c r="F60"/>
  <c r="G60"/>
  <c r="H60"/>
  <c r="I60"/>
  <c r="J60"/>
  <c r="F64"/>
  <c r="G64"/>
  <c r="H64"/>
  <c r="I64"/>
  <c r="D155" i="4"/>
  <c r="E155"/>
  <c r="F155"/>
  <c r="G155"/>
  <c r="H155"/>
  <c r="D159"/>
  <c r="E159"/>
  <c r="F159"/>
  <c r="G159"/>
  <c r="D40" i="3"/>
  <c r="H36"/>
  <c r="G40" s="1"/>
  <c r="G36"/>
  <c r="F40" s="1"/>
  <c r="F36"/>
  <c r="E40" s="1"/>
  <c r="E36"/>
  <c r="D36"/>
  <c r="D7" i="2"/>
  <c r="E7"/>
  <c r="F7"/>
  <c r="G7"/>
  <c r="H7"/>
  <c r="D11"/>
  <c r="E11"/>
  <c r="F11"/>
  <c r="G11"/>
  <c r="D32" i="1"/>
  <c r="E32"/>
  <c r="F32"/>
  <c r="G32"/>
  <c r="H32"/>
  <c r="D36"/>
  <c r="E36"/>
  <c r="F36"/>
  <c r="G36"/>
</calcChain>
</file>

<file path=xl/sharedStrings.xml><?xml version="1.0" encoding="utf-8"?>
<sst xmlns="http://schemas.openxmlformats.org/spreadsheetml/2006/main" count="654" uniqueCount="501">
  <si>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</si>
  <si>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</si>
  <si>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</si>
  <si>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</si>
  <si>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</si>
  <si>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7450-008-0001/64(60)</t>
  </si>
  <si>
    <t>ชนิด 1700009ขาไฮเอด</t>
  </si>
  <si>
    <t>7450-008-0001/63(60)</t>
  </si>
  <si>
    <t>ชนิด 1700009 สแนร์</t>
  </si>
  <si>
    <t>7715-001-0001/2(59)</t>
  </si>
  <si>
    <t>ชนิด 1700009 ระนาดเอกฝังตรา สธ.</t>
  </si>
  <si>
    <t>7715-005-0002/3(58)</t>
  </si>
  <si>
    <t>ชนิด 1700023ซอด้วงไม้มะเกลือ (1/9/2558)</t>
  </si>
  <si>
    <t>7715-005-0002/2(58)</t>
  </si>
  <si>
    <t>7715-007-0001/2(58)</t>
  </si>
  <si>
    <t>ชนิด 1700012 ขิมคางหมู หย่องไม้ชิงชัน (1/9/2558)</t>
  </si>
  <si>
    <t>7715-005-0003/3(58)</t>
  </si>
  <si>
    <t>ชนิด 1700022ซออู้ไม้มะเกลือ (1/9/2558)</t>
  </si>
  <si>
    <t>7715-005-0003/2(58)</t>
  </si>
  <si>
    <t>7715-008-0001/2(58)</t>
  </si>
  <si>
    <t>ชนิด 1700011 ฆ้องวงเล็กพร้อมลูกทองเหลือง (1/9/2558)</t>
  </si>
  <si>
    <t>7710-009-0003/1(56)</t>
  </si>
  <si>
    <t>ชนิด 1700021 เอฟเฟคกีต้าร์แบบแผง (16/9/2556)</t>
  </si>
  <si>
    <t>7715-018-0001/1(56)</t>
  </si>
  <si>
    <t>ชนิด 1700020 กระจังโหม่งพร้อมลูก (22/1/2556)</t>
  </si>
  <si>
    <t>7715-010-0002/1(56)</t>
  </si>
  <si>
    <t>ชนิด 1700017 กลองแขก (22/1/2556)</t>
  </si>
  <si>
    <t>7715-006-0001/1(56)</t>
  </si>
  <si>
    <t>ชนิด 1700013 จะเข้ (22/1/2556)</t>
  </si>
  <si>
    <t>7715-007-0001/1(56)</t>
  </si>
  <si>
    <t>ชนิด 1700012 ขิม (22/1/2556)</t>
  </si>
  <si>
    <t>7715-008-0001/1(56)</t>
  </si>
  <si>
    <t>ชนิด 1700011 ฆ้องวงใหญ่ (22/1/2556)</t>
  </si>
  <si>
    <t>7715-001-0002/1(56)</t>
  </si>
  <si>
    <t>ชนิด 1700010 ระนาดทุ้มพร้อมผืน (22/1/2556)</t>
  </si>
  <si>
    <t>7715-001-0001/1(56)</t>
  </si>
  <si>
    <t>ชนิด 1700009 ระนาดเอกพร้อมผืน (22/1/2556)</t>
  </si>
  <si>
    <t>7730-014-0001/1(56)</t>
  </si>
  <si>
    <t>ชนิด 1700006 เครื่องมิกเซอร์ (21/12/2555)</t>
  </si>
  <si>
    <t>7740-006-0001/1(56)</t>
  </si>
  <si>
    <t>ชนิด 1700005 Power Mixer tada+ลำโพงร้องและขาตั้ง NPE พร้อมชุดไมค์ร้อง (13/12/2555)</t>
  </si>
  <si>
    <t>7710-036-0001/1(56)</t>
  </si>
  <si>
    <t>ชนิด 1700004 คีย์บอร์ด (13/12/2555)</t>
  </si>
  <si>
    <t>7710-006-0001/1(56)</t>
  </si>
  <si>
    <t>ชนิด 1700003 กลองชุด (13/12/2555)</t>
  </si>
  <si>
    <t>7710-009-0002/3(56)</t>
  </si>
  <si>
    <t>ชนิด 1700002 ตู้ลำโพงกีต้าร์ (13/12/2555)</t>
  </si>
  <si>
    <t>7710-009-0002/2(56)</t>
  </si>
  <si>
    <t>7710-009-0002/1(56)</t>
  </si>
  <si>
    <t>7710-009-0001/3(56)</t>
  </si>
  <si>
    <t>ชนิด 1700001 กีต้าร์ (13/12/2555)</t>
  </si>
  <si>
    <t>7710-009-0001/2(56)</t>
  </si>
  <si>
    <t>7710-009-0001/1(56)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</si>
  <si>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</si>
  <si>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</si>
  <si>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</si>
  <si>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</si>
  <si>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</si>
  <si>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</si>
  <si>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</si>
  <si>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ประเภทครุภัณฑ์ ดนตรี</t>
  </si>
  <si>
    <t>รายงานค่าเสื่อมประจำปีโรงพยาบาลวชิระภูเก็ต</t>
  </si>
  <si>
    <t>5410-001-0001/1(54) 10/5/2554</t>
  </si>
  <si>
    <t>ชนิด 0920009 เครื่องผลิตไบโอดีเซล</t>
  </si>
  <si>
    <t>ประจำปี70</t>
  </si>
  <si>
    <t>ประเภทครุภัณฑ์ โรงงานและเครื่องจักรกล</t>
  </si>
  <si>
    <t>ประเภทครุภัณฑ์  กีฬาและกายภาพ</t>
  </si>
  <si>
    <t>ชนิด 1600003 เครื่องดึงหลัง (13/7/2554)</t>
  </si>
  <si>
    <t xml:space="preserve">6530-004-0005/10(54)  </t>
  </si>
  <si>
    <t xml:space="preserve">6530-004-0005/11(54)   </t>
  </si>
  <si>
    <t>ชนิด 160014 โต๊ะปิงปอง (30/7/55)</t>
  </si>
  <si>
    <t>7110-001-0001/262(55)</t>
  </si>
  <si>
    <t>ชนิด 160014 จักรยานออกกำลังกาย (30/8/55)</t>
  </si>
  <si>
    <t>6530-034-4001/4(55)</t>
  </si>
  <si>
    <t>ชนิด 1600014 โต๊ะปิงปอง (5/12/55)</t>
  </si>
  <si>
    <t>7110-008-0001/2(56)</t>
  </si>
  <si>
    <t>ชนิด 1600011 ลู่วิ่งไฟฟ้า (7/3/56)</t>
  </si>
  <si>
    <t>6530-004-1381/1(56)</t>
  </si>
  <si>
    <t>6530-004-1381/2(56)</t>
  </si>
  <si>
    <t>ชนิด 1600015 จักรยานออกกำลังกาย (6/6/56)</t>
  </si>
  <si>
    <t>6530-038-4001/4(56)</t>
  </si>
  <si>
    <t>6530-038-4001/5(56)</t>
  </si>
  <si>
    <t>ชนิด 1600022 เครื่องคำนวณไนโตรเจนในร่างกาย (9/8/56)</t>
  </si>
  <si>
    <t>6515-026-1003/3(56)</t>
  </si>
  <si>
    <t>ชนิด 1600024 เครื่องกระตุ้นกล้ามเนื้อด้วยไฟฟ้า ชนิดอินเตอร์เฟอเรนซ์และเรนซ์ รุ่น ENDOMED 182 (15/11/2556)</t>
  </si>
  <si>
    <t>6530-004-1101/1(57)</t>
  </si>
  <si>
    <t>ชนิด 1600015 จักรยานปั่นมือและเท้า รุ่น Resistive Pedal Exerciser แบบปรับแรงด้านได้ (26/11/2556)</t>
  </si>
  <si>
    <t>6530-038-4001/6(57)</t>
  </si>
  <si>
    <t>ชนิด 1600015 จักรยานนั่งปั่น รุ่น H692 (17/2/2557)</t>
  </si>
  <si>
    <t>6530-038-4001/7(57)</t>
  </si>
  <si>
    <t>6530-038-4001/8(57)</t>
  </si>
  <si>
    <t>ชนิด 1600024 เครื่องสั่นสะเทือน (มินิสลิม) รุ่น S0108 (17/2/2557)</t>
  </si>
  <si>
    <t>6530-004-1108/1(57)</t>
  </si>
  <si>
    <t>ชนิด 1600011 ลู่วิ่งไฟฟ้า รุ่น F1-NEW (1/10/57)</t>
  </si>
  <si>
    <t>6530-004-1381/3(58)</t>
  </si>
  <si>
    <t>ชนิด 1600001 อุปกรณ์ฝึกกล้ามเนื้อ รุ่น HG-3001 (1/10/57)</t>
  </si>
  <si>
    <t>6530-004-1382/1(58)</t>
  </si>
  <si>
    <t>ชนิด 1600006 เครื่องฝึกการทรงตัว รุ่น Balance Trainer (10/10/57)</t>
  </si>
  <si>
    <t>6530-004-1310/1(58)</t>
  </si>
  <si>
    <t>ชนิด 1600011 ลู่วิ่งไฟฟ้า รุ่น GT-2000 T-200V (10/10/57)</t>
  </si>
  <si>
    <t>6530-004-1381/4(58)</t>
  </si>
  <si>
    <t>ชนิด 1600012 บ้านกระดานลื่นเห็ด</t>
  </si>
  <si>
    <t>6530-003-4002/3(59)</t>
  </si>
  <si>
    <t>ชนิด 1600012 กระดานลื่นผลไม้รวม แบรนด์ LERADO</t>
  </si>
  <si>
    <t>6530-003-4002/2(59)</t>
  </si>
  <si>
    <t>ชนิด 1600013 บ้านน้อย 2 ชั้น</t>
  </si>
  <si>
    <t>6530-003-4002/1(59)</t>
  </si>
  <si>
    <t>ชนิด 1600014 อุโมงค์ด้วงมหัศจรรย์ เกรด A</t>
  </si>
  <si>
    <t>6530-003-4002/4(59)</t>
  </si>
  <si>
    <t>ชนิด 1600011 ลู่วิ่งสำหรับออกกำลังกาย ยี่ห้อ True Fitness PS 100 Treadmill</t>
  </si>
  <si>
    <t>6530-001-1381/6(60)</t>
  </si>
  <si>
    <t>ชนิด 1600011 ลู่วิ่งสำหรับออกกำลังกาย ยี่ห้อ TREADMILL รุ่น RT500</t>
  </si>
  <si>
    <t>6530-001-1381/1(61)</t>
  </si>
  <si>
    <t>6530-001-1381/2(61)</t>
  </si>
  <si>
    <t>6530-001-1381/3(61)</t>
  </si>
  <si>
    <t>เครื่องก้าวเดินในอากาศ</t>
  </si>
  <si>
    <t>6530-001-1382/4(68)บ</t>
  </si>
  <si>
    <t>6530-001-1382/5(68)บ</t>
  </si>
  <si>
    <t>เครื่องออกกำลังกายอัจฉริยะ Gym Monster 2</t>
  </si>
  <si>
    <t>6530-001-1381/1(69)</t>
  </si>
  <si>
    <t>3750-002-0001/1(69)</t>
  </si>
  <si>
    <t>เครื่องย่อยกิ่งไม้</t>
  </si>
  <si>
    <t>3413-001-0002/1(69)</t>
  </si>
  <si>
    <t>เครื่องเจียรไร้สาย</t>
  </si>
  <si>
    <t>4310-001-0002/3(69)บ</t>
  </si>
  <si>
    <t>แอร์ดรายเยอร์/SN:K24A640601003</t>
  </si>
  <si>
    <t>4310-001-0002/1(69)บ</t>
  </si>
  <si>
    <t>ปั๊มลม/SN:24120017</t>
  </si>
  <si>
    <t>4310-001-0002/2(69)บ</t>
  </si>
  <si>
    <t>ปั๊มลม/SN:23131630</t>
  </si>
  <si>
    <t>4310-001-0008/2(67)</t>
  </si>
  <si>
    <t>ปั๊มไดโว่และถังเคมี</t>
  </si>
  <si>
    <t>4310-001-0008/1(67)</t>
  </si>
  <si>
    <t>ปั๊มได่โว่</t>
  </si>
  <si>
    <t>3413-001-0001/11(67)</t>
  </si>
  <si>
    <t>สว่านโรตารี่ไร้สาย</t>
  </si>
  <si>
    <t>4310-004-0003/4(67)</t>
  </si>
  <si>
    <t>ปั๊มเติมอากาศ</t>
  </si>
  <si>
    <t>4310-004-0003/3(67)</t>
  </si>
  <si>
    <t>4310-004-0003/2(67)</t>
  </si>
  <si>
    <t>4310-004-0003/1(67)</t>
  </si>
  <si>
    <t>4310-001-0002/6(67)</t>
  </si>
  <si>
    <t>ปั๊มลม 2 ลูกสูบ</t>
  </si>
  <si>
    <t>3418-002-0001/1(67)</t>
  </si>
  <si>
    <t>รถกระเช้าไฟฟ้า</t>
  </si>
  <si>
    <t>3431-002-0006/1(67)</t>
  </si>
  <si>
    <t>ถังแรงดันปั๊มน้ำไดอะแฟรม ขนาด 500 ลิตร</t>
  </si>
  <si>
    <t>7910-001-0001/2(67)</t>
  </si>
  <si>
    <t>เครื่องขัดพื้น</t>
  </si>
  <si>
    <t>7910-001-0001/1(67)</t>
  </si>
  <si>
    <t>4910-024-0005/1(67)</t>
  </si>
  <si>
    <t>กล้องตรวจจับความร้อน</t>
  </si>
  <si>
    <t>3413-001-0001/7(67)</t>
  </si>
  <si>
    <t>5180-003-0011/1(67)</t>
  </si>
  <si>
    <t>ถังเก็บน้ำ ขนาด 5000 ลิตร</t>
  </si>
  <si>
    <t>4310-001-0002/4(67)</t>
  </si>
  <si>
    <t>ปั๊มลม 3 ลูกสูบ+มอเตอร์</t>
  </si>
  <si>
    <t>4310-001-0002/3(67)</t>
  </si>
  <si>
    <t>4310-001-0002/2(67)</t>
  </si>
  <si>
    <t>ปั๊มลมเครื่องอบฆ่าเชื้อ</t>
  </si>
  <si>
    <t>3413-001-0001/3(67)</t>
  </si>
  <si>
    <t>สว่านโรตารี่แบตเตอรี่ ขนาด 18 โวลต์</t>
  </si>
  <si>
    <t>4310-001-0002/1(67)</t>
  </si>
  <si>
    <t>ปั๊มลม 2 ลูกสูบ+มอเตอร์</t>
  </si>
  <si>
    <t>3413-001-0001/3(66)</t>
  </si>
  <si>
    <t>4310-001-0008/3(66)</t>
  </si>
  <si>
    <t>ปั๊มคลอรีน ขนาด 220 โวลต์</t>
  </si>
  <si>
    <t>3413-001-0001/2(66)</t>
  </si>
  <si>
    <t>สว่านโรตารี่ 3 ระบบ</t>
  </si>
  <si>
    <t>4310-001-0008/2(66)</t>
  </si>
  <si>
    <t>ปั๊มน้ำไดโว่บ่อบำบัดน้ำเสีย 380 V.</t>
  </si>
  <si>
    <t>6520-008-0001/1(66)</t>
  </si>
  <si>
    <t>ปั้มลม 2 ลูก สูบ+มอเตอร์</t>
  </si>
  <si>
    <t>5410-005-0001/3(66)</t>
  </si>
  <si>
    <t>เต้นท์ผ้าใบ</t>
  </si>
  <si>
    <t>5410-005-0001/2(66)</t>
  </si>
  <si>
    <t>5410-005-0001/1(66)</t>
  </si>
  <si>
    <t>7490-016-0002/1(66)</t>
  </si>
  <si>
    <t>เครื่องไม้กั้นทางเข้า-ออก บริเวณอาคารบ้านพักแพทย์</t>
  </si>
  <si>
    <t>3220-003-0004/1(66)</t>
  </si>
  <si>
    <t xml:space="preserve">โต๊ะเลื่อย </t>
  </si>
  <si>
    <t>4130-008-0006/1(66)</t>
  </si>
  <si>
    <t xml:space="preserve">ปั๊มฉีดน้ำแรงดันสูง </t>
  </si>
  <si>
    <t>4310-001-0008/1(66)</t>
  </si>
  <si>
    <t>ปั๊มสูบจ่ายสารเคมี คลอรีน 10%</t>
  </si>
  <si>
    <t>4310-001-0001/2(66)</t>
  </si>
  <si>
    <t>ปั๊มน้ำ ขนาด 220 โวลต์</t>
  </si>
  <si>
    <t>4310-001-0001/1(66)</t>
  </si>
  <si>
    <t>2930-001-0001/1(66)</t>
  </si>
  <si>
    <t>เครื่องสูบน้ำ แรงดันสูง พร้อมติดตั้งระบบประปา สำหรับโรงพยาบาลวชิระภูเก็ต</t>
  </si>
  <si>
    <t>5130-008-0003/1(65)</t>
  </si>
  <si>
    <t>แม็กยิงตะปูไร้สาย 35 มิล 1</t>
  </si>
  <si>
    <t>4310-004-0003/2(65)</t>
  </si>
  <si>
    <t>ปั๊มเติมอากาศ ขนาด 40 ลิตร/นาที</t>
  </si>
  <si>
    <t>4310-004-0003/1(65)</t>
  </si>
  <si>
    <t>ปั๊มเติมอากาศ ขนาด 50 ลิตร/นาที</t>
  </si>
  <si>
    <t>3431-002-0003/1(65)</t>
  </si>
  <si>
    <t>เครื่องเชื่อม  ยี่ห้อ TIG200</t>
  </si>
  <si>
    <t>4310-001-0001/2(65)</t>
  </si>
  <si>
    <t>ปั๊มน้ำ ขนาด 220 โวล์</t>
  </si>
  <si>
    <t>4310-001-0008/4(65)</t>
  </si>
  <si>
    <t>ปั๊มจ่ายน้ำเคมี</t>
  </si>
  <si>
    <t>4310-001-0008/3(65)</t>
  </si>
  <si>
    <t>ปั๊มฟีดคลอรีน</t>
  </si>
  <si>
    <t>4310-001-0001/1(65)</t>
  </si>
  <si>
    <t>ปั๊มน้ำ ขนาด มอเตอร์ 1.2 กิโลวัตต์ รุ่น CMA5-5</t>
  </si>
  <si>
    <t>4310-001-0008/1(65)</t>
  </si>
  <si>
    <t>ปั๊มฟีด+ถังPE 100 ลิตร Prominent</t>
  </si>
  <si>
    <t>6710-001-0005/1(64)</t>
  </si>
  <si>
    <t>ชนิด 09010025 เครื่องระบบสุญญากาศ(Vacuum Pump)ขนาดไม่น้อยกว่า2.2 KW</t>
  </si>
  <si>
    <t>6520-008-0001/3(64)</t>
  </si>
  <si>
    <t>ชนิด 09010001 ปั้มลมออยฟรี 3 แรง 100 ลิตร</t>
  </si>
  <si>
    <t>4310-001-0008/2(64)</t>
  </si>
  <si>
    <t xml:space="preserve">ชนิด 09010001 ปั๊มฟีด 200 ลิตร ยี่ห้อ Prominent 
</t>
  </si>
  <si>
    <t>4310-001-0008/1(64)</t>
  </si>
  <si>
    <t>5130-008-0003/2(63)</t>
  </si>
  <si>
    <t>ชนิด 09010001 เครื่องแก้ไขสิ่งอุดตันในท่อน้ำ(ยิงท่อ)</t>
  </si>
  <si>
    <t>5130-008-0003/1(63)</t>
  </si>
  <si>
    <t>6520-008-0001/3(63)</t>
  </si>
  <si>
    <t>ชนิด 09010001 ปั้มลมเสียงเงียบ ขนาด100ลิตร ยี่ห้อ PUMA รุ่น PS-40100</t>
  </si>
  <si>
    <t>4310-001-0008/2(63)</t>
  </si>
  <si>
    <t>ชนิด 09010001 ปั๊มฟีด+ถัง PE 200 ลิตร รุ่น BK-09-07-M</t>
  </si>
  <si>
    <t>4310-001-0008/1(63)</t>
  </si>
  <si>
    <t>4310-001-0001/1(63)</t>
  </si>
  <si>
    <t>ชนิด 09010001 ปั๊มน้ำFairbangs Morse.3HP พร้อมอุปกรณ์ครบชุด</t>
  </si>
  <si>
    <t>6520-008-0001/2(62)</t>
  </si>
  <si>
    <t>ชนิด 09010001 ปั๊มลมโรตารี ขนาด 40 ลิตร</t>
  </si>
  <si>
    <t>6520-008-0001/1(62)</t>
  </si>
  <si>
    <t>3750-002-0002/2(62)</t>
  </si>
  <si>
    <t>ชนิด 0910006 เครื่องตัดหญ้า ยี่ห้อ NODA รุ่น ND-35</t>
  </si>
  <si>
    <t>4910-038-0001/1(62)</t>
  </si>
  <si>
    <t>ชนิด 09010002 เครื่องฉีดน้ำแรงดันสูง ยี่ห้อ AR Zinasno รุ่น XMT 11.15 150 บาร์</t>
  </si>
  <si>
    <t>4310-001-0001/1(62)</t>
  </si>
  <si>
    <t>ชนิด 09010001 ปั๊มน้ำ ยี่ห้อ MIZUBISHI รุ่น WP305Q5</t>
  </si>
  <si>
    <t>5210-001-0001/10(62)</t>
  </si>
  <si>
    <t>ชนิด 0910007 มอเตอร์ประสิทธิภาพสูง</t>
  </si>
  <si>
    <t>5210-001-0001/9(62)</t>
  </si>
  <si>
    <t>4910-008-0001/3(62)</t>
  </si>
  <si>
    <t>ชนิด 0910006 ระบบทำความสะอาดเดนเซอร์</t>
  </si>
  <si>
    <t>4910-008-0001/4(62)</t>
  </si>
  <si>
    <t>3510-012-0004/6(62)</t>
  </si>
  <si>
    <t>ชนิด 0910005 เครื่องกำเนิดไอน้ำ</t>
  </si>
  <si>
    <t>3510-012-0004/5(62)</t>
  </si>
  <si>
    <t>3510-012-0004/4(62)</t>
  </si>
  <si>
    <t>4310-001-0004/3(62)</t>
  </si>
  <si>
    <t>ชนิด 0910004 เครื่อง Magnetic Beairng</t>
  </si>
  <si>
    <t>5210-001-0001/8(62)</t>
  </si>
  <si>
    <t>5210-001-0001/7(62)</t>
  </si>
  <si>
    <t>5210-001-0001/6(62)</t>
  </si>
  <si>
    <t>5210-001-0001/5(62)</t>
  </si>
  <si>
    <t>5210-001-0001/4(62)</t>
  </si>
  <si>
    <t>5210-001-0001/3(62)</t>
  </si>
  <si>
    <t>5210-001-0001/2(62)</t>
  </si>
  <si>
    <t>5210-001-0001/1(62)</t>
  </si>
  <si>
    <t>4910-008-0001/1(62)</t>
  </si>
  <si>
    <t>4910-008-0001/2(62)</t>
  </si>
  <si>
    <t>3510-012-0004/3(62)</t>
  </si>
  <si>
    <t>3510-012-0004/2(62)</t>
  </si>
  <si>
    <t>3510-012-0004/1(62)</t>
  </si>
  <si>
    <t>4310-001-0004/2(62)</t>
  </si>
  <si>
    <t>4310-001-0004/1(62)</t>
  </si>
  <si>
    <t>3510-009-0008/1(61)</t>
  </si>
  <si>
    <t>ชนิด 09010001 ถังแรงดันไฮโดรไลน์ ขนาด 500 ลิตร</t>
  </si>
  <si>
    <t>4310-001-0001/1(61)</t>
  </si>
  <si>
    <t>ชนิด 09010001 เครื่องสูบน้ำ ยี่ห้อ ShinMaywa รุ่น CN80</t>
  </si>
  <si>
    <t>3413-001-0001/3(61)</t>
  </si>
  <si>
    <t>ชนิด 09010003 สว่านโรตารี่ ยี่ห้อ MAKITA รุ่น HR2470FX5</t>
  </si>
  <si>
    <t>3413-001-0001/2(61)</t>
  </si>
  <si>
    <t>ชนิด 09010003 สว่านไขควงไฟฟ้า ยี่ห้อ Makita รุ่น 6952</t>
  </si>
  <si>
    <t>3413-001-0001/5(60)</t>
  </si>
  <si>
    <t>ชนิด 09010003 สว่านโรตารี่  ยี่ห้อ MAKITA รุ่น HR2470FTX5</t>
  </si>
  <si>
    <t>3431-002-0004/4(60)</t>
  </si>
  <si>
    <t>ชนิด 0920001 ตู้เชื่อมไฟบ้าน รุ่น MMA185HDPE</t>
  </si>
  <si>
    <t>4310-001-0001/39(60)</t>
  </si>
  <si>
    <t>ชนิด 09010001 ปั๊มสูบ Promlnent Fluld Control NNPA 0309</t>
  </si>
  <si>
    <t>4310-001-0001/38(60)</t>
  </si>
  <si>
    <t>ชนิด 09010001 ปั๊มแช่ ยี่ห้อ MARUSHIMA รุ่น CR1000</t>
  </si>
  <si>
    <t>4310-001-0001/37(60)</t>
  </si>
  <si>
    <t>4310-001-0001/36(60)</t>
  </si>
  <si>
    <t>ชนิด 09010001 ปั๊มหอยโข่ง CT80-T 3HP 2.2KW 380V</t>
  </si>
  <si>
    <t>7490-016-0002/1(60)</t>
  </si>
  <si>
    <t>ชนิด 09010006 ไม้กั้นทางเข้า-ออก</t>
  </si>
  <si>
    <t>3220-008-0005/2(60)</t>
  </si>
  <si>
    <t>ชนิด 09010005 เครื่องวัดระยะแนว 3 เส้น ยี่ห้อ BOSCH รุ่น GLL3-15 (ระยะ 15 เมตร)</t>
  </si>
  <si>
    <t>4310-001-0001/35(60)</t>
  </si>
  <si>
    <t xml:space="preserve">ชนิด 09010001 ปั๊มหอยโข่ง รุ่น CM-80 2" </t>
  </si>
  <si>
    <t>4310-001-0001/34(59)</t>
  </si>
  <si>
    <t>ชนิด 09010001 ปั๊มแช่ ยี่ห้อ MARUSHIMA รุ่น CR400SN 400W</t>
  </si>
  <si>
    <t>3220-008-0005/1(59)</t>
  </si>
  <si>
    <t>ชนิด 09010005 เครื่องเลเซอร์วัดระยะ 50 เมตร ยี่ห้อ BOSCH รุ่น GLM51</t>
  </si>
  <si>
    <t>4310-001-0001/33(59)</t>
  </si>
  <si>
    <t>ชนิด 09010001 เครื่องสูบน้ำมิตซูบิชิ รุ่น EP-205Q6</t>
  </si>
  <si>
    <t>4310-001-0001/32(59)</t>
  </si>
  <si>
    <t>ชนิด 09010001 ปั๊มน้ำ FC 25-2C 2HP 220V</t>
  </si>
  <si>
    <t>4310-001-0001/31(59)</t>
  </si>
  <si>
    <t>3320-009-0004/1(59)</t>
  </si>
  <si>
    <t>ชนิด 0920004 เครื่องลับคม ยี่ห้อ Tormek T-8</t>
  </si>
  <si>
    <t>3320-003-0004/2(59)</t>
  </si>
  <si>
    <t>ชนิด 0920003 เครื่องเลื่อยโซ่ยนต์ ยี่ห้อ STIHL MS250 เครื่องยนต์ 3 แรงม้า</t>
  </si>
  <si>
    <t>4310-001-0001/30(59)</t>
  </si>
  <si>
    <t>ชนิด 09010002 เครื่องฉีดน้ำแรงดันสูง K-HD6/15C KARCHER HD-6/15C</t>
  </si>
  <si>
    <t>3413-001-0001/3(58)</t>
  </si>
  <si>
    <t>ชนิด 09010003 สว่านโรตารี่ 3 ระบบ ยี่ห้อ BOSCH รุ่น GBH-2-26D (28/8/2558)</t>
  </si>
  <si>
    <t>3413-001-0001/2(58)</t>
  </si>
  <si>
    <t>ชนิด 09010003 สว่านไขควงน็อตหกเหลี่ยม ยี่ห้อ MAKITA  รุ่น 6952 (15/6/2558)</t>
  </si>
  <si>
    <t>4310-001-0001/28(58)</t>
  </si>
  <si>
    <t>ชนิด 09010001 ปั๊มแช่ ยี่ห้อ ZUSHITA QDX10-15-0.75 750W (25/3/2558)</t>
  </si>
  <si>
    <t>5110-013-0005/1(58)</t>
  </si>
  <si>
    <t>ชนิด 0921001 ตู้เครื่องตัดไฟเบอร์ ขนาด14 นิ้ว ยี่ห้อ MAKITA รุ่น 2414 NB (19/3/2558)</t>
  </si>
  <si>
    <t>3431-002-0004/1(58)</t>
  </si>
  <si>
    <t>ชนิด 0920001 ตู้เชื่อมอินเวสเตอร์ ขนาด 60 แอมป์ JASIC Model : ARC160 (19/3/2558)</t>
  </si>
  <si>
    <t>4310-001-0001/27(58)</t>
  </si>
  <si>
    <t>ชนิด 09010001 ปั๊มถัง MIZUBISHI (17/3/2558)</t>
  </si>
  <si>
    <t>3413-001-0001/1(58)</t>
  </si>
  <si>
    <t>ชนิด 09010003 สว่านโรตารี่ 3 ระบบ ยี่ห้อ MAKITA รุ่น HR2470F (26/2/2558)</t>
  </si>
  <si>
    <t>4310-001-0001/26(58)</t>
  </si>
  <si>
    <t>ชนิด 09010001 ปั๊มDW 40/075 1 HP 380V (23/12/2557)</t>
  </si>
  <si>
    <t>4310-001-0001/25(58)</t>
  </si>
  <si>
    <t>ชนิด 09010002 เครื่องฉีดน้ำแรงดันสูง ยี่ห้อ Zinsano รุ่น VIP BLU 610  (27/10/2557)</t>
  </si>
  <si>
    <t>4310-001-0001/24(58)</t>
  </si>
  <si>
    <t>4310-001-0001/23(58)</t>
  </si>
  <si>
    <t>ชนิด 09010001 ปั๊มลม PUMA PP-1 1/4 HP 36 ลิตร (20/10/2557)</t>
  </si>
  <si>
    <t>3220-003-0004/1(57)</t>
  </si>
  <si>
    <t>ชนิด 0920003 เลื่อยจิ๊กซอ ยี่ห้อ Makita (24/7/2557)</t>
  </si>
  <si>
    <t>4310-001-0001/21(57)</t>
  </si>
  <si>
    <t>ชนิด 09010002 ปั๊มน้ำ "GRUNSOF" (7/7/2557)</t>
  </si>
  <si>
    <t>4310-001-0001/20(57)</t>
  </si>
  <si>
    <t>ชนิด 09010002 ปั้มแช่ CLINTON (2/7/2557)</t>
  </si>
  <si>
    <t>3431-002-0003/1(57)</t>
  </si>
  <si>
    <t>ชนิด 0920001 เครื่องเชื่อม (5/6/2557)</t>
  </si>
  <si>
    <t>4310-001-0001/19(57)</t>
  </si>
  <si>
    <t>ชนิด 09010002 ปั๊มน้ำ  (26/12/2556)</t>
  </si>
  <si>
    <t>4310-001-0004/1(57)</t>
  </si>
  <si>
    <t>ชนิด 09010002 ปั๊มน้ำ Loc-TG001 Air compressor oiless 3HP SN.5426959  (24/12/2556)</t>
  </si>
  <si>
    <t>4310-001-0001/22(57)</t>
  </si>
  <si>
    <t>ชนิด 09010002 ปั๊มน้ำ  (12/12/2556)</t>
  </si>
  <si>
    <t>4310-001-0001/17(57)</t>
  </si>
  <si>
    <t>ชนิด 09010002 ปั๊มน้ำ Grundfos Pump Model CR3-27c/w 22 Kw 380 v P/N 96516667  (20/11/2556)</t>
  </si>
  <si>
    <t>4310-001-0001/18(57)</t>
  </si>
  <si>
    <t>ชนิด 09010002 ปั๊มน้ำดูดโคลน STL ขนาด 2"*400W อาว่าน่า KSV-401 (8/10/2556)</t>
  </si>
  <si>
    <t>4310-001-0001/16(57)</t>
  </si>
  <si>
    <t>ชนิด 09010002 ปั้มแช่ HYDROMAX37-4-0.75  (2/10/2556)</t>
  </si>
  <si>
    <t>4310-001-0001/17(56)</t>
  </si>
  <si>
    <t>ชนิด 09010002 NAKOTA 2' NS-4055 (18/9/2556)</t>
  </si>
  <si>
    <t>4310-001-0001/16(56)</t>
  </si>
  <si>
    <t>ชนิด 09010002 ปั๊มแช่ HYDROMAX 3' SPA37-4-0.75 (18/9/2556)</t>
  </si>
  <si>
    <t>4310-001-0001/15(56)</t>
  </si>
  <si>
    <t>ชนิด 09010002 ปั๊มน้ำ (21/8/2556)</t>
  </si>
  <si>
    <t>4310-001-0001/14(56)</t>
  </si>
  <si>
    <t>ชนิด 09010002 ปั๊มน้ำ (21/5/2556)</t>
  </si>
  <si>
    <t>4310-001-0001/13(56)</t>
  </si>
  <si>
    <t>ชนิด 09010002 ปั๊มน้ำ (29/4/2556)</t>
  </si>
  <si>
    <t>4310-001-0001/12(56)</t>
  </si>
  <si>
    <t>ชนิด 09010002 ปั๊มน้ำ (21/3/2556)</t>
  </si>
  <si>
    <t>4310-001-0001/10(56)</t>
  </si>
  <si>
    <t>ชนิด 09010002 ปั๊มน้ำ (24/12/2555)</t>
  </si>
  <si>
    <t>4310-001-0001/11(56)</t>
  </si>
  <si>
    <t>ชนิด 09010002 ปั๊มน้ำ (12/12/2555)</t>
  </si>
  <si>
    <t>4310-001-0001/9(56)</t>
  </si>
  <si>
    <t>ชนิด 09010002 ปั๊มน้ำ (8/10/2555)</t>
  </si>
  <si>
    <t>4310-001-0001/8(55)</t>
  </si>
  <si>
    <t>ชนิด 0910002 ปั๊มน้ำ (14/9/2555)</t>
  </si>
  <si>
    <t>5181-003-0001/2(55)</t>
  </si>
  <si>
    <t>ชนิด 0910036 ถังกรองสระน้ำ (12/7/2555)</t>
  </si>
  <si>
    <t>4310-001-0001/10(55)</t>
  </si>
  <si>
    <t>09400009 ปั๊มลม (8/5/2555)</t>
  </si>
  <si>
    <t>5181-003-0001/1(55)</t>
  </si>
  <si>
    <t>ชนิด 0910035 ถังกรองทราย (4/5/2555)</t>
  </si>
  <si>
    <t>4310-001-0001/7(55)</t>
  </si>
  <si>
    <t>ชนิด 0910002 ปั๊มน้ำ (14/12/2554)</t>
  </si>
  <si>
    <t xml:space="preserve">4310-001-0001/6(55) </t>
  </si>
  <si>
    <t>ชนิด 0910002 ปั๊มน้ำ (15/11/2554)</t>
  </si>
  <si>
    <t xml:space="preserve">4310-001-0001/5(55) </t>
  </si>
  <si>
    <t>ชนิด 0910002 ปั๊มน้ำ (10/11/2554)</t>
  </si>
  <si>
    <t xml:space="preserve">3413-001-0003/5(54) </t>
  </si>
  <si>
    <t>ชนิด 0910020 สว่านไฟฟ้า (23/6/54)</t>
  </si>
  <si>
    <t xml:space="preserve">3413-001-0003/4(54) </t>
  </si>
  <si>
    <t>ชนิด 0910020 สว่านไฟฟ้า (27/4/54)</t>
  </si>
  <si>
    <t xml:space="preserve">3413-001-0003/3(54) </t>
  </si>
  <si>
    <t xml:space="preserve">5310-001-0001/1(54) </t>
  </si>
  <si>
    <t>ชนิด 0910032 เครื่องเป่าลม (30/10/53)</t>
  </si>
  <si>
    <t>ประเภทครุภัณฑ์ โรงงานเครื่องมือและอุปกรณ์</t>
  </si>
  <si>
    <t>6692-001-0001/1(69)</t>
  </si>
  <si>
    <t>โครงกระดูกมนุษย์ ขนาด 180 ซม.</t>
  </si>
  <si>
    <t>6530-001-1318/4(66)</t>
  </si>
  <si>
    <t>หุ่นจำลองเด็กทารกสำหรับฝึกแก้ภาวะทางเดินหายใจมีสิ่งอุดกั้น/VCR-06411</t>
  </si>
  <si>
    <t>6530-001-1318/14(65)</t>
  </si>
  <si>
    <t>หุ่นกายวิภาคศาสตร์กระดูกโหลกศีระษะ</t>
  </si>
  <si>
    <t>6530-001-1318/13(65)</t>
  </si>
  <si>
    <t>หุ่นจำลองการตรวจภายในและนรีเวช</t>
  </si>
  <si>
    <t>6530-001-1318/12(65)</t>
  </si>
  <si>
    <t>หุ่นฝึกการทำคลอด</t>
  </si>
  <si>
    <t>6530-001-1318/2(65)</t>
  </si>
  <si>
    <t>หุ่นฉีดยาเข้ากล้ามเนื้อสะโพกพร้อมเสียงสัญญาณ</t>
  </si>
  <si>
    <t>6530-001-1318/6(65)</t>
  </si>
  <si>
    <t>โมเดลโครงกระดูกคอ</t>
  </si>
  <si>
    <t>6530-001-1318/4(65)</t>
  </si>
  <si>
    <t>โมเดลโครงกระดูกสันหลังแบบยืดหยุ่น</t>
  </si>
  <si>
    <t>6530-001-1318/5(65)</t>
  </si>
  <si>
    <t>โมเดลโครงกระดูกเต็มตัวขนาดเท่าจริง</t>
  </si>
  <si>
    <t>6530-001-1318/9(65)</t>
  </si>
  <si>
    <t>หุ่นจำลองลิ้น</t>
  </si>
  <si>
    <t>6530-001-1318/8(65)</t>
  </si>
  <si>
    <t>หุ่นจำลอง Labyrinth กระดูกหูและเยื่อแก้วหู</t>
  </si>
  <si>
    <t>6530-001-1318/11(65)</t>
  </si>
  <si>
    <t>หุ่นจำลองกระดูกขมับ</t>
  </si>
  <si>
    <t>6530-001-1318/7(65)</t>
  </si>
  <si>
    <t>หุ่นจำลองการตัด Central Spiral of the Cochlea</t>
  </si>
  <si>
    <t>6530-001-1318/10(65)</t>
  </si>
  <si>
    <t>หุ่นจำลองกล่องเสียง</t>
  </si>
  <si>
    <t>6530-001-1318/1(65)</t>
  </si>
  <si>
    <t>หุ่นจำลองการบาดเจ็บต่างๆATLS</t>
  </si>
  <si>
    <t>6530-001-1318/20(64)</t>
  </si>
  <si>
    <t>หุ่นฝึกการช่วยเหลือผู้ป่วย Airway Obstruction</t>
  </si>
  <si>
    <t>6530-001-1318/14(64)</t>
  </si>
  <si>
    <t>ชนิด 1200044  หุ่นจำลองผู้ใหญ่จำลองสำหรับฝึกใส่ท่อช่วยหายใจ</t>
  </si>
  <si>
    <t>6530-001-1318/12(64)</t>
  </si>
  <si>
    <t>โมเดลบาดแผลจำลอง</t>
  </si>
  <si>
    <t>6530-001-1318/11(64)</t>
  </si>
  <si>
    <t>หุ่นแขนสำหรับฝึกเจาะ</t>
  </si>
  <si>
    <t>6530-001-1318/8(64)</t>
  </si>
  <si>
    <t>หุ่นจำลองเด็กอายุ 5 ขวบสำหรับฝึกการช่วยหายใจ</t>
  </si>
  <si>
    <t>6530-001-1318/9(64)</t>
  </si>
  <si>
    <t>หุ่นจำลองแสดงการฝึกหัดสวนปัสสาวะเพศชาย</t>
  </si>
  <si>
    <t>6530-001-1318/10(64)</t>
  </si>
  <si>
    <t>หุ่นจำลองแสดงการฝึกหัดสวนปัสสาวะเพศหญิง</t>
  </si>
  <si>
    <t>บ.1/10/2019</t>
  </si>
  <si>
    <t>6530-001-1318/8(63)</t>
  </si>
  <si>
    <t>ชนิด 1200044 หุ่นฝึกทักษะการช่วยชีวิตเด็ก รุ่น CPR Baby With lignt controller (R19200)</t>
  </si>
  <si>
    <t>6530-001-1318/7(63)</t>
  </si>
  <si>
    <t>6530-001-1318/6(63)</t>
  </si>
  <si>
    <t>ชนิด 1200044 หุ่นฝึกทักษะการช่วยชีวิตผู้ใหญ่ รุ่น Prestan CPR torso (R19100)</t>
  </si>
  <si>
    <t>6530-001-1318/5(63)</t>
  </si>
  <si>
    <t>6530-001-1318/4(63)</t>
  </si>
  <si>
    <t>6530-001-1318/3(63)</t>
  </si>
  <si>
    <t>6530-001-1318/2(63)</t>
  </si>
  <si>
    <t>6530-001-1318/1(63)</t>
  </si>
  <si>
    <t>6530-001-1318/9(63)</t>
  </si>
  <si>
    <t>ชนิด 1200044 หุ่นฝึกทักษะการช่วยชีวิตผู้ใหญ่ แบบชุด 4 ตัว Little anne qcpr 4-pack,cat.no.124-01050</t>
  </si>
  <si>
    <t>6530-001-1318/15(63)</t>
  </si>
  <si>
    <t>หุ่นสาธิตการฝึกเจาะน้ำคร่ำ</t>
  </si>
  <si>
    <t>6530-001-1318/10(63)</t>
  </si>
  <si>
    <t>ชนิด 1200044 หุ่นแขนฝึกการเย็บแผล</t>
  </si>
  <si>
    <t>6530-001-1318/12(63)</t>
  </si>
  <si>
    <t>ชนิด 1200044 หุ่นการเย็บแผล</t>
  </si>
  <si>
    <t>6530-001-1318/14(63)</t>
  </si>
  <si>
    <t>ชนิด 1200044 หุ่นสาธิตการฝึกใสสาย NG และดูแลท่อหลอดลมคอ</t>
  </si>
  <si>
    <t>6530-001-1318/13(63)</t>
  </si>
  <si>
    <t>ชนิด 1200044 หุ่นฝึกการตรวจทวารหนักและต่อมลูกหมาก</t>
  </si>
  <si>
    <t>6530-001-1318/11(63)</t>
  </si>
  <si>
    <t>ชนิด 1200044 หุ่นฝึกการใส่สายระบายทรวงอก</t>
  </si>
  <si>
    <t>6530-001-1318/12(62)</t>
  </si>
  <si>
    <t>ชนิด 1200044 หุ่นฝึกปฏิบัติการช่วยฟื้นคืนชีพขั้นพื้นฐาน</t>
  </si>
  <si>
    <t>6692-001-0001/1(62)</t>
  </si>
  <si>
    <t>ชนิด 1200044 กะโหลกศีรษะ แยกส่วนได้ 22 ชิ้น</t>
  </si>
  <si>
    <t>6530-001-1318/8(62)</t>
  </si>
  <si>
    <t>ชนิด 1200044 หุ่นฝึกการตรวจมะเร็งเต้านม แบบเปลี่ยนพยาธิสภาพ</t>
  </si>
  <si>
    <t>6530-001-1318/7(62)</t>
  </si>
  <si>
    <t>ชนิด 1200044 หุ่นฝึกการสาธิต</t>
  </si>
  <si>
    <t>6530-001-1318/6(62)</t>
  </si>
  <si>
    <t>ชนิด 1200044 หุ่นสาธิตการฝึกฝังยาคุมกำเนิดชนิดท่อนแขน</t>
  </si>
  <si>
    <t>6530-001-1318/5(62)</t>
  </si>
  <si>
    <t>ชนิด 1200044 หุ่นสาธิตการฝึกสารน้ำและยาทางไขกระดูก</t>
  </si>
  <si>
    <t>6530-001-1318/4(62)</t>
  </si>
  <si>
    <t>6530-001-1318/3(62)</t>
  </si>
  <si>
    <t>ชนิด 1200044 หุ่นเจาะหลัง</t>
  </si>
  <si>
    <t>6530-001-1318/2(62)</t>
  </si>
  <si>
    <t>ชนิด 1200044 หุ่นจำลองช่วยฟื้นคืนชีพผู้ใหญ่แบบมีสัญญาณไฟ</t>
  </si>
  <si>
    <t>6530-001-1318/1(62)</t>
  </si>
  <si>
    <t>6530-001-1318/10(61)</t>
  </si>
  <si>
    <t>หุ่นสอนฝึกสอนใส่ท่อช่วยหายใจเด็ก 1 ขวบ</t>
  </si>
  <si>
    <t>6530-001-1318/7(61)</t>
  </si>
  <si>
    <t>ชนิด 1200044 หุ่นฝึกการถอดเล็บเท้า</t>
  </si>
  <si>
    <t>6530-001-1318/8(61)</t>
  </si>
  <si>
    <t>ชนิด 1200044 หุ่นสาธิตการฝึกใส่ท่อช่วยหายใจทารก</t>
  </si>
  <si>
    <t>6530-001-1318/9(61)</t>
  </si>
  <si>
    <t>ชนิด 1200044 หุ่นสาธิตการฝึกใส่ท่อช่วยหายใจเด็ก 10 ขวบ</t>
  </si>
  <si>
    <t>6530-001-1318/5(61)</t>
  </si>
  <si>
    <t>ชนิด 1200044 หุ่นทารกคลอด</t>
  </si>
  <si>
    <t>6530-001-1318/6(61)</t>
  </si>
  <si>
    <t>ชนิด 1200044 หุ่นฝึกใส่ท่อช่วยหายใจสำหรับผู้ใหญ่</t>
  </si>
  <si>
    <t>6530-001-1318/4(61)</t>
  </si>
  <si>
    <t>ชนิด 1200044 หุ่นทำคลอด</t>
  </si>
  <si>
    <t>วันที่</t>
  </si>
  <si>
    <t>ประเภทครุภัณฑ์ การศึกษา</t>
  </si>
  <si>
    <t xml:space="preserve">สุทธิ </t>
  </si>
  <si>
    <t>สะสม</t>
  </si>
  <si>
    <t>5510-001-0001/14(68)บ</t>
  </si>
  <si>
    <t>ลิฟต์ขนเตียงผู้ป่วย</t>
  </si>
  <si>
    <t>5510-001-0002/3(67)</t>
  </si>
  <si>
    <t>บันไดเลื่อน</t>
  </si>
  <si>
    <t>5510-001-0002/2(67)</t>
  </si>
  <si>
    <t>5510-001-0002/1(67)</t>
  </si>
  <si>
    <t>5510-001-0001/2(67)</t>
  </si>
  <si>
    <t>5510-001-0001/1(67)</t>
  </si>
  <si>
    <t>5510-001-0001/2(66)</t>
  </si>
  <si>
    <t>ชนิด 1020002  ลิฟต์ขนเตียงผุ้ป้วยไม่น้อยกว่า 1000 กิโลกรัม 6 ชั้น</t>
  </si>
  <si>
    <t>5510-001-0001/1(66)</t>
  </si>
  <si>
    <t>ค่าเสื่อมราคาประจำปีงบ 2569</t>
  </si>
  <si>
    <t>ประเภทครุภัณฑ์ ครุภัณฑ์สิ่งก่อสร้างเครื่องจักรกล</t>
  </si>
  <si>
    <t>รวมครุภัณฑ์อื่น Interface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</si>
</sst>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87" formatCode="[$-1070000]d/mm/yyyy;@"/>
    <numFmt numFmtId="188" formatCode="[$-101041E]d\ mmm\ yy;@"/>
  </numFmts>
  <fonts count="19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b/>
      <sz val="16"/>
      <name val="Angsana New"/>
      <family val="1"/>
    </font>
    <font>
      <b/>
      <sz val="16"/>
      <color indexed="8"/>
      <name val="Angsana New"/>
      <family val="1"/>
    </font>
    <font>
      <b/>
      <sz val="14"/>
      <color indexed="8"/>
      <name val="Angsana New"/>
      <family val="1"/>
    </font>
    <font>
      <b/>
      <sz val="14"/>
      <color theme="1"/>
      <name val="Angsana New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name val="Angsana New"/>
      <family val="1"/>
    </font>
    <font>
      <sz val="14"/>
      <color theme="1"/>
      <name val="Angsana New"/>
      <family val="1"/>
    </font>
    <font>
      <b/>
      <sz val="10"/>
      <name val="Arial"/>
      <family val="2"/>
    </font>
    <font>
      <b/>
      <sz val="10"/>
      <color rgb="FF00B050"/>
      <name val="Arial"/>
      <family val="2"/>
    </font>
    <font>
      <sz val="14"/>
      <name val="Angsana New"/>
      <family val="1"/>
    </font>
    <font>
      <b/>
      <u val="double"/>
      <sz val="14"/>
      <name val="Angsana New"/>
      <family val="1"/>
    </font>
    <font>
      <b/>
      <sz val="14"/>
      <name val="Angsana New"/>
      <family val="1"/>
      <charset val="222"/>
    </font>
    <font>
      <b/>
      <sz val="14"/>
      <color theme="1"/>
      <name val="Angsana New"/>
      <family val="1"/>
      <charset val="222"/>
    </font>
    <font>
      <b/>
      <sz val="16"/>
      <color rgb="FFFF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8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</cellStyleXfs>
  <cellXfs count="157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3" fontId="3" fillId="0" borderId="0" xfId="1" applyFont="1"/>
    <xf numFmtId="43" fontId="3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43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43" fontId="2" fillId="0" borderId="2" xfId="1" applyFont="1" applyBorder="1"/>
    <xf numFmtId="43" fontId="4" fillId="0" borderId="2" xfId="1" applyFont="1" applyFill="1" applyBorder="1" applyAlignment="1">
      <alignment horizontal="center"/>
    </xf>
    <xf numFmtId="4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3" fontId="2" fillId="0" borderId="2" xfId="1" applyFont="1" applyFill="1" applyBorder="1" applyAlignment="1">
      <alignment horizontal="center"/>
    </xf>
    <xf numFmtId="43" fontId="2" fillId="0" borderId="2" xfId="1" applyFont="1" applyFill="1" applyBorder="1" applyAlignment="1">
      <alignment horizontal="left"/>
    </xf>
    <xf numFmtId="43" fontId="2" fillId="0" borderId="2" xfId="1" applyFont="1" applyFill="1" applyBorder="1"/>
    <xf numFmtId="43" fontId="5" fillId="0" borderId="2" xfId="1" applyFont="1" applyFill="1" applyBorder="1" applyAlignment="1">
      <alignment horizontal="center" vertical="top"/>
    </xf>
    <xf numFmtId="43" fontId="6" fillId="0" borderId="2" xfId="1" applyFont="1" applyFill="1" applyBorder="1" applyAlignment="1">
      <alignment horizontal="left" vertical="top"/>
    </xf>
    <xf numFmtId="43" fontId="7" fillId="0" borderId="2" xfId="1" applyFont="1" applyFill="1" applyBorder="1" applyAlignment="1">
      <alignment horizontal="left"/>
    </xf>
    <xf numFmtId="43" fontId="2" fillId="2" borderId="2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Fill="1"/>
    <xf numFmtId="43" fontId="3" fillId="0" borderId="0" xfId="1" applyFont="1" applyFill="1"/>
    <xf numFmtId="43" fontId="2" fillId="3" borderId="0" xfId="2" applyFont="1" applyFill="1" applyBorder="1" applyAlignment="1">
      <alignment horizontal="center"/>
    </xf>
    <xf numFmtId="43" fontId="2" fillId="3" borderId="0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0" xfId="0" applyFont="1" applyFill="1"/>
    <xf numFmtId="0" fontId="2" fillId="0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3" fontId="2" fillId="3" borderId="2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  <xf numFmtId="0" fontId="2" fillId="0" borderId="2" xfId="0" applyFont="1" applyBorder="1" applyAlignment="1"/>
    <xf numFmtId="0" fontId="7" fillId="0" borderId="2" xfId="0" applyFont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left" shrinkToFit="1"/>
    </xf>
    <xf numFmtId="0" fontId="10" fillId="0" borderId="2" xfId="0" applyFont="1" applyFill="1" applyBorder="1" applyAlignment="1">
      <alignment horizontal="left"/>
    </xf>
    <xf numFmtId="1" fontId="4" fillId="0" borderId="2" xfId="28" applyNumberFormat="1" applyFont="1" applyFill="1" applyBorder="1"/>
    <xf numFmtId="0" fontId="4" fillId="0" borderId="2" xfId="5" applyFont="1" applyFill="1" applyBorder="1" applyAlignment="1"/>
    <xf numFmtId="43" fontId="4" fillId="0" borderId="2" xfId="25" applyFont="1" applyFill="1" applyBorder="1"/>
    <xf numFmtId="0" fontId="4" fillId="0" borderId="2" xfId="5" applyFont="1" applyFill="1" applyBorder="1" applyAlignment="1">
      <alignment horizontal="center"/>
    </xf>
    <xf numFmtId="0" fontId="4" fillId="0" borderId="2" xfId="35" applyFont="1" applyFill="1" applyBorder="1"/>
    <xf numFmtId="0" fontId="4" fillId="0" borderId="2" xfId="35" applyFont="1" applyFill="1" applyBorder="1" applyAlignment="1"/>
    <xf numFmtId="43" fontId="4" fillId="0" borderId="2" xfId="42" applyFont="1" applyFill="1" applyBorder="1"/>
    <xf numFmtId="1" fontId="4" fillId="0" borderId="2" xfId="42" applyNumberFormat="1" applyFont="1" applyFill="1" applyBorder="1" applyAlignment="1">
      <alignment horizontal="center"/>
    </xf>
    <xf numFmtId="43" fontId="3" fillId="0" borderId="0" xfId="1" applyFont="1" applyFill="1" applyAlignment="1">
      <alignment horizontal="center"/>
    </xf>
    <xf numFmtId="0" fontId="4" fillId="0" borderId="2" xfId="5" applyFont="1" applyBorder="1" applyAlignment="1">
      <alignment horizontal="center"/>
    </xf>
    <xf numFmtId="43" fontId="2" fillId="0" borderId="2" xfId="10" applyFont="1" applyBorder="1"/>
    <xf numFmtId="0" fontId="2" fillId="0" borderId="2" xfId="13" applyFont="1" applyBorder="1"/>
    <xf numFmtId="0" fontId="4" fillId="0" borderId="2" xfId="13" applyFont="1" applyBorder="1" applyAlignment="1">
      <alignment horizontal="center"/>
    </xf>
    <xf numFmtId="43" fontId="2" fillId="0" borderId="2" xfId="9" applyFont="1" applyBorder="1"/>
    <xf numFmtId="43" fontId="2" fillId="0" borderId="2" xfId="7" applyFont="1" applyBorder="1"/>
    <xf numFmtId="43" fontId="2" fillId="0" borderId="2" xfId="17" applyFont="1" applyBorder="1"/>
    <xf numFmtId="43" fontId="2" fillId="0" borderId="2" xfId="21" applyFont="1" applyBorder="1"/>
    <xf numFmtId="43" fontId="4" fillId="0" borderId="2" xfId="21" applyFont="1" applyFill="1" applyBorder="1"/>
    <xf numFmtId="43" fontId="2" fillId="0" borderId="2" xfId="20" applyFont="1" applyBorder="1"/>
    <xf numFmtId="43" fontId="2" fillId="0" borderId="2" xfId="24" applyFont="1" applyBorder="1"/>
    <xf numFmtId="43" fontId="2" fillId="0" borderId="2" xfId="18" applyFont="1" applyBorder="1"/>
    <xf numFmtId="43" fontId="2" fillId="0" borderId="2" xfId="23" applyFont="1" applyBorder="1"/>
    <xf numFmtId="43" fontId="4" fillId="0" borderId="2" xfId="6" applyFont="1" applyFill="1" applyBorder="1"/>
    <xf numFmtId="43" fontId="2" fillId="0" borderId="2" xfId="27" applyFont="1" applyBorder="1"/>
    <xf numFmtId="43" fontId="2" fillId="0" borderId="2" xfId="25" applyFont="1" applyBorder="1"/>
    <xf numFmtId="43" fontId="2" fillId="0" borderId="2" xfId="22" applyFont="1" applyBorder="1"/>
    <xf numFmtId="43" fontId="2" fillId="0" borderId="2" xfId="22" applyFont="1" applyBorder="1" applyAlignment="1">
      <alignment vertical="center"/>
    </xf>
    <xf numFmtId="0" fontId="4" fillId="0" borderId="2" xfId="37" applyFont="1" applyBorder="1" applyAlignment="1">
      <alignment horizontal="center"/>
    </xf>
    <xf numFmtId="43" fontId="2" fillId="0" borderId="2" xfId="2" applyFont="1" applyBorder="1"/>
    <xf numFmtId="0" fontId="10" fillId="0" borderId="2" xfId="11" applyFont="1" applyBorder="1" applyAlignment="1">
      <alignment horizontal="center"/>
    </xf>
    <xf numFmtId="43" fontId="7" fillId="0" borderId="2" xfId="6" applyFont="1" applyBorder="1"/>
    <xf numFmtId="43" fontId="4" fillId="0" borderId="2" xfId="2" applyFont="1" applyBorder="1"/>
    <xf numFmtId="0" fontId="10" fillId="0" borderId="2" xfId="35" applyFont="1" applyBorder="1" applyAlignment="1">
      <alignment horizontal="center"/>
    </xf>
    <xf numFmtId="4" fontId="10" fillId="0" borderId="2" xfId="35" applyNumberFormat="1" applyFont="1" applyBorder="1"/>
    <xf numFmtId="0" fontId="4" fillId="0" borderId="2" xfId="1" applyNumberFormat="1" applyFont="1" applyFill="1" applyBorder="1" applyAlignment="1">
      <alignment horizontal="center"/>
    </xf>
    <xf numFmtId="0" fontId="2" fillId="0" borderId="2" xfId="1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2" xfId="0" applyFont="1" applyFill="1" applyBorder="1" applyAlignment="1"/>
    <xf numFmtId="43" fontId="4" fillId="0" borderId="2" xfId="2" applyFont="1" applyFill="1" applyBorder="1"/>
    <xf numFmtId="187" fontId="4" fillId="0" borderId="2" xfId="0" applyNumberFormat="1" applyFont="1" applyBorder="1" applyAlignment="1">
      <alignment horizontal="center" shrinkToFit="1"/>
    </xf>
    <xf numFmtId="0" fontId="2" fillId="0" borderId="2" xfId="5" applyFont="1" applyBorder="1"/>
    <xf numFmtId="0" fontId="11" fillId="2" borderId="2" xfId="43" applyFont="1" applyFill="1" applyBorder="1"/>
    <xf numFmtId="0" fontId="10" fillId="0" borderId="2" xfId="0" applyFont="1" applyBorder="1" applyAlignment="1">
      <alignment vertical="top"/>
    </xf>
    <xf numFmtId="0" fontId="11" fillId="0" borderId="2" xfId="5" applyFont="1" applyBorder="1" applyAlignment="1">
      <alignment vertical="center"/>
    </xf>
    <xf numFmtId="0" fontId="4" fillId="0" borderId="2" xfId="43" applyFont="1" applyFill="1" applyBorder="1" applyAlignment="1"/>
    <xf numFmtId="0" fontId="4" fillId="0" borderId="2" xfId="11" applyFont="1" applyBorder="1" applyAlignment="1">
      <alignment horizontal="center"/>
    </xf>
    <xf numFmtId="0" fontId="2" fillId="0" borderId="2" xfId="11" applyFont="1" applyBorder="1"/>
    <xf numFmtId="188" fontId="4" fillId="0" borderId="2" xfId="11" applyNumberFormat="1" applyFont="1" applyBorder="1" applyAlignment="1">
      <alignment horizontal="left"/>
    </xf>
    <xf numFmtId="0" fontId="4" fillId="0" borderId="2" xfId="11" applyFont="1" applyBorder="1" applyAlignment="1">
      <alignment vertical="top"/>
    </xf>
    <xf numFmtId="14" fontId="4" fillId="0" borderId="2" xfId="11" applyNumberFormat="1" applyFont="1" applyBorder="1"/>
    <xf numFmtId="0" fontId="2" fillId="0" borderId="2" xfId="43" applyFont="1" applyFill="1" applyBorder="1"/>
    <xf numFmtId="43" fontId="2" fillId="0" borderId="2" xfId="1" quotePrefix="1" applyFont="1" applyFill="1" applyBorder="1" applyAlignment="1">
      <alignment horizontal="left"/>
    </xf>
    <xf numFmtId="4" fontId="4" fillId="0" borderId="2" xfId="5" applyNumberFormat="1" applyFont="1" applyBorder="1"/>
    <xf numFmtId="0" fontId="4" fillId="0" borderId="2" xfId="5" applyFont="1" applyBorder="1" applyAlignment="1">
      <alignment horizontal="left"/>
    </xf>
    <xf numFmtId="0" fontId="4" fillId="0" borderId="2" xfId="5" applyFont="1" applyBorder="1"/>
    <xf numFmtId="43" fontId="2" fillId="0" borderId="3" xfId="0" applyNumberFormat="1" applyFont="1" applyBorder="1"/>
    <xf numFmtId="43" fontId="4" fillId="0" borderId="2" xfId="1" applyFont="1" applyFill="1" applyBorder="1"/>
    <xf numFmtId="0" fontId="8" fillId="0" borderId="0" xfId="45"/>
    <xf numFmtId="43" fontId="8" fillId="0" borderId="0" xfId="1" applyFont="1"/>
    <xf numFmtId="0" fontId="12" fillId="0" borderId="0" xfId="45" applyFont="1"/>
    <xf numFmtId="0" fontId="13" fillId="0" borderId="0" xfId="45" applyFont="1"/>
    <xf numFmtId="43" fontId="13" fillId="0" borderId="0" xfId="1" applyFont="1"/>
    <xf numFmtId="0" fontId="13" fillId="0" borderId="2" xfId="45" applyFont="1" applyBorder="1"/>
    <xf numFmtId="4" fontId="13" fillId="0" borderId="2" xfId="45" applyNumberFormat="1" applyFont="1" applyBorder="1"/>
    <xf numFmtId="0" fontId="13" fillId="0" borderId="2" xfId="45" applyFont="1" applyBorder="1" applyAlignment="1">
      <alignment horizontal="center"/>
    </xf>
    <xf numFmtId="0" fontId="8" fillId="0" borderId="0" xfId="45" applyFont="1"/>
    <xf numFmtId="0" fontId="14" fillId="0" borderId="4" xfId="45" applyFont="1" applyBorder="1" applyAlignment="1">
      <alignment horizontal="center"/>
    </xf>
    <xf numFmtId="4" fontId="10" fillId="0" borderId="4" xfId="45" applyNumberFormat="1" applyFont="1" applyBorder="1"/>
    <xf numFmtId="14" fontId="10" fillId="0" borderId="5" xfId="45" applyNumberFormat="1" applyFont="1" applyBorder="1"/>
    <xf numFmtId="0" fontId="10" fillId="0" borderId="0" xfId="45" applyFont="1"/>
    <xf numFmtId="14" fontId="14" fillId="0" borderId="6" xfId="45" applyNumberFormat="1" applyFont="1" applyBorder="1"/>
    <xf numFmtId="0" fontId="14" fillId="0" borderId="4" xfId="45" applyFont="1" applyBorder="1"/>
    <xf numFmtId="0" fontId="14" fillId="0" borderId="6" xfId="45" applyFont="1" applyBorder="1"/>
    <xf numFmtId="0" fontId="14" fillId="0" borderId="0" xfId="45" applyFont="1"/>
    <xf numFmtId="43" fontId="14" fillId="0" borderId="0" xfId="1" applyFont="1"/>
    <xf numFmtId="0" fontId="14" fillId="0" borderId="2" xfId="45" applyFont="1" applyBorder="1"/>
    <xf numFmtId="0" fontId="14" fillId="0" borderId="5" xfId="45" applyFont="1" applyBorder="1" applyAlignment="1">
      <alignment horizontal="center"/>
    </xf>
    <xf numFmtId="4" fontId="10" fillId="0" borderId="0" xfId="45" applyNumberFormat="1" applyFont="1"/>
    <xf numFmtId="14" fontId="10" fillId="0" borderId="0" xfId="45" applyNumberFormat="1" applyFont="1"/>
    <xf numFmtId="0" fontId="14" fillId="0" borderId="5" xfId="45" applyFont="1" applyBorder="1"/>
    <xf numFmtId="0" fontId="14" fillId="0" borderId="0" xfId="45" applyFont="1" applyAlignment="1">
      <alignment horizontal="center"/>
    </xf>
    <xf numFmtId="43" fontId="15" fillId="0" borderId="0" xfId="1" applyFont="1"/>
    <xf numFmtId="0" fontId="16" fillId="2" borderId="0" xfId="37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43" fontId="18" fillId="0" borderId="2" xfId="24" applyFont="1" applyBorder="1"/>
    <xf numFmtId="14" fontId="18" fillId="0" borderId="2" xfId="43" applyNumberFormat="1" applyFont="1" applyBorder="1"/>
    <xf numFmtId="0" fontId="18" fillId="0" borderId="2" xfId="43" applyFont="1" applyBorder="1"/>
    <xf numFmtId="1" fontId="18" fillId="0" borderId="2" xfId="43" applyNumberFormat="1" applyFont="1" applyBorder="1"/>
    <xf numFmtId="43" fontId="4" fillId="0" borderId="2" xfId="1" applyFont="1" applyBorder="1"/>
    <xf numFmtId="0" fontId="4" fillId="0" borderId="2" xfId="43" applyFont="1" applyBorder="1" applyAlignment="1">
      <alignment horizontal="center"/>
    </xf>
    <xf numFmtId="14" fontId="2" fillId="0" borderId="2" xfId="11" applyNumberFormat="1" applyFont="1" applyBorder="1"/>
    <xf numFmtId="0" fontId="2" fillId="0" borderId="2" xfId="11" applyFont="1" applyBorder="1" applyAlignment="1">
      <alignment shrinkToFit="1"/>
    </xf>
    <xf numFmtId="14" fontId="2" fillId="0" borderId="2" xfId="46" applyNumberFormat="1" applyFont="1" applyBorder="1"/>
    <xf numFmtId="0" fontId="2" fillId="0" borderId="2" xfId="46" applyFont="1" applyBorder="1"/>
    <xf numFmtId="0" fontId="4" fillId="0" borderId="2" xfId="45" applyFont="1" applyBorder="1" applyAlignment="1">
      <alignment horizontal="center"/>
    </xf>
    <xf numFmtId="14" fontId="2" fillId="0" borderId="2" xfId="45" applyNumberFormat="1" applyFont="1" applyBorder="1"/>
    <xf numFmtId="0" fontId="2" fillId="0" borderId="2" xfId="45" applyFont="1" applyBorder="1"/>
    <xf numFmtId="0" fontId="4" fillId="0" borderId="2" xfId="45" applyFont="1" applyBorder="1"/>
    <xf numFmtId="43" fontId="4" fillId="2" borderId="2" xfId="1" applyFont="1" applyFill="1" applyBorder="1" applyAlignment="1">
      <alignment horizontal="center" vertical="center"/>
    </xf>
    <xf numFmtId="0" fontId="10" fillId="0" borderId="0" xfId="45" applyFont="1" applyAlignment="1">
      <alignment horizontal="center"/>
    </xf>
    <xf numFmtId="0" fontId="10" fillId="0" borderId="0" xfId="45" applyFont="1" applyAlignment="1">
      <alignment horizontal="right"/>
    </xf>
    <xf numFmtId="0" fontId="2" fillId="5" borderId="0" xfId="0" applyFont="1" applyFill="1" applyAlignment="1">
      <alignment horizontal="center"/>
    </xf>
    <xf numFmtId="43" fontId="2" fillId="5" borderId="0" xfId="1" applyFont="1" applyFill="1"/>
    <xf numFmtId="0" fontId="2" fillId="0" borderId="0" xfId="0" applyFont="1" applyAlignment="1">
      <alignment horizontal="center"/>
    </xf>
    <xf numFmtId="43" fontId="2" fillId="3" borderId="0" xfId="2" applyFont="1" applyFill="1" applyBorder="1" applyAlignment="1">
      <alignment horizontal="center"/>
    </xf>
    <xf numFmtId="43" fontId="4" fillId="2" borderId="2" xfId="1" applyFont="1" applyFill="1" applyBorder="1" applyAlignment="1">
      <alignment horizontal="center" vertical="center"/>
    </xf>
    <xf numFmtId="43" fontId="7" fillId="2" borderId="0" xfId="1" applyFont="1" applyFill="1" applyBorder="1" applyAlignment="1">
      <alignment horizontal="center"/>
    </xf>
    <xf numFmtId="0" fontId="10" fillId="0" borderId="0" xfId="45" applyFont="1" applyAlignment="1">
      <alignment horizontal="center"/>
    </xf>
    <xf numFmtId="0" fontId="4" fillId="0" borderId="2" xfId="45" applyFont="1" applyBorder="1" applyAlignment="1">
      <alignment horizontal="center" vertical="center"/>
    </xf>
  </cellXfs>
  <cellStyles count="47">
    <cellStyle name="Comma" xfId="1" builtinId="3"/>
    <cellStyle name="Comma 2" xfId="6"/>
    <cellStyle name="Comma 3" xfId="7"/>
    <cellStyle name="Comma 4" xfId="8"/>
    <cellStyle name="Comma 5" xfId="44"/>
    <cellStyle name="Comma 6" xfId="9"/>
    <cellStyle name="Comma 7" xfId="10"/>
    <cellStyle name="Normal" xfId="0" builtinId="0"/>
    <cellStyle name="Normal 2" xfId="11"/>
    <cellStyle name="Normal 2 2" xfId="12"/>
    <cellStyle name="Normal 3" xfId="13"/>
    <cellStyle name="Normal 3 2" xfId="14"/>
    <cellStyle name="เครื่องหมายจุลภาค 2" xfId="2"/>
    <cellStyle name="จุลภาค 10 2" xfId="15"/>
    <cellStyle name="จุลภาค 10 3" xfId="16"/>
    <cellStyle name="จุลภาค 11 3" xfId="17"/>
    <cellStyle name="จุลภาค 13" xfId="18"/>
    <cellStyle name="จุลภาค 14" xfId="19"/>
    <cellStyle name="จุลภาค 15" xfId="20"/>
    <cellStyle name="จุลภาค 17" xfId="21"/>
    <cellStyle name="จุลภาค 2" xfId="22"/>
    <cellStyle name="จุลภาค 2 2" xfId="23"/>
    <cellStyle name="จุลภาค 3" xfId="24"/>
    <cellStyle name="จุลภาค 3 2" xfId="42"/>
    <cellStyle name="จุลภาค 4" xfId="25"/>
    <cellStyle name="จุลภาค 5" xfId="26"/>
    <cellStyle name="จุลภาค 7" xfId="27"/>
    <cellStyle name="ปกติ 11" xfId="28"/>
    <cellStyle name="ปกติ 12" xfId="29"/>
    <cellStyle name="ปกติ 2" xfId="3"/>
    <cellStyle name="ปกติ 2 2" xfId="30"/>
    <cellStyle name="ปกติ 2 2 2" xfId="31"/>
    <cellStyle name="ปกติ 3" xfId="4"/>
    <cellStyle name="ปกติ 3 2" xfId="32"/>
    <cellStyle name="ปกติ 3 2 2" xfId="33"/>
    <cellStyle name="ปกติ 3 2 3" xfId="43"/>
    <cellStyle name="ปกติ 4" xfId="5"/>
    <cellStyle name="ปกติ 4 2" xfId="34"/>
    <cellStyle name="ปกติ 5" xfId="35"/>
    <cellStyle name="ปกติ 5 2" xfId="36"/>
    <cellStyle name="ปกติ 6" xfId="37"/>
    <cellStyle name="ปกติ 6 2" xfId="38"/>
    <cellStyle name="ปกติ 7" xfId="39"/>
    <cellStyle name="ปกติ 7 2" xfId="45"/>
    <cellStyle name="ปกติ 7 2 2" xfId="46"/>
    <cellStyle name="ปกติ 8" xfId="40"/>
    <cellStyle name="ปกติ 9" xfId="4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04800"/>
          <a:ext cx="642506" cy="470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04800"/>
          <a:ext cx="642506" cy="541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9524</xdr:rowOff>
    </xdr:from>
    <xdr:to>
      <xdr:col>1</xdr:col>
      <xdr:colOff>4331</xdr:colOff>
      <xdr:row>3</xdr:row>
      <xdr:rowOff>256221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04799"/>
          <a:ext cx="642506" cy="541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136070</xdr:rowOff>
    </xdr:from>
    <xdr:to>
      <xdr:col>0</xdr:col>
      <xdr:colOff>612322</xdr:colOff>
      <xdr:row>2</xdr:row>
      <xdr:rowOff>256220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317045"/>
          <a:ext cx="564696" cy="224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L13"/>
  <sheetViews>
    <sheetView tabSelected="1" topLeftCell="A2" zoomScaleSheetLayoutView="90" workbookViewId="0">
      <selection activeCell="E27" sqref="E26:E27"/>
    </sheetView>
  </sheetViews>
  <sheetFormatPr defaultColWidth="9" defaultRowHeight="23.25"/>
  <cols>
    <col min="1" max="1" width="9" style="1"/>
    <col min="2" max="2" width="48.25" style="1" customWidth="1"/>
    <col min="3" max="3" width="22.5" style="26" customWidth="1"/>
    <col min="4" max="4" width="14.875" style="27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151" t="s">
        <v>61</v>
      </c>
      <c r="B2" s="151"/>
      <c r="C2" s="151"/>
      <c r="D2" s="151"/>
      <c r="E2" s="151"/>
    </row>
    <row r="3" spans="1:12">
      <c r="A3" s="26"/>
      <c r="B3" s="26"/>
      <c r="D3" s="26"/>
      <c r="E3" s="26"/>
    </row>
    <row r="4" spans="1:12">
      <c r="B4" s="1" t="s">
        <v>65</v>
      </c>
      <c r="D4" s="1"/>
    </row>
    <row r="5" spans="1:12">
      <c r="A5" s="11" t="s">
        <v>59</v>
      </c>
      <c r="B5" s="11" t="s">
        <v>58</v>
      </c>
      <c r="C5" s="11" t="s">
        <v>57</v>
      </c>
      <c r="D5" s="19" t="s">
        <v>4</v>
      </c>
      <c r="E5" s="38" t="s">
        <v>56</v>
      </c>
      <c r="F5" s="37" t="s">
        <v>55</v>
      </c>
      <c r="G5" s="37" t="s">
        <v>54</v>
      </c>
      <c r="H5" s="37" t="s">
        <v>53</v>
      </c>
      <c r="I5" s="36" t="s">
        <v>55</v>
      </c>
      <c r="J5" s="36" t="s">
        <v>54</v>
      </c>
      <c r="K5" s="36" t="s">
        <v>53</v>
      </c>
      <c r="L5" s="36" t="s">
        <v>64</v>
      </c>
    </row>
    <row r="6" spans="1:12" s="34" customFormat="1">
      <c r="A6" s="11">
        <v>1</v>
      </c>
      <c r="B6" s="13" t="s">
        <v>63</v>
      </c>
      <c r="C6" s="12" t="s">
        <v>62</v>
      </c>
      <c r="D6" s="19">
        <v>99510</v>
      </c>
      <c r="E6" s="11">
        <v>5</v>
      </c>
      <c r="F6" s="19">
        <v>0</v>
      </c>
      <c r="G6" s="19">
        <v>99509</v>
      </c>
      <c r="H6" s="19">
        <v>1</v>
      </c>
      <c r="I6" s="35"/>
      <c r="J6" s="32"/>
      <c r="K6" s="32"/>
      <c r="L6" s="32"/>
    </row>
    <row r="7" spans="1:12">
      <c r="A7" s="33"/>
      <c r="B7" s="33"/>
      <c r="C7" s="32"/>
      <c r="D7" s="21">
        <f>SUM(D6:D6)</f>
        <v>99510</v>
      </c>
      <c r="E7" s="21">
        <f>SUM(E6:E6)</f>
        <v>5</v>
      </c>
      <c r="F7" s="21">
        <f>SUM(F6:F6)</f>
        <v>0</v>
      </c>
      <c r="G7" s="21">
        <f>SUM(G6:G6)</f>
        <v>99509</v>
      </c>
      <c r="H7" s="21">
        <f>SUM(H6:H6)</f>
        <v>1</v>
      </c>
    </row>
    <row r="10" spans="1:12">
      <c r="D10" s="30" t="s">
        <v>4</v>
      </c>
      <c r="E10" s="31" t="s">
        <v>3</v>
      </c>
      <c r="F10" s="30" t="s">
        <v>2</v>
      </c>
      <c r="G10" s="30" t="s">
        <v>1</v>
      </c>
    </row>
    <row r="11" spans="1:12" ht="25.5">
      <c r="C11" s="29" t="s">
        <v>0</v>
      </c>
      <c r="D11" s="28">
        <f>D7</f>
        <v>99510</v>
      </c>
      <c r="E11" s="6">
        <f>F7</f>
        <v>0</v>
      </c>
      <c r="F11" s="5">
        <f>G7</f>
        <v>99509</v>
      </c>
      <c r="G11" s="5">
        <f>H7</f>
        <v>1</v>
      </c>
    </row>
    <row r="13" spans="1:12">
      <c r="C13" s="149" t="s">
        <v>500</v>
      </c>
      <c r="D13" s="150">
        <f>D11+'กีฬา Interface'!D40+'โรงงานเครื่องมือ Interface'!D159+'ดนตรี Interface)'!D36+'การศึกษา Interface'!F64+สิ่งก่อสร้างเครื่องจักรกลInf!D17</f>
        <v>50716637.329999998</v>
      </c>
      <c r="E13" s="150">
        <f>E11+'กีฬา Interface'!E40+'โรงงานเครื่องมือ Interface'!E159+'ดนตรี Interface)'!E36+'การศึกษา Interface'!G64+สิ่งก่อสร้างเครื่องจักรกลInf!E17+0.01</f>
        <v>4248242.7946666665</v>
      </c>
      <c r="F13" s="150">
        <f>F11+'กีฬา Interface'!F40+'โรงงานเครื่องมือ Interface'!F159+'ดนตรี Interface)'!F36+'การศึกษา Interface'!H64+สิ่งก่อสร้างเครื่องจักรกลInf!F17</f>
        <v>40980468.697999999</v>
      </c>
      <c r="G13" s="150">
        <f>G11+'กีฬา Interface'!G40+'โรงงานเครื่องมือ Interface'!G159+'ดนตรี Interface)'!G36+'การศึกษา Interface'!I64+สิ่งก่อสร้างเครื่องจักรกลInf!G17</f>
        <v>9736168.6320000011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L40"/>
  <sheetViews>
    <sheetView topLeftCell="A2" zoomScaleSheetLayoutView="90" workbookViewId="0">
      <selection activeCell="P37" sqref="P37"/>
    </sheetView>
  </sheetViews>
  <sheetFormatPr defaultColWidth="9" defaultRowHeight="23.25"/>
  <cols>
    <col min="1" max="1" width="9" style="1"/>
    <col min="2" max="2" width="48.25" style="1" customWidth="1"/>
    <col min="3" max="3" width="22.5" style="26" customWidth="1"/>
    <col min="4" max="4" width="14.875" style="39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151" t="s">
        <v>61</v>
      </c>
      <c r="B2" s="151"/>
      <c r="C2" s="151"/>
      <c r="D2" s="151"/>
      <c r="E2" s="151"/>
    </row>
    <row r="3" spans="1:12">
      <c r="A3" s="26"/>
      <c r="B3" s="26"/>
      <c r="D3" s="26"/>
      <c r="E3" s="26"/>
    </row>
    <row r="4" spans="1:12">
      <c r="B4" s="1" t="s">
        <v>66</v>
      </c>
      <c r="D4" s="26"/>
    </row>
    <row r="5" spans="1:12">
      <c r="A5" s="11" t="s">
        <v>59</v>
      </c>
      <c r="B5" s="11" t="s">
        <v>58</v>
      </c>
      <c r="C5" s="11" t="s">
        <v>57</v>
      </c>
      <c r="D5" s="19" t="s">
        <v>4</v>
      </c>
      <c r="E5" s="38" t="s">
        <v>56</v>
      </c>
      <c r="F5" s="37" t="s">
        <v>55</v>
      </c>
      <c r="G5" s="37" t="s">
        <v>54</v>
      </c>
      <c r="H5" s="37" t="s">
        <v>53</v>
      </c>
      <c r="I5" s="36" t="s">
        <v>55</v>
      </c>
      <c r="J5" s="36" t="s">
        <v>54</v>
      </c>
      <c r="K5" s="36" t="s">
        <v>53</v>
      </c>
      <c r="L5" s="36" t="s">
        <v>64</v>
      </c>
    </row>
    <row r="6" spans="1:12" s="34" customFormat="1">
      <c r="A6" s="11">
        <v>1</v>
      </c>
      <c r="B6" s="12" t="s">
        <v>67</v>
      </c>
      <c r="C6" s="40" t="s">
        <v>68</v>
      </c>
      <c r="D6" s="19">
        <v>185000</v>
      </c>
      <c r="E6" s="11">
        <v>5</v>
      </c>
      <c r="F6" s="19">
        <v>0</v>
      </c>
      <c r="G6" s="19">
        <v>184999</v>
      </c>
      <c r="H6" s="19">
        <v>1</v>
      </c>
      <c r="I6" s="35"/>
      <c r="J6" s="32"/>
      <c r="K6" s="32"/>
      <c r="L6" s="32"/>
    </row>
    <row r="7" spans="1:12" s="34" customFormat="1">
      <c r="A7" s="11">
        <v>2</v>
      </c>
      <c r="B7" s="12" t="s">
        <v>67</v>
      </c>
      <c r="C7" s="40" t="s">
        <v>69</v>
      </c>
      <c r="D7" s="19">
        <v>185000</v>
      </c>
      <c r="E7" s="11">
        <v>5</v>
      </c>
      <c r="F7" s="19">
        <v>0</v>
      </c>
      <c r="G7" s="19">
        <v>184999</v>
      </c>
      <c r="H7" s="19">
        <v>1</v>
      </c>
      <c r="I7" s="35"/>
      <c r="J7" s="32"/>
      <c r="K7" s="32"/>
      <c r="L7" s="32"/>
    </row>
    <row r="8" spans="1:12" s="34" customFormat="1">
      <c r="A8" s="11">
        <v>3</v>
      </c>
      <c r="B8" s="12" t="s">
        <v>70</v>
      </c>
      <c r="C8" s="40" t="s">
        <v>71</v>
      </c>
      <c r="D8" s="19">
        <v>10850</v>
      </c>
      <c r="E8" s="11">
        <v>5</v>
      </c>
      <c r="F8" s="19">
        <v>0</v>
      </c>
      <c r="G8" s="19">
        <v>10849</v>
      </c>
      <c r="H8" s="19">
        <v>1</v>
      </c>
      <c r="I8" s="35"/>
      <c r="J8" s="32"/>
      <c r="K8" s="32"/>
      <c r="L8" s="32"/>
    </row>
    <row r="9" spans="1:12" s="34" customFormat="1">
      <c r="A9" s="11">
        <v>4</v>
      </c>
      <c r="B9" s="12" t="s">
        <v>72</v>
      </c>
      <c r="C9" s="40" t="s">
        <v>73</v>
      </c>
      <c r="D9" s="19">
        <v>45000</v>
      </c>
      <c r="E9" s="11">
        <v>5</v>
      </c>
      <c r="F9" s="19">
        <v>0</v>
      </c>
      <c r="G9" s="19">
        <v>44999</v>
      </c>
      <c r="H9" s="19">
        <v>1</v>
      </c>
      <c r="I9" s="35"/>
      <c r="J9" s="32"/>
      <c r="K9" s="32"/>
      <c r="L9" s="32"/>
    </row>
    <row r="10" spans="1:12" s="34" customFormat="1">
      <c r="A10" s="11">
        <v>5</v>
      </c>
      <c r="B10" s="12" t="s">
        <v>74</v>
      </c>
      <c r="C10" s="40" t="s">
        <v>75</v>
      </c>
      <c r="D10" s="19">
        <v>6130</v>
      </c>
      <c r="E10" s="11">
        <v>5</v>
      </c>
      <c r="F10" s="19">
        <v>0</v>
      </c>
      <c r="G10" s="19">
        <v>6129</v>
      </c>
      <c r="H10" s="19">
        <v>1</v>
      </c>
      <c r="I10" s="35"/>
      <c r="J10" s="32"/>
      <c r="K10" s="32"/>
      <c r="L10" s="32"/>
    </row>
    <row r="11" spans="1:12" s="34" customFormat="1">
      <c r="A11" s="11">
        <v>6</v>
      </c>
      <c r="B11" s="12" t="s">
        <v>76</v>
      </c>
      <c r="C11" s="40" t="s">
        <v>77</v>
      </c>
      <c r="D11" s="19">
        <v>46900</v>
      </c>
      <c r="E11" s="11">
        <v>5</v>
      </c>
      <c r="F11" s="19">
        <v>0</v>
      </c>
      <c r="G11" s="19">
        <v>46899</v>
      </c>
      <c r="H11" s="19">
        <v>1</v>
      </c>
      <c r="I11" s="35"/>
      <c r="J11" s="32"/>
      <c r="K11" s="32"/>
      <c r="L11" s="32"/>
    </row>
    <row r="12" spans="1:12" s="34" customFormat="1">
      <c r="A12" s="11">
        <v>7</v>
      </c>
      <c r="B12" s="12" t="s">
        <v>76</v>
      </c>
      <c r="C12" s="40" t="s">
        <v>78</v>
      </c>
      <c r="D12" s="19">
        <v>46900</v>
      </c>
      <c r="E12" s="11">
        <v>5</v>
      </c>
      <c r="F12" s="19">
        <v>0</v>
      </c>
      <c r="G12" s="19">
        <v>46899</v>
      </c>
      <c r="H12" s="19">
        <v>1</v>
      </c>
      <c r="I12" s="35"/>
      <c r="J12" s="32"/>
      <c r="K12" s="32"/>
      <c r="L12" s="32"/>
    </row>
    <row r="13" spans="1:12" s="34" customFormat="1">
      <c r="A13" s="11">
        <v>8</v>
      </c>
      <c r="B13" s="12" t="s">
        <v>79</v>
      </c>
      <c r="C13" s="40" t="s">
        <v>80</v>
      </c>
      <c r="D13" s="19">
        <v>96300</v>
      </c>
      <c r="E13" s="11">
        <v>5</v>
      </c>
      <c r="F13" s="19">
        <v>0</v>
      </c>
      <c r="G13" s="19">
        <v>96299</v>
      </c>
      <c r="H13" s="19">
        <v>1</v>
      </c>
      <c r="I13" s="35"/>
      <c r="J13" s="32"/>
      <c r="K13" s="32"/>
      <c r="L13" s="32"/>
    </row>
    <row r="14" spans="1:12" s="34" customFormat="1">
      <c r="A14" s="11">
        <v>9</v>
      </c>
      <c r="B14" s="12" t="s">
        <v>79</v>
      </c>
      <c r="C14" s="40" t="s">
        <v>81</v>
      </c>
      <c r="D14" s="19">
        <v>96300</v>
      </c>
      <c r="E14" s="11">
        <v>5</v>
      </c>
      <c r="F14" s="19">
        <v>0</v>
      </c>
      <c r="G14" s="19">
        <v>96299</v>
      </c>
      <c r="H14" s="19">
        <v>1</v>
      </c>
      <c r="I14" s="35"/>
      <c r="J14" s="32"/>
      <c r="K14" s="32"/>
      <c r="L14" s="32"/>
    </row>
    <row r="15" spans="1:12" s="34" customFormat="1">
      <c r="A15" s="11">
        <v>10</v>
      </c>
      <c r="B15" s="12" t="s">
        <v>82</v>
      </c>
      <c r="C15" s="40" t="s">
        <v>83</v>
      </c>
      <c r="D15" s="19">
        <v>16250</v>
      </c>
      <c r="E15" s="11">
        <v>5</v>
      </c>
      <c r="F15" s="19">
        <v>0</v>
      </c>
      <c r="G15" s="19">
        <v>16249</v>
      </c>
      <c r="H15" s="19">
        <v>1</v>
      </c>
      <c r="I15" s="35"/>
      <c r="J15" s="32"/>
      <c r="K15" s="32"/>
      <c r="L15" s="32"/>
    </row>
    <row r="16" spans="1:12" s="34" customFormat="1">
      <c r="A16" s="11">
        <v>11</v>
      </c>
      <c r="B16" s="41" t="s">
        <v>84</v>
      </c>
      <c r="C16" s="40" t="s">
        <v>85</v>
      </c>
      <c r="D16" s="19">
        <v>79000</v>
      </c>
      <c r="E16" s="11">
        <v>5</v>
      </c>
      <c r="F16" s="19">
        <v>0</v>
      </c>
      <c r="G16" s="19">
        <v>78999</v>
      </c>
      <c r="H16" s="19">
        <v>1</v>
      </c>
      <c r="I16" s="35"/>
      <c r="J16" s="32"/>
      <c r="K16" s="32"/>
      <c r="L16" s="32"/>
    </row>
    <row r="17" spans="1:12" s="34" customFormat="1">
      <c r="A17" s="11">
        <v>12</v>
      </c>
      <c r="B17" s="41" t="s">
        <v>86</v>
      </c>
      <c r="C17" s="40" t="s">
        <v>87</v>
      </c>
      <c r="D17" s="19">
        <v>45000</v>
      </c>
      <c r="E17" s="11">
        <v>5</v>
      </c>
      <c r="F17" s="19">
        <v>0</v>
      </c>
      <c r="G17" s="19">
        <v>44999</v>
      </c>
      <c r="H17" s="19">
        <v>1</v>
      </c>
      <c r="I17" s="35"/>
      <c r="J17" s="32"/>
      <c r="K17" s="32"/>
      <c r="L17" s="32"/>
    </row>
    <row r="18" spans="1:12" s="34" customFormat="1">
      <c r="A18" s="11">
        <v>13</v>
      </c>
      <c r="B18" s="41" t="s">
        <v>88</v>
      </c>
      <c r="C18" s="40" t="s">
        <v>89</v>
      </c>
      <c r="D18" s="19">
        <v>19900</v>
      </c>
      <c r="E18" s="11">
        <v>5</v>
      </c>
      <c r="F18" s="19">
        <v>0</v>
      </c>
      <c r="G18" s="19">
        <v>19899</v>
      </c>
      <c r="H18" s="19">
        <v>1</v>
      </c>
      <c r="I18" s="35"/>
      <c r="J18" s="32"/>
      <c r="K18" s="32"/>
      <c r="L18" s="32"/>
    </row>
    <row r="19" spans="1:12" s="34" customFormat="1">
      <c r="A19" s="11">
        <v>14</v>
      </c>
      <c r="B19" s="41" t="s">
        <v>88</v>
      </c>
      <c r="C19" s="40" t="s">
        <v>90</v>
      </c>
      <c r="D19" s="19">
        <v>19900</v>
      </c>
      <c r="E19" s="11">
        <v>5</v>
      </c>
      <c r="F19" s="19">
        <v>0</v>
      </c>
      <c r="G19" s="19">
        <v>19899</v>
      </c>
      <c r="H19" s="19">
        <v>1</v>
      </c>
      <c r="I19" s="35"/>
      <c r="J19" s="32"/>
      <c r="K19" s="32"/>
      <c r="L19" s="32"/>
    </row>
    <row r="20" spans="1:12" s="34" customFormat="1">
      <c r="A20" s="11">
        <v>15</v>
      </c>
      <c r="B20" s="41" t="s">
        <v>91</v>
      </c>
      <c r="C20" s="40" t="s">
        <v>92</v>
      </c>
      <c r="D20" s="19">
        <v>21900</v>
      </c>
      <c r="E20" s="11">
        <v>5</v>
      </c>
      <c r="F20" s="19">
        <v>0</v>
      </c>
      <c r="G20" s="19">
        <v>21899</v>
      </c>
      <c r="H20" s="19">
        <v>1</v>
      </c>
      <c r="I20" s="35"/>
      <c r="J20" s="32"/>
      <c r="K20" s="32"/>
      <c r="L20" s="32"/>
    </row>
    <row r="21" spans="1:12" s="34" customFormat="1">
      <c r="A21" s="42">
        <v>16</v>
      </c>
      <c r="B21" s="43" t="s">
        <v>93</v>
      </c>
      <c r="C21" s="44" t="s">
        <v>94</v>
      </c>
      <c r="D21" s="15">
        <v>46900</v>
      </c>
      <c r="E21" s="42">
        <v>5</v>
      </c>
      <c r="F21" s="15">
        <v>0</v>
      </c>
      <c r="G21" s="15">
        <v>46899</v>
      </c>
      <c r="H21" s="15">
        <v>1</v>
      </c>
      <c r="I21" s="35"/>
      <c r="J21" s="32"/>
      <c r="K21" s="32"/>
      <c r="L21" s="32"/>
    </row>
    <row r="22" spans="1:12" s="34" customFormat="1">
      <c r="A22" s="42">
        <v>17</v>
      </c>
      <c r="B22" s="43" t="s">
        <v>95</v>
      </c>
      <c r="C22" s="44" t="s">
        <v>96</v>
      </c>
      <c r="D22" s="15">
        <v>19900</v>
      </c>
      <c r="E22" s="42">
        <v>5</v>
      </c>
      <c r="F22" s="15">
        <v>0</v>
      </c>
      <c r="G22" s="15">
        <v>19899</v>
      </c>
      <c r="H22" s="15">
        <v>1</v>
      </c>
      <c r="I22" s="35"/>
      <c r="J22" s="32"/>
      <c r="K22" s="32"/>
      <c r="L22" s="32"/>
    </row>
    <row r="23" spans="1:12" s="34" customFormat="1">
      <c r="A23" s="42">
        <v>18</v>
      </c>
      <c r="B23" s="43" t="s">
        <v>97</v>
      </c>
      <c r="C23" s="44" t="s">
        <v>98</v>
      </c>
      <c r="D23" s="15">
        <v>590000</v>
      </c>
      <c r="E23" s="42">
        <v>5</v>
      </c>
      <c r="F23" s="15">
        <v>0</v>
      </c>
      <c r="G23" s="15">
        <v>589999</v>
      </c>
      <c r="H23" s="15">
        <v>1</v>
      </c>
      <c r="I23" s="35"/>
      <c r="J23" s="32"/>
      <c r="K23" s="32"/>
      <c r="L23" s="32"/>
    </row>
    <row r="24" spans="1:12" s="34" customFormat="1">
      <c r="A24" s="42">
        <v>19</v>
      </c>
      <c r="B24" s="43" t="s">
        <v>99</v>
      </c>
      <c r="C24" s="44" t="s">
        <v>100</v>
      </c>
      <c r="D24" s="15">
        <v>360000</v>
      </c>
      <c r="E24" s="42">
        <v>5</v>
      </c>
      <c r="F24" s="15">
        <v>0</v>
      </c>
      <c r="G24" s="15">
        <v>359999</v>
      </c>
      <c r="H24" s="15">
        <v>1</v>
      </c>
      <c r="I24" s="35"/>
      <c r="J24" s="32"/>
      <c r="K24" s="32"/>
      <c r="L24" s="32"/>
    </row>
    <row r="25" spans="1:12" s="34" customFormat="1">
      <c r="A25" s="42">
        <v>20</v>
      </c>
      <c r="B25" s="43" t="s">
        <v>101</v>
      </c>
      <c r="C25" s="44" t="s">
        <v>102</v>
      </c>
      <c r="D25" s="15">
        <v>35310</v>
      </c>
      <c r="E25" s="42">
        <v>5</v>
      </c>
      <c r="F25" s="15">
        <v>0</v>
      </c>
      <c r="G25" s="15">
        <v>35309</v>
      </c>
      <c r="H25" s="15">
        <v>1</v>
      </c>
      <c r="I25" s="35"/>
      <c r="J25" s="32"/>
      <c r="K25" s="32"/>
      <c r="L25" s="32"/>
    </row>
    <row r="26" spans="1:12" s="34" customFormat="1">
      <c r="A26" s="42">
        <v>21</v>
      </c>
      <c r="B26" s="43" t="s">
        <v>103</v>
      </c>
      <c r="C26" s="44" t="s">
        <v>104</v>
      </c>
      <c r="D26" s="15">
        <v>31190.5</v>
      </c>
      <c r="E26" s="42">
        <v>5</v>
      </c>
      <c r="F26" s="15">
        <v>0</v>
      </c>
      <c r="G26" s="15">
        <v>31189.5</v>
      </c>
      <c r="H26" s="15">
        <v>1</v>
      </c>
      <c r="I26" s="35"/>
      <c r="J26" s="32"/>
      <c r="K26" s="32"/>
      <c r="L26" s="32"/>
    </row>
    <row r="27" spans="1:12" s="34" customFormat="1">
      <c r="A27" s="42">
        <v>22</v>
      </c>
      <c r="B27" s="43" t="s">
        <v>105</v>
      </c>
      <c r="C27" s="44" t="s">
        <v>106</v>
      </c>
      <c r="D27" s="15">
        <v>23433</v>
      </c>
      <c r="E27" s="42">
        <v>5</v>
      </c>
      <c r="F27" s="15">
        <v>0</v>
      </c>
      <c r="G27" s="15">
        <v>23432</v>
      </c>
      <c r="H27" s="15">
        <v>1</v>
      </c>
      <c r="I27" s="35"/>
      <c r="J27" s="32"/>
      <c r="K27" s="32"/>
      <c r="L27" s="32"/>
    </row>
    <row r="28" spans="1:12" s="34" customFormat="1">
      <c r="A28" s="42">
        <v>23</v>
      </c>
      <c r="B28" s="43" t="s">
        <v>107</v>
      </c>
      <c r="C28" s="44" t="s">
        <v>108</v>
      </c>
      <c r="D28" s="15">
        <v>10298.75</v>
      </c>
      <c r="E28" s="42">
        <v>5</v>
      </c>
      <c r="F28" s="15">
        <v>0</v>
      </c>
      <c r="G28" s="15">
        <v>10297.75</v>
      </c>
      <c r="H28" s="15">
        <v>1</v>
      </c>
      <c r="I28" s="35"/>
      <c r="J28" s="32"/>
      <c r="K28" s="32"/>
      <c r="L28" s="32"/>
    </row>
    <row r="29" spans="1:12" s="34" customFormat="1">
      <c r="A29" s="42">
        <v>24</v>
      </c>
      <c r="B29" s="45" t="s">
        <v>109</v>
      </c>
      <c r="C29" s="44" t="s">
        <v>110</v>
      </c>
      <c r="D29" s="15">
        <v>96300</v>
      </c>
      <c r="E29" s="42">
        <v>5</v>
      </c>
      <c r="F29" s="15">
        <v>0</v>
      </c>
      <c r="G29" s="15">
        <v>96299</v>
      </c>
      <c r="H29" s="15">
        <v>1</v>
      </c>
      <c r="I29" s="35"/>
      <c r="J29" s="32"/>
      <c r="K29" s="32"/>
      <c r="L29" s="32"/>
    </row>
    <row r="30" spans="1:12" s="34" customFormat="1">
      <c r="A30" s="42">
        <v>25</v>
      </c>
      <c r="B30" s="46" t="s">
        <v>111</v>
      </c>
      <c r="C30" s="44" t="s">
        <v>112</v>
      </c>
      <c r="D30" s="15">
        <v>199983</v>
      </c>
      <c r="E30" s="42">
        <v>5</v>
      </c>
      <c r="F30" s="15">
        <v>0</v>
      </c>
      <c r="G30" s="15">
        <v>199982</v>
      </c>
      <c r="H30" s="15">
        <v>1</v>
      </c>
      <c r="I30" s="35"/>
      <c r="J30" s="32"/>
      <c r="K30" s="32"/>
      <c r="L30" s="32"/>
    </row>
    <row r="31" spans="1:12" s="34" customFormat="1">
      <c r="A31" s="42">
        <v>26</v>
      </c>
      <c r="B31" s="46" t="s">
        <v>111</v>
      </c>
      <c r="C31" s="44" t="s">
        <v>113</v>
      </c>
      <c r="D31" s="15">
        <v>199983</v>
      </c>
      <c r="E31" s="42">
        <v>5</v>
      </c>
      <c r="F31" s="15">
        <v>0</v>
      </c>
      <c r="G31" s="15">
        <v>199982</v>
      </c>
      <c r="H31" s="15">
        <v>1</v>
      </c>
      <c r="I31" s="35"/>
      <c r="J31" s="32"/>
      <c r="K31" s="32"/>
      <c r="L31" s="32"/>
    </row>
    <row r="32" spans="1:12" s="34" customFormat="1">
      <c r="A32" s="42">
        <v>27</v>
      </c>
      <c r="B32" s="46" t="s">
        <v>111</v>
      </c>
      <c r="C32" s="44" t="s">
        <v>114</v>
      </c>
      <c r="D32" s="15">
        <v>199983</v>
      </c>
      <c r="E32" s="42">
        <v>5</v>
      </c>
      <c r="F32" s="15">
        <v>0</v>
      </c>
      <c r="G32" s="15">
        <v>199982</v>
      </c>
      <c r="H32" s="15">
        <v>1</v>
      </c>
      <c r="I32" s="35"/>
      <c r="J32" s="32"/>
      <c r="K32" s="32"/>
      <c r="L32" s="32"/>
    </row>
    <row r="33" spans="1:12" s="34" customFormat="1">
      <c r="A33" s="42">
        <v>28</v>
      </c>
      <c r="B33" s="47" t="s">
        <v>115</v>
      </c>
      <c r="C33" s="48" t="s">
        <v>116</v>
      </c>
      <c r="D33" s="49">
        <v>45000</v>
      </c>
      <c r="E33" s="50">
        <v>5</v>
      </c>
      <c r="F33" s="15">
        <v>9000</v>
      </c>
      <c r="G33" s="15">
        <v>11250</v>
      </c>
      <c r="H33" s="15">
        <v>33750</v>
      </c>
      <c r="I33" s="35"/>
      <c r="J33" s="32"/>
      <c r="K33" s="32"/>
      <c r="L33" s="32"/>
    </row>
    <row r="34" spans="1:12" s="34" customFormat="1">
      <c r="A34" s="42">
        <v>29</v>
      </c>
      <c r="B34" s="47" t="s">
        <v>115</v>
      </c>
      <c r="C34" s="48" t="s">
        <v>117</v>
      </c>
      <c r="D34" s="49">
        <v>280000</v>
      </c>
      <c r="E34" s="50">
        <v>5</v>
      </c>
      <c r="F34" s="15">
        <v>56000</v>
      </c>
      <c r="G34" s="15">
        <v>70000</v>
      </c>
      <c r="H34" s="15">
        <v>210000</v>
      </c>
      <c r="I34" s="35"/>
      <c r="J34" s="32"/>
      <c r="K34" s="32"/>
      <c r="L34" s="32"/>
    </row>
    <row r="35" spans="1:12" s="34" customFormat="1">
      <c r="A35" s="42">
        <v>30</v>
      </c>
      <c r="B35" s="51" t="s">
        <v>118</v>
      </c>
      <c r="C35" s="52" t="s">
        <v>119</v>
      </c>
      <c r="D35" s="53">
        <v>149120.98000000001</v>
      </c>
      <c r="E35" s="54">
        <v>5</v>
      </c>
      <c r="F35" s="15">
        <v>14912.098000000002</v>
      </c>
      <c r="G35" s="15">
        <v>14912.098000000002</v>
      </c>
      <c r="H35" s="15">
        <v>134208.88200000001</v>
      </c>
      <c r="I35" s="35"/>
      <c r="J35" s="32"/>
      <c r="K35" s="32"/>
      <c r="L35" s="32"/>
    </row>
    <row r="36" spans="1:12">
      <c r="A36" s="33"/>
      <c r="B36" s="33"/>
      <c r="C36" s="32"/>
      <c r="D36" s="19">
        <f>SUM(D6:D35)</f>
        <v>3207732.23</v>
      </c>
      <c r="E36" s="19">
        <f>SUM(E6:E35)</f>
        <v>150</v>
      </c>
      <c r="F36" s="19">
        <f>SUM(F6:F35)</f>
        <v>79912.097999999998</v>
      </c>
      <c r="G36" s="19">
        <f>SUM(G6:G35)</f>
        <v>2829746.3480000002</v>
      </c>
      <c r="H36" s="19">
        <f>SUM(H6:H35)</f>
        <v>377985.88199999998</v>
      </c>
    </row>
    <row r="39" spans="1:12">
      <c r="D39" s="30" t="s">
        <v>4</v>
      </c>
      <c r="E39" s="31" t="s">
        <v>3</v>
      </c>
      <c r="F39" s="30" t="s">
        <v>2</v>
      </c>
      <c r="G39" s="30" t="s">
        <v>1</v>
      </c>
    </row>
    <row r="40" spans="1:12" ht="25.5">
      <c r="C40" s="29" t="s">
        <v>0</v>
      </c>
      <c r="D40" s="55">
        <f>D36</f>
        <v>3207732.23</v>
      </c>
      <c r="E40" s="55">
        <f>F36</f>
        <v>79912.097999999998</v>
      </c>
      <c r="F40" s="55">
        <f>G36</f>
        <v>2829746.3480000002</v>
      </c>
      <c r="G40" s="55">
        <f>H36</f>
        <v>377985.88199999998</v>
      </c>
    </row>
  </sheetData>
  <autoFilter ref="A5:E5"/>
  <mergeCells count="1">
    <mergeCell ref="A2:E2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L159"/>
  <sheetViews>
    <sheetView topLeftCell="A2" zoomScaleSheetLayoutView="90" workbookViewId="0">
      <selection activeCell="F149" sqref="F149"/>
    </sheetView>
  </sheetViews>
  <sheetFormatPr defaultColWidth="9" defaultRowHeight="23.25"/>
  <cols>
    <col min="1" max="1" width="9" style="1"/>
    <col min="2" max="2" width="48.25" style="1" customWidth="1"/>
    <col min="3" max="3" width="22.5" style="26" customWidth="1"/>
    <col min="4" max="4" width="14.875" style="27" customWidth="1"/>
    <col min="5" max="5" width="13.125" style="1" customWidth="1"/>
    <col min="6" max="6" width="12.25" style="2" customWidth="1"/>
    <col min="7" max="7" width="12.625" style="2" customWidth="1"/>
    <col min="8" max="8" width="11.875" style="2" customWidth="1"/>
    <col min="9" max="9" width="11.875" style="1" hidden="1" customWidth="1"/>
    <col min="10" max="11" width="12" style="1" hidden="1" customWidth="1"/>
    <col min="12" max="12" width="9" style="1" hidden="1" customWidth="1"/>
    <col min="13" max="16384" width="9" style="1"/>
  </cols>
  <sheetData>
    <row r="1" spans="1:12" hidden="1"/>
    <row r="2" spans="1:12">
      <c r="A2" s="151" t="s">
        <v>61</v>
      </c>
      <c r="B2" s="151"/>
      <c r="C2" s="151"/>
      <c r="D2" s="151"/>
      <c r="E2" s="151"/>
    </row>
    <row r="3" spans="1:12">
      <c r="A3" s="26"/>
      <c r="B3" s="26"/>
      <c r="D3" s="26"/>
      <c r="E3" s="26"/>
    </row>
    <row r="4" spans="1:12">
      <c r="B4" s="1" t="s">
        <v>381</v>
      </c>
      <c r="D4" s="1"/>
    </row>
    <row r="5" spans="1:12">
      <c r="A5" s="11" t="s">
        <v>59</v>
      </c>
      <c r="B5" s="11" t="s">
        <v>58</v>
      </c>
      <c r="C5" s="11" t="s">
        <v>57</v>
      </c>
      <c r="D5" s="19" t="s">
        <v>4</v>
      </c>
      <c r="E5" s="38" t="s">
        <v>56</v>
      </c>
      <c r="F5" s="37" t="s">
        <v>55</v>
      </c>
      <c r="G5" s="37" t="s">
        <v>54</v>
      </c>
      <c r="H5" s="37" t="s">
        <v>53</v>
      </c>
      <c r="I5" s="36" t="s">
        <v>55</v>
      </c>
      <c r="J5" s="36" t="s">
        <v>54</v>
      </c>
      <c r="K5" s="36" t="s">
        <v>53</v>
      </c>
      <c r="L5" s="36" t="s">
        <v>64</v>
      </c>
    </row>
    <row r="6" spans="1:12" s="34" customFormat="1">
      <c r="A6" s="11">
        <v>1</v>
      </c>
      <c r="B6" s="12" t="s">
        <v>380</v>
      </c>
      <c r="C6" s="11" t="s">
        <v>379</v>
      </c>
      <c r="D6" s="19">
        <v>10593</v>
      </c>
      <c r="E6" s="11">
        <v>2</v>
      </c>
      <c r="F6" s="19">
        <v>0</v>
      </c>
      <c r="G6" s="19">
        <v>10592</v>
      </c>
      <c r="H6" s="19">
        <v>1</v>
      </c>
      <c r="I6" s="35"/>
      <c r="J6" s="32"/>
      <c r="K6" s="32"/>
      <c r="L6" s="32"/>
    </row>
    <row r="7" spans="1:12" s="34" customFormat="1">
      <c r="A7" s="11">
        <v>2</v>
      </c>
      <c r="B7" s="12" t="s">
        <v>377</v>
      </c>
      <c r="C7" s="11" t="s">
        <v>378</v>
      </c>
      <c r="D7" s="19">
        <v>8450</v>
      </c>
      <c r="E7" s="11">
        <v>2</v>
      </c>
      <c r="F7" s="19">
        <v>0</v>
      </c>
      <c r="G7" s="19">
        <v>8449</v>
      </c>
      <c r="H7" s="19">
        <v>1</v>
      </c>
      <c r="I7" s="35"/>
      <c r="J7" s="32"/>
      <c r="K7" s="32"/>
      <c r="L7" s="32"/>
    </row>
    <row r="8" spans="1:12" s="34" customFormat="1">
      <c r="A8" s="11">
        <v>3</v>
      </c>
      <c r="B8" s="12" t="s">
        <v>377</v>
      </c>
      <c r="C8" s="11" t="s">
        <v>376</v>
      </c>
      <c r="D8" s="19">
        <v>8450.01</v>
      </c>
      <c r="E8" s="11">
        <v>2</v>
      </c>
      <c r="F8" s="19">
        <v>0</v>
      </c>
      <c r="G8" s="19">
        <v>8449.01</v>
      </c>
      <c r="H8" s="19">
        <v>1</v>
      </c>
      <c r="I8" s="35"/>
      <c r="J8" s="32"/>
      <c r="K8" s="32"/>
      <c r="L8" s="32"/>
    </row>
    <row r="9" spans="1:12" s="34" customFormat="1">
      <c r="A9" s="11">
        <v>4</v>
      </c>
      <c r="B9" s="12" t="s">
        <v>375</v>
      </c>
      <c r="C9" s="11" t="s">
        <v>374</v>
      </c>
      <c r="D9" s="19">
        <v>7274.93</v>
      </c>
      <c r="E9" s="11">
        <v>2</v>
      </c>
      <c r="F9" s="19">
        <v>0</v>
      </c>
      <c r="G9" s="19">
        <v>7273.93</v>
      </c>
      <c r="H9" s="19">
        <v>1</v>
      </c>
      <c r="I9" s="35"/>
      <c r="J9" s="32"/>
      <c r="K9" s="32"/>
      <c r="L9" s="32"/>
    </row>
    <row r="10" spans="1:12" s="34" customFormat="1">
      <c r="A10" s="11">
        <v>5</v>
      </c>
      <c r="B10" s="12" t="s">
        <v>373</v>
      </c>
      <c r="C10" s="12" t="s">
        <v>372</v>
      </c>
      <c r="D10" s="19">
        <v>6450</v>
      </c>
      <c r="E10" s="11">
        <v>2</v>
      </c>
      <c r="F10" s="19">
        <v>0</v>
      </c>
      <c r="G10" s="19">
        <v>6449</v>
      </c>
      <c r="H10" s="19">
        <v>1</v>
      </c>
      <c r="I10" s="35"/>
      <c r="J10" s="32"/>
      <c r="K10" s="32"/>
      <c r="L10" s="32"/>
    </row>
    <row r="11" spans="1:12" s="34" customFormat="1">
      <c r="A11" s="11">
        <v>6</v>
      </c>
      <c r="B11" s="12" t="s">
        <v>371</v>
      </c>
      <c r="C11" s="12" t="s">
        <v>370</v>
      </c>
      <c r="D11" s="19">
        <v>12800</v>
      </c>
      <c r="E11" s="11">
        <v>2</v>
      </c>
      <c r="F11" s="19">
        <v>0</v>
      </c>
      <c r="G11" s="19">
        <v>12799</v>
      </c>
      <c r="H11" s="19">
        <v>1</v>
      </c>
      <c r="I11" s="35"/>
      <c r="J11" s="32"/>
      <c r="K11" s="32"/>
      <c r="L11" s="32"/>
    </row>
    <row r="12" spans="1:12" s="34" customFormat="1">
      <c r="A12" s="11">
        <v>7</v>
      </c>
      <c r="B12" s="12" t="s">
        <v>369</v>
      </c>
      <c r="C12" s="12" t="s">
        <v>368</v>
      </c>
      <c r="D12" s="19">
        <v>14980</v>
      </c>
      <c r="E12" s="11">
        <v>2</v>
      </c>
      <c r="F12" s="19">
        <v>0</v>
      </c>
      <c r="G12" s="19">
        <v>14979</v>
      </c>
      <c r="H12" s="19">
        <v>1</v>
      </c>
      <c r="I12" s="35"/>
      <c r="J12" s="32"/>
      <c r="K12" s="32"/>
      <c r="L12" s="32"/>
    </row>
    <row r="13" spans="1:12" s="34" customFormat="1">
      <c r="A13" s="11">
        <v>8</v>
      </c>
      <c r="B13" s="12" t="s">
        <v>367</v>
      </c>
      <c r="C13" s="12" t="s">
        <v>366</v>
      </c>
      <c r="D13" s="19">
        <v>25680</v>
      </c>
      <c r="E13" s="11">
        <v>2</v>
      </c>
      <c r="F13" s="19">
        <v>0</v>
      </c>
      <c r="G13" s="19">
        <v>25679</v>
      </c>
      <c r="H13" s="19">
        <v>1</v>
      </c>
      <c r="I13" s="35"/>
      <c r="J13" s="32"/>
      <c r="K13" s="32"/>
      <c r="L13" s="32"/>
    </row>
    <row r="14" spans="1:12" s="34" customFormat="1">
      <c r="A14" s="11">
        <v>9</v>
      </c>
      <c r="B14" s="12" t="s">
        <v>365</v>
      </c>
      <c r="C14" s="12" t="s">
        <v>364</v>
      </c>
      <c r="D14" s="19">
        <v>43500</v>
      </c>
      <c r="E14" s="11">
        <v>2</v>
      </c>
      <c r="F14" s="19">
        <v>0</v>
      </c>
      <c r="G14" s="19">
        <v>43499</v>
      </c>
      <c r="H14" s="19">
        <v>1</v>
      </c>
      <c r="I14" s="35"/>
      <c r="J14" s="32"/>
      <c r="K14" s="32"/>
      <c r="L14" s="32"/>
    </row>
    <row r="15" spans="1:12" s="34" customFormat="1">
      <c r="A15" s="11">
        <v>10</v>
      </c>
      <c r="B15" s="12" t="s">
        <v>363</v>
      </c>
      <c r="C15" s="12" t="s">
        <v>362</v>
      </c>
      <c r="D15" s="19">
        <v>40000</v>
      </c>
      <c r="E15" s="11">
        <v>2</v>
      </c>
      <c r="F15" s="19">
        <v>0</v>
      </c>
      <c r="G15" s="19">
        <v>39999</v>
      </c>
      <c r="H15" s="19">
        <v>1</v>
      </c>
      <c r="I15" s="35"/>
      <c r="J15" s="32"/>
      <c r="K15" s="32"/>
      <c r="L15" s="32"/>
    </row>
    <row r="16" spans="1:12" s="34" customFormat="1">
      <c r="A16" s="11">
        <v>11</v>
      </c>
      <c r="B16" s="12" t="s">
        <v>361</v>
      </c>
      <c r="C16" s="12" t="s">
        <v>360</v>
      </c>
      <c r="D16" s="19">
        <v>15037.9</v>
      </c>
      <c r="E16" s="11">
        <v>2</v>
      </c>
      <c r="F16" s="19">
        <v>0</v>
      </c>
      <c r="G16" s="19">
        <v>15036.9</v>
      </c>
      <c r="H16" s="19">
        <v>1</v>
      </c>
      <c r="I16" s="35"/>
      <c r="J16" s="32"/>
      <c r="K16" s="32"/>
      <c r="L16" s="32"/>
    </row>
    <row r="17" spans="1:12" s="34" customFormat="1">
      <c r="A17" s="11">
        <v>12</v>
      </c>
      <c r="B17" s="12" t="s">
        <v>359</v>
      </c>
      <c r="C17" s="12" t="s">
        <v>358</v>
      </c>
      <c r="D17" s="19">
        <v>93090</v>
      </c>
      <c r="E17" s="11">
        <v>2</v>
      </c>
      <c r="F17" s="19">
        <v>0</v>
      </c>
      <c r="G17" s="19">
        <v>93089</v>
      </c>
      <c r="H17" s="19">
        <v>1</v>
      </c>
      <c r="I17" s="35"/>
      <c r="J17" s="32"/>
      <c r="K17" s="32"/>
      <c r="L17" s="32"/>
    </row>
    <row r="18" spans="1:12" s="34" customFormat="1">
      <c r="A18" s="11">
        <v>13</v>
      </c>
      <c r="B18" s="12" t="s">
        <v>357</v>
      </c>
      <c r="C18" s="12" t="s">
        <v>356</v>
      </c>
      <c r="D18" s="19">
        <v>16552.900000000001</v>
      </c>
      <c r="E18" s="11">
        <v>2</v>
      </c>
      <c r="F18" s="19">
        <v>0</v>
      </c>
      <c r="G18" s="19">
        <v>16551.900000000001</v>
      </c>
      <c r="H18" s="19">
        <v>1</v>
      </c>
      <c r="I18" s="35"/>
      <c r="J18" s="32"/>
      <c r="K18" s="32"/>
      <c r="L18" s="32"/>
    </row>
    <row r="19" spans="1:12" s="34" customFormat="1">
      <c r="A19" s="11">
        <v>14</v>
      </c>
      <c r="B19" s="12" t="s">
        <v>355</v>
      </c>
      <c r="C19" s="12" t="s">
        <v>354</v>
      </c>
      <c r="D19" s="19">
        <v>15037.9</v>
      </c>
      <c r="E19" s="11">
        <v>2</v>
      </c>
      <c r="F19" s="19">
        <v>0</v>
      </c>
      <c r="G19" s="19">
        <v>15036.9</v>
      </c>
      <c r="H19" s="19">
        <v>1</v>
      </c>
      <c r="I19" s="35"/>
      <c r="J19" s="32"/>
      <c r="K19" s="32"/>
      <c r="L19" s="32"/>
    </row>
    <row r="20" spans="1:12" s="34" customFormat="1">
      <c r="A20" s="11">
        <v>15</v>
      </c>
      <c r="B20" s="12" t="s">
        <v>353</v>
      </c>
      <c r="C20" s="12" t="s">
        <v>352</v>
      </c>
      <c r="D20" s="19">
        <v>15800.01</v>
      </c>
      <c r="E20" s="11">
        <v>2</v>
      </c>
      <c r="F20" s="19">
        <v>0</v>
      </c>
      <c r="G20" s="19">
        <v>15799.01</v>
      </c>
      <c r="H20" s="19">
        <v>1</v>
      </c>
      <c r="I20" s="35"/>
      <c r="J20" s="32"/>
      <c r="K20" s="32"/>
      <c r="L20" s="32"/>
    </row>
    <row r="21" spans="1:12" s="34" customFormat="1">
      <c r="A21" s="11">
        <v>16</v>
      </c>
      <c r="B21" s="12" t="s">
        <v>351</v>
      </c>
      <c r="C21" s="12" t="s">
        <v>350</v>
      </c>
      <c r="D21" s="19">
        <v>5136</v>
      </c>
      <c r="E21" s="11">
        <v>2</v>
      </c>
      <c r="F21" s="19">
        <v>0</v>
      </c>
      <c r="G21" s="19">
        <v>5135</v>
      </c>
      <c r="H21" s="19">
        <v>1</v>
      </c>
      <c r="I21" s="35"/>
      <c r="J21" s="32"/>
      <c r="K21" s="32"/>
      <c r="L21" s="32"/>
    </row>
    <row r="22" spans="1:12" s="34" customFormat="1">
      <c r="A22" s="11">
        <v>17</v>
      </c>
      <c r="B22" s="12" t="s">
        <v>349</v>
      </c>
      <c r="C22" s="12" t="s">
        <v>348</v>
      </c>
      <c r="D22" s="19">
        <v>23005</v>
      </c>
      <c r="E22" s="11">
        <v>2</v>
      </c>
      <c r="F22" s="19">
        <v>0</v>
      </c>
      <c r="G22" s="19">
        <v>23004</v>
      </c>
      <c r="H22" s="19">
        <v>1</v>
      </c>
      <c r="I22" s="35"/>
      <c r="J22" s="32"/>
      <c r="K22" s="32"/>
      <c r="L22" s="32"/>
    </row>
    <row r="23" spans="1:12" s="34" customFormat="1">
      <c r="A23" s="11">
        <v>18</v>
      </c>
      <c r="B23" s="12" t="s">
        <v>347</v>
      </c>
      <c r="C23" s="12" t="s">
        <v>346</v>
      </c>
      <c r="D23" s="19">
        <v>10165</v>
      </c>
      <c r="E23" s="11">
        <v>2</v>
      </c>
      <c r="F23" s="19">
        <v>0</v>
      </c>
      <c r="G23" s="19">
        <v>10164</v>
      </c>
      <c r="H23" s="19">
        <v>1</v>
      </c>
      <c r="I23" s="35"/>
      <c r="J23" s="32"/>
      <c r="K23" s="32"/>
      <c r="L23" s="32"/>
    </row>
    <row r="24" spans="1:12" s="34" customFormat="1">
      <c r="A24" s="11">
        <v>19</v>
      </c>
      <c r="B24" s="12" t="s">
        <v>345</v>
      </c>
      <c r="C24" s="12" t="s">
        <v>344</v>
      </c>
      <c r="D24" s="19">
        <v>8239</v>
      </c>
      <c r="E24" s="11">
        <v>2</v>
      </c>
      <c r="F24" s="19">
        <v>0</v>
      </c>
      <c r="G24" s="19">
        <v>8238</v>
      </c>
      <c r="H24" s="19">
        <v>1</v>
      </c>
      <c r="I24" s="35"/>
      <c r="J24" s="32"/>
      <c r="K24" s="32"/>
      <c r="L24" s="32"/>
    </row>
    <row r="25" spans="1:12" s="34" customFormat="1">
      <c r="A25" s="11">
        <v>20</v>
      </c>
      <c r="B25" s="12" t="s">
        <v>343</v>
      </c>
      <c r="C25" s="12" t="s">
        <v>342</v>
      </c>
      <c r="D25" s="19">
        <v>6420</v>
      </c>
      <c r="E25" s="11">
        <v>2</v>
      </c>
      <c r="F25" s="19">
        <v>0</v>
      </c>
      <c r="G25" s="19">
        <v>6419</v>
      </c>
      <c r="H25" s="19">
        <v>1</v>
      </c>
      <c r="I25" s="35"/>
      <c r="J25" s="32"/>
      <c r="K25" s="32"/>
      <c r="L25" s="32"/>
    </row>
    <row r="26" spans="1:12" s="34" customFormat="1">
      <c r="A26" s="11">
        <v>21</v>
      </c>
      <c r="B26" s="12" t="s">
        <v>341</v>
      </c>
      <c r="C26" s="12" t="s">
        <v>340</v>
      </c>
      <c r="D26" s="19">
        <v>9630</v>
      </c>
      <c r="E26" s="11">
        <v>2</v>
      </c>
      <c r="F26" s="19">
        <v>0</v>
      </c>
      <c r="G26" s="19">
        <v>9629</v>
      </c>
      <c r="H26" s="19">
        <v>1</v>
      </c>
      <c r="I26" s="35"/>
      <c r="J26" s="32"/>
      <c r="K26" s="32"/>
      <c r="L26" s="32"/>
    </row>
    <row r="27" spans="1:12" s="34" customFormat="1">
      <c r="A27" s="11">
        <v>22</v>
      </c>
      <c r="B27" s="12" t="s">
        <v>339</v>
      </c>
      <c r="C27" s="12" t="s">
        <v>338</v>
      </c>
      <c r="D27" s="19">
        <v>6634</v>
      </c>
      <c r="E27" s="11">
        <v>2</v>
      </c>
      <c r="F27" s="19">
        <v>0</v>
      </c>
      <c r="G27" s="19">
        <v>6633</v>
      </c>
      <c r="H27" s="19">
        <v>1</v>
      </c>
      <c r="I27" s="35"/>
      <c r="J27" s="32"/>
      <c r="K27" s="32"/>
      <c r="L27" s="32"/>
    </row>
    <row r="28" spans="1:12" s="34" customFormat="1">
      <c r="A28" s="11">
        <v>23</v>
      </c>
      <c r="B28" s="12" t="s">
        <v>337</v>
      </c>
      <c r="C28" s="12" t="s">
        <v>336</v>
      </c>
      <c r="D28" s="19">
        <v>63483.1</v>
      </c>
      <c r="E28" s="11">
        <v>2</v>
      </c>
      <c r="F28" s="19">
        <v>0</v>
      </c>
      <c r="G28" s="19">
        <v>63482.1</v>
      </c>
      <c r="H28" s="19">
        <v>1</v>
      </c>
      <c r="I28" s="35"/>
      <c r="J28" s="32"/>
      <c r="K28" s="32"/>
      <c r="L28" s="32"/>
    </row>
    <row r="29" spans="1:12" s="34" customFormat="1">
      <c r="A29" s="11">
        <v>24</v>
      </c>
      <c r="B29" s="12" t="s">
        <v>335</v>
      </c>
      <c r="C29" s="12" t="s">
        <v>334</v>
      </c>
      <c r="D29" s="19">
        <v>7450</v>
      </c>
      <c r="E29" s="11">
        <v>2</v>
      </c>
      <c r="F29" s="19">
        <v>0</v>
      </c>
      <c r="G29" s="19">
        <v>7449</v>
      </c>
      <c r="H29" s="19">
        <v>1</v>
      </c>
      <c r="I29" s="35"/>
      <c r="J29" s="32"/>
      <c r="K29" s="32"/>
      <c r="L29" s="32"/>
    </row>
    <row r="30" spans="1:12" s="34" customFormat="1">
      <c r="A30" s="11">
        <v>25</v>
      </c>
      <c r="B30" s="12" t="s">
        <v>333</v>
      </c>
      <c r="C30" s="12" t="s">
        <v>332</v>
      </c>
      <c r="D30" s="19">
        <v>62000</v>
      </c>
      <c r="E30" s="11">
        <v>2</v>
      </c>
      <c r="F30" s="19">
        <v>0</v>
      </c>
      <c r="G30" s="19">
        <v>61999</v>
      </c>
      <c r="H30" s="19">
        <v>1</v>
      </c>
      <c r="I30" s="35"/>
      <c r="J30" s="32"/>
      <c r="K30" s="32"/>
      <c r="L30" s="32"/>
    </row>
    <row r="31" spans="1:12" s="34" customFormat="1">
      <c r="A31" s="11">
        <v>26</v>
      </c>
      <c r="B31" s="12" t="s">
        <v>331</v>
      </c>
      <c r="C31" s="12" t="s">
        <v>330</v>
      </c>
      <c r="D31" s="19">
        <v>13700</v>
      </c>
      <c r="E31" s="11">
        <v>2</v>
      </c>
      <c r="F31" s="19">
        <v>0</v>
      </c>
      <c r="G31" s="19">
        <v>13699</v>
      </c>
      <c r="H31" s="19">
        <v>1</v>
      </c>
      <c r="I31" s="35"/>
      <c r="J31" s="32"/>
      <c r="K31" s="32"/>
      <c r="L31" s="32"/>
    </row>
    <row r="32" spans="1:12" s="34" customFormat="1">
      <c r="A32" s="11">
        <v>27</v>
      </c>
      <c r="B32" s="12" t="s">
        <v>329</v>
      </c>
      <c r="C32" s="12" t="s">
        <v>328</v>
      </c>
      <c r="D32" s="19">
        <v>8560</v>
      </c>
      <c r="E32" s="11">
        <v>2</v>
      </c>
      <c r="F32" s="19">
        <v>0</v>
      </c>
      <c r="G32" s="19">
        <v>8559</v>
      </c>
      <c r="H32" s="19">
        <v>1</v>
      </c>
      <c r="I32" s="35"/>
      <c r="J32" s="32"/>
      <c r="K32" s="32"/>
      <c r="L32" s="32"/>
    </row>
    <row r="33" spans="1:12" s="34" customFormat="1">
      <c r="A33" s="11">
        <v>28</v>
      </c>
      <c r="B33" s="12" t="s">
        <v>327</v>
      </c>
      <c r="C33" s="12" t="s">
        <v>326</v>
      </c>
      <c r="D33" s="19">
        <v>7276</v>
      </c>
      <c r="E33" s="11">
        <v>2</v>
      </c>
      <c r="F33" s="19">
        <v>0</v>
      </c>
      <c r="G33" s="19">
        <v>7275</v>
      </c>
      <c r="H33" s="19">
        <v>1</v>
      </c>
      <c r="I33" s="35"/>
      <c r="J33" s="32"/>
      <c r="K33" s="32"/>
      <c r="L33" s="32"/>
    </row>
    <row r="34" spans="1:12" s="34" customFormat="1">
      <c r="A34" s="11">
        <v>29</v>
      </c>
      <c r="B34" s="12" t="s">
        <v>325</v>
      </c>
      <c r="C34" s="12" t="s">
        <v>324</v>
      </c>
      <c r="D34" s="19">
        <v>39697</v>
      </c>
      <c r="E34" s="11">
        <v>2</v>
      </c>
      <c r="F34" s="19">
        <v>0</v>
      </c>
      <c r="G34" s="19">
        <v>39696</v>
      </c>
      <c r="H34" s="19">
        <v>1</v>
      </c>
      <c r="I34" s="35"/>
      <c r="J34" s="32"/>
      <c r="K34" s="32"/>
      <c r="L34" s="32"/>
    </row>
    <row r="35" spans="1:12" s="34" customFormat="1">
      <c r="A35" s="11">
        <v>30</v>
      </c>
      <c r="B35" s="12" t="s">
        <v>323</v>
      </c>
      <c r="C35" s="12" t="s">
        <v>322</v>
      </c>
      <c r="D35" s="19">
        <v>5600.01</v>
      </c>
      <c r="E35" s="11">
        <v>2</v>
      </c>
      <c r="F35" s="19">
        <v>0</v>
      </c>
      <c r="G35" s="19">
        <v>5599.01</v>
      </c>
      <c r="H35" s="19">
        <v>1</v>
      </c>
      <c r="I35" s="35"/>
      <c r="J35" s="32"/>
      <c r="K35" s="32"/>
      <c r="L35" s="32"/>
    </row>
    <row r="36" spans="1:12" s="34" customFormat="1">
      <c r="A36" s="11">
        <v>31</v>
      </c>
      <c r="B36" s="12" t="s">
        <v>321</v>
      </c>
      <c r="C36" s="12" t="s">
        <v>320</v>
      </c>
      <c r="D36" s="19">
        <v>6401</v>
      </c>
      <c r="E36" s="11">
        <v>2</v>
      </c>
      <c r="F36" s="19">
        <v>0</v>
      </c>
      <c r="G36" s="19">
        <v>6400</v>
      </c>
      <c r="H36" s="19">
        <v>1</v>
      </c>
      <c r="I36" s="35"/>
      <c r="J36" s="32"/>
      <c r="K36" s="32"/>
      <c r="L36" s="32"/>
    </row>
    <row r="37" spans="1:12" s="34" customFormat="1">
      <c r="A37" s="11">
        <v>32</v>
      </c>
      <c r="B37" s="12" t="s">
        <v>318</v>
      </c>
      <c r="C37" s="12" t="s">
        <v>319</v>
      </c>
      <c r="D37" s="19">
        <v>15200</v>
      </c>
      <c r="E37" s="11">
        <v>2</v>
      </c>
      <c r="F37" s="19">
        <v>0</v>
      </c>
      <c r="G37" s="19">
        <v>15199</v>
      </c>
      <c r="H37" s="19">
        <v>1</v>
      </c>
      <c r="I37" s="35"/>
      <c r="J37" s="32"/>
      <c r="K37" s="32"/>
      <c r="L37" s="32"/>
    </row>
    <row r="38" spans="1:12" s="34" customFormat="1">
      <c r="A38" s="11">
        <v>33</v>
      </c>
      <c r="B38" s="12" t="s">
        <v>318</v>
      </c>
      <c r="C38" s="12" t="s">
        <v>317</v>
      </c>
      <c r="D38" s="19">
        <v>15200</v>
      </c>
      <c r="E38" s="11">
        <v>2</v>
      </c>
      <c r="F38" s="19">
        <v>0</v>
      </c>
      <c r="G38" s="19">
        <v>15199</v>
      </c>
      <c r="H38" s="19">
        <v>1</v>
      </c>
      <c r="I38" s="35"/>
      <c r="J38" s="32"/>
      <c r="K38" s="32"/>
      <c r="L38" s="32"/>
    </row>
    <row r="39" spans="1:12" s="34" customFormat="1">
      <c r="A39" s="11">
        <v>34</v>
      </c>
      <c r="B39" s="12" t="s">
        <v>316</v>
      </c>
      <c r="C39" s="12" t="s">
        <v>315</v>
      </c>
      <c r="D39" s="19">
        <v>7200.16</v>
      </c>
      <c r="E39" s="11">
        <v>2</v>
      </c>
      <c r="F39" s="19">
        <v>0</v>
      </c>
      <c r="G39" s="19">
        <v>7199.16</v>
      </c>
      <c r="H39" s="19">
        <v>1</v>
      </c>
      <c r="I39" s="35"/>
      <c r="J39" s="32"/>
      <c r="K39" s="32"/>
      <c r="L39" s="32"/>
    </row>
    <row r="40" spans="1:12" s="34" customFormat="1">
      <c r="A40" s="11">
        <v>35</v>
      </c>
      <c r="B40" s="12" t="s">
        <v>314</v>
      </c>
      <c r="C40" s="12" t="s">
        <v>313</v>
      </c>
      <c r="D40" s="19">
        <v>5500</v>
      </c>
      <c r="E40" s="11">
        <v>2</v>
      </c>
      <c r="F40" s="19">
        <v>0</v>
      </c>
      <c r="G40" s="19">
        <v>5499</v>
      </c>
      <c r="H40" s="19">
        <v>1</v>
      </c>
      <c r="I40" s="35"/>
      <c r="J40" s="32"/>
      <c r="K40" s="32"/>
      <c r="L40" s="32"/>
    </row>
    <row r="41" spans="1:12" s="34" customFormat="1">
      <c r="A41" s="11">
        <v>36</v>
      </c>
      <c r="B41" s="12" t="s">
        <v>312</v>
      </c>
      <c r="C41" s="12" t="s">
        <v>311</v>
      </c>
      <c r="D41" s="19">
        <v>8239</v>
      </c>
      <c r="E41" s="11">
        <v>2</v>
      </c>
      <c r="F41" s="19">
        <v>0</v>
      </c>
      <c r="G41" s="19">
        <v>8238</v>
      </c>
      <c r="H41" s="19">
        <v>1</v>
      </c>
      <c r="I41" s="35"/>
      <c r="J41" s="32"/>
      <c r="K41" s="32"/>
      <c r="L41" s="32"/>
    </row>
    <row r="42" spans="1:12" s="34" customFormat="1">
      <c r="A42" s="11">
        <v>37</v>
      </c>
      <c r="B42" s="12" t="s">
        <v>310</v>
      </c>
      <c r="C42" s="12" t="s">
        <v>309</v>
      </c>
      <c r="D42" s="19">
        <v>8025</v>
      </c>
      <c r="E42" s="11">
        <v>2</v>
      </c>
      <c r="F42" s="19">
        <v>0</v>
      </c>
      <c r="G42" s="19">
        <v>8024</v>
      </c>
      <c r="H42" s="19">
        <v>1</v>
      </c>
      <c r="I42" s="35"/>
      <c r="J42" s="32"/>
      <c r="K42" s="32"/>
      <c r="L42" s="32"/>
    </row>
    <row r="43" spans="1:12" s="34" customFormat="1">
      <c r="A43" s="11">
        <v>38</v>
      </c>
      <c r="B43" s="12" t="s">
        <v>308</v>
      </c>
      <c r="C43" s="12" t="s">
        <v>307</v>
      </c>
      <c r="D43" s="19">
        <v>5885</v>
      </c>
      <c r="E43" s="11">
        <v>2</v>
      </c>
      <c r="F43" s="19">
        <v>0</v>
      </c>
      <c r="G43" s="19">
        <v>5884</v>
      </c>
      <c r="H43" s="19">
        <v>1</v>
      </c>
      <c r="I43" s="35"/>
      <c r="J43" s="32"/>
      <c r="K43" s="32"/>
      <c r="L43" s="32"/>
    </row>
    <row r="44" spans="1:12" s="34" customFormat="1">
      <c r="A44" s="11">
        <v>39</v>
      </c>
      <c r="B44" s="12" t="s">
        <v>306</v>
      </c>
      <c r="C44" s="12" t="s">
        <v>305</v>
      </c>
      <c r="D44" s="19">
        <v>6955</v>
      </c>
      <c r="E44" s="11">
        <v>2</v>
      </c>
      <c r="F44" s="19">
        <v>0</v>
      </c>
      <c r="G44" s="19">
        <v>6954</v>
      </c>
      <c r="H44" s="19">
        <v>1</v>
      </c>
      <c r="I44" s="35"/>
      <c r="J44" s="32"/>
      <c r="K44" s="32"/>
      <c r="L44" s="32"/>
    </row>
    <row r="45" spans="1:12" s="34" customFormat="1">
      <c r="A45" s="11">
        <v>40</v>
      </c>
      <c r="B45" s="12" t="s">
        <v>304</v>
      </c>
      <c r="C45" s="12" t="s">
        <v>303</v>
      </c>
      <c r="D45" s="19">
        <v>7900</v>
      </c>
      <c r="E45" s="11">
        <v>2</v>
      </c>
      <c r="F45" s="19">
        <v>0</v>
      </c>
      <c r="G45" s="19">
        <v>7899</v>
      </c>
      <c r="H45" s="19">
        <v>1</v>
      </c>
      <c r="I45" s="35"/>
      <c r="J45" s="32"/>
      <c r="K45" s="32"/>
      <c r="L45" s="32"/>
    </row>
    <row r="46" spans="1:12" s="34" customFormat="1">
      <c r="A46" s="11">
        <v>41</v>
      </c>
      <c r="B46" s="12" t="s">
        <v>302</v>
      </c>
      <c r="C46" s="12" t="s">
        <v>301</v>
      </c>
      <c r="D46" s="19">
        <v>7850</v>
      </c>
      <c r="E46" s="11">
        <v>2</v>
      </c>
      <c r="F46" s="19">
        <v>0</v>
      </c>
      <c r="G46" s="19">
        <v>7849</v>
      </c>
      <c r="H46" s="19">
        <v>1</v>
      </c>
      <c r="I46" s="35"/>
      <c r="J46" s="32"/>
      <c r="K46" s="32"/>
      <c r="L46" s="32"/>
    </row>
    <row r="47" spans="1:12" s="34" customFormat="1">
      <c r="A47" s="11">
        <v>42</v>
      </c>
      <c r="B47" s="12" t="s">
        <v>300</v>
      </c>
      <c r="C47" s="12" t="s">
        <v>299</v>
      </c>
      <c r="D47" s="19">
        <v>39000</v>
      </c>
      <c r="E47" s="11">
        <v>2</v>
      </c>
      <c r="F47" s="19">
        <v>0</v>
      </c>
      <c r="G47" s="19">
        <v>38999</v>
      </c>
      <c r="H47" s="19">
        <v>1</v>
      </c>
      <c r="I47" s="35"/>
      <c r="J47" s="32"/>
      <c r="K47" s="32"/>
      <c r="L47" s="32"/>
    </row>
    <row r="48" spans="1:12" s="34" customFormat="1">
      <c r="A48" s="11">
        <v>43</v>
      </c>
      <c r="B48" s="12" t="s">
        <v>298</v>
      </c>
      <c r="C48" s="12" t="s">
        <v>297</v>
      </c>
      <c r="D48" s="19">
        <v>27000</v>
      </c>
      <c r="E48" s="11">
        <v>2</v>
      </c>
      <c r="F48" s="19">
        <v>0</v>
      </c>
      <c r="G48" s="19">
        <v>26999</v>
      </c>
      <c r="H48" s="19">
        <v>1</v>
      </c>
      <c r="I48" s="35"/>
      <c r="J48" s="32"/>
      <c r="K48" s="32"/>
      <c r="L48" s="32"/>
    </row>
    <row r="49" spans="1:12" s="34" customFormat="1">
      <c r="A49" s="11">
        <v>44</v>
      </c>
      <c r="B49" s="12" t="s">
        <v>296</v>
      </c>
      <c r="C49" s="12" t="s">
        <v>295</v>
      </c>
      <c r="D49" s="19">
        <v>99029.43</v>
      </c>
      <c r="E49" s="11">
        <v>2</v>
      </c>
      <c r="F49" s="19">
        <v>0</v>
      </c>
      <c r="G49" s="19">
        <v>99028.43</v>
      </c>
      <c r="H49" s="19">
        <v>1</v>
      </c>
      <c r="I49" s="35"/>
      <c r="J49" s="32"/>
      <c r="K49" s="32"/>
      <c r="L49" s="32"/>
    </row>
    <row r="50" spans="1:12" s="34" customFormat="1">
      <c r="A50" s="11">
        <v>45</v>
      </c>
      <c r="B50" s="12" t="s">
        <v>293</v>
      </c>
      <c r="C50" s="12" t="s">
        <v>294</v>
      </c>
      <c r="D50" s="19">
        <v>11340</v>
      </c>
      <c r="E50" s="11">
        <v>2</v>
      </c>
      <c r="F50" s="19">
        <v>0</v>
      </c>
      <c r="G50" s="19">
        <v>11339</v>
      </c>
      <c r="H50" s="19">
        <v>1</v>
      </c>
      <c r="I50" s="35"/>
      <c r="J50" s="32"/>
      <c r="K50" s="32"/>
      <c r="L50" s="32"/>
    </row>
    <row r="51" spans="1:12" s="34" customFormat="1">
      <c r="A51" s="11">
        <v>46</v>
      </c>
      <c r="B51" s="12" t="s">
        <v>293</v>
      </c>
      <c r="C51" s="12" t="s">
        <v>292</v>
      </c>
      <c r="D51" s="19">
        <v>11340</v>
      </c>
      <c r="E51" s="11">
        <v>2</v>
      </c>
      <c r="F51" s="19">
        <v>0</v>
      </c>
      <c r="G51" s="19">
        <v>11339</v>
      </c>
      <c r="H51" s="19">
        <v>1</v>
      </c>
      <c r="I51" s="35"/>
      <c r="J51" s="32"/>
      <c r="K51" s="32"/>
      <c r="L51" s="32"/>
    </row>
    <row r="52" spans="1:12" s="34" customFormat="1">
      <c r="A52" s="11">
        <v>47</v>
      </c>
      <c r="B52" s="12" t="s">
        <v>291</v>
      </c>
      <c r="C52" s="12" t="s">
        <v>290</v>
      </c>
      <c r="D52" s="19">
        <v>6700</v>
      </c>
      <c r="E52" s="11">
        <v>2</v>
      </c>
      <c r="F52" s="19">
        <v>0</v>
      </c>
      <c r="G52" s="19">
        <v>6699</v>
      </c>
      <c r="H52" s="19">
        <v>1</v>
      </c>
      <c r="I52" s="35"/>
      <c r="J52" s="32"/>
      <c r="K52" s="32"/>
      <c r="L52" s="32"/>
    </row>
    <row r="53" spans="1:12" s="34" customFormat="1">
      <c r="A53" s="11">
        <v>48</v>
      </c>
      <c r="B53" s="12" t="s">
        <v>289</v>
      </c>
      <c r="C53" s="12" t="s">
        <v>288</v>
      </c>
      <c r="D53" s="19">
        <v>6800</v>
      </c>
      <c r="E53" s="11">
        <v>2</v>
      </c>
      <c r="F53" s="19">
        <v>0</v>
      </c>
      <c r="G53" s="19">
        <v>6799</v>
      </c>
      <c r="H53" s="19">
        <v>1</v>
      </c>
      <c r="I53" s="35"/>
      <c r="J53" s="32"/>
      <c r="K53" s="32"/>
      <c r="L53" s="32"/>
    </row>
    <row r="54" spans="1:12" s="34" customFormat="1">
      <c r="A54" s="11">
        <v>49</v>
      </c>
      <c r="B54" s="12" t="s">
        <v>287</v>
      </c>
      <c r="C54" s="12" t="s">
        <v>286</v>
      </c>
      <c r="D54" s="19">
        <v>8025</v>
      </c>
      <c r="E54" s="11">
        <v>2</v>
      </c>
      <c r="F54" s="19">
        <v>0</v>
      </c>
      <c r="G54" s="19">
        <v>8024</v>
      </c>
      <c r="H54" s="19">
        <v>1</v>
      </c>
      <c r="I54" s="35"/>
      <c r="J54" s="32"/>
      <c r="K54" s="32"/>
      <c r="L54" s="32"/>
    </row>
    <row r="55" spans="1:12" s="34" customFormat="1">
      <c r="A55" s="11">
        <v>50</v>
      </c>
      <c r="B55" s="12" t="s">
        <v>285</v>
      </c>
      <c r="C55" s="11" t="s">
        <v>284</v>
      </c>
      <c r="D55" s="19">
        <v>9095</v>
      </c>
      <c r="E55" s="82">
        <v>2</v>
      </c>
      <c r="F55" s="19">
        <v>0</v>
      </c>
      <c r="G55" s="19">
        <v>9094</v>
      </c>
      <c r="H55" s="19">
        <v>1</v>
      </c>
      <c r="I55" s="35"/>
      <c r="J55" s="32"/>
      <c r="K55" s="32"/>
      <c r="L55" s="32"/>
    </row>
    <row r="56" spans="1:12" s="34" customFormat="1">
      <c r="A56" s="11">
        <v>51</v>
      </c>
      <c r="B56" s="12" t="s">
        <v>283</v>
      </c>
      <c r="C56" s="11" t="s">
        <v>282</v>
      </c>
      <c r="D56" s="19">
        <v>6399</v>
      </c>
      <c r="E56" s="82">
        <v>2</v>
      </c>
      <c r="F56" s="19">
        <v>0</v>
      </c>
      <c r="G56" s="19">
        <v>6398</v>
      </c>
      <c r="H56" s="19">
        <v>1</v>
      </c>
      <c r="I56" s="35"/>
      <c r="J56" s="32"/>
      <c r="K56" s="32"/>
      <c r="L56" s="32"/>
    </row>
    <row r="57" spans="1:12" s="34" customFormat="1">
      <c r="A57" s="11">
        <v>52</v>
      </c>
      <c r="B57" s="12" t="s">
        <v>281</v>
      </c>
      <c r="C57" s="11" t="s">
        <v>280</v>
      </c>
      <c r="D57" s="19">
        <v>82970</v>
      </c>
      <c r="E57" s="82">
        <v>2</v>
      </c>
      <c r="F57" s="19">
        <v>0</v>
      </c>
      <c r="G57" s="19">
        <v>82969</v>
      </c>
      <c r="H57" s="19">
        <v>1</v>
      </c>
      <c r="I57" s="35"/>
      <c r="J57" s="32"/>
      <c r="K57" s="32"/>
      <c r="L57" s="32"/>
    </row>
    <row r="58" spans="1:12" s="34" customFormat="1">
      <c r="A58" s="11">
        <v>53</v>
      </c>
      <c r="B58" s="12" t="s">
        <v>279</v>
      </c>
      <c r="C58" s="11" t="s">
        <v>278</v>
      </c>
      <c r="D58" s="19">
        <v>7864.5</v>
      </c>
      <c r="E58" s="82">
        <v>2</v>
      </c>
      <c r="F58" s="19">
        <v>0</v>
      </c>
      <c r="G58" s="19">
        <v>7863.5</v>
      </c>
      <c r="H58" s="19">
        <v>1</v>
      </c>
      <c r="I58" s="35"/>
      <c r="J58" s="32"/>
      <c r="K58" s="32"/>
      <c r="L58" s="32"/>
    </row>
    <row r="59" spans="1:12" s="34" customFormat="1">
      <c r="A59" s="11">
        <v>54</v>
      </c>
      <c r="B59" s="12" t="s">
        <v>276</v>
      </c>
      <c r="C59" s="11" t="s">
        <v>277</v>
      </c>
      <c r="D59" s="19">
        <v>10165</v>
      </c>
      <c r="E59" s="82">
        <v>2</v>
      </c>
      <c r="F59" s="19">
        <v>0</v>
      </c>
      <c r="G59" s="19">
        <v>10164</v>
      </c>
      <c r="H59" s="19">
        <v>1</v>
      </c>
      <c r="I59" s="35"/>
      <c r="J59" s="32"/>
      <c r="K59" s="32"/>
      <c r="L59" s="32"/>
    </row>
    <row r="60" spans="1:12" s="34" customFormat="1">
      <c r="A60" s="11">
        <v>55</v>
      </c>
      <c r="B60" s="12" t="s">
        <v>276</v>
      </c>
      <c r="C60" s="83" t="s">
        <v>275</v>
      </c>
      <c r="D60" s="19">
        <v>10165</v>
      </c>
      <c r="E60" s="82">
        <v>2</v>
      </c>
      <c r="F60" s="19">
        <v>0</v>
      </c>
      <c r="G60" s="19">
        <v>10164</v>
      </c>
      <c r="H60" s="19">
        <v>1</v>
      </c>
      <c r="I60" s="35"/>
      <c r="J60" s="32"/>
      <c r="K60" s="32"/>
      <c r="L60" s="32"/>
    </row>
    <row r="61" spans="1:12" s="34" customFormat="1">
      <c r="A61" s="11">
        <v>56</v>
      </c>
      <c r="B61" s="12" t="s">
        <v>274</v>
      </c>
      <c r="C61" s="83" t="s">
        <v>273</v>
      </c>
      <c r="D61" s="19">
        <v>19260</v>
      </c>
      <c r="E61" s="82">
        <v>2</v>
      </c>
      <c r="F61" s="19">
        <v>0</v>
      </c>
      <c r="G61" s="19">
        <v>19259</v>
      </c>
      <c r="H61" s="19">
        <v>1</v>
      </c>
      <c r="I61" s="35"/>
      <c r="J61" s="32"/>
      <c r="K61" s="32"/>
      <c r="L61" s="32"/>
    </row>
    <row r="62" spans="1:12" s="34" customFormat="1">
      <c r="A62" s="11">
        <v>57</v>
      </c>
      <c r="B62" s="12" t="s">
        <v>272</v>
      </c>
      <c r="C62" s="83" t="s">
        <v>271</v>
      </c>
      <c r="D62" s="19">
        <v>15999</v>
      </c>
      <c r="E62" s="82">
        <v>2</v>
      </c>
      <c r="F62" s="19">
        <v>0</v>
      </c>
      <c r="G62" s="19">
        <v>15998</v>
      </c>
      <c r="H62" s="19">
        <v>1</v>
      </c>
      <c r="I62" s="35"/>
      <c r="J62" s="32"/>
      <c r="K62" s="32"/>
      <c r="L62" s="32"/>
    </row>
    <row r="63" spans="1:12" s="34" customFormat="1">
      <c r="A63" s="11">
        <v>58</v>
      </c>
      <c r="B63" s="12" t="s">
        <v>270</v>
      </c>
      <c r="C63" s="83" t="s">
        <v>269</v>
      </c>
      <c r="D63" s="19">
        <v>8100</v>
      </c>
      <c r="E63" s="82">
        <v>2</v>
      </c>
      <c r="F63" s="19">
        <v>0</v>
      </c>
      <c r="G63" s="19">
        <v>8099</v>
      </c>
      <c r="H63" s="19">
        <v>1</v>
      </c>
      <c r="I63" s="35"/>
      <c r="J63" s="32"/>
      <c r="K63" s="32"/>
      <c r="L63" s="32"/>
    </row>
    <row r="64" spans="1:12" s="34" customFormat="1">
      <c r="A64" s="11">
        <v>59</v>
      </c>
      <c r="B64" s="12" t="s">
        <v>268</v>
      </c>
      <c r="C64" s="17" t="s">
        <v>267</v>
      </c>
      <c r="D64" s="15">
        <v>7500</v>
      </c>
      <c r="E64" s="81">
        <v>2</v>
      </c>
      <c r="F64" s="19">
        <v>0</v>
      </c>
      <c r="G64" s="19">
        <v>7499</v>
      </c>
      <c r="H64" s="19">
        <v>1</v>
      </c>
      <c r="I64" s="35"/>
      <c r="J64" s="32"/>
      <c r="K64" s="32"/>
      <c r="L64" s="32"/>
    </row>
    <row r="65" spans="1:12" s="34" customFormat="1">
      <c r="A65" s="11">
        <v>60</v>
      </c>
      <c r="B65" s="12" t="s">
        <v>266</v>
      </c>
      <c r="C65" s="17" t="s">
        <v>265</v>
      </c>
      <c r="D65" s="15">
        <v>5800</v>
      </c>
      <c r="E65" s="81">
        <v>2</v>
      </c>
      <c r="F65" s="19">
        <v>0</v>
      </c>
      <c r="G65" s="19">
        <v>5799</v>
      </c>
      <c r="H65" s="19">
        <v>1</v>
      </c>
      <c r="I65" s="35"/>
      <c r="J65" s="32"/>
      <c r="K65" s="32"/>
      <c r="L65" s="32"/>
    </row>
    <row r="66" spans="1:12" s="34" customFormat="1">
      <c r="A66" s="11">
        <v>61</v>
      </c>
      <c r="B66" s="12" t="s">
        <v>264</v>
      </c>
      <c r="C66" s="17" t="s">
        <v>263</v>
      </c>
      <c r="D66" s="15">
        <v>41516</v>
      </c>
      <c r="E66" s="81">
        <v>2</v>
      </c>
      <c r="F66" s="19">
        <v>0</v>
      </c>
      <c r="G66" s="19">
        <v>41515</v>
      </c>
      <c r="H66" s="19">
        <v>1</v>
      </c>
      <c r="I66" s="35"/>
      <c r="J66" s="32"/>
      <c r="K66" s="32"/>
      <c r="L66" s="32"/>
    </row>
    <row r="67" spans="1:12" s="34" customFormat="1">
      <c r="A67" s="11">
        <v>62</v>
      </c>
      <c r="B67" s="12" t="s">
        <v>262</v>
      </c>
      <c r="C67" s="17" t="s">
        <v>261</v>
      </c>
      <c r="D67" s="15">
        <v>22470</v>
      </c>
      <c r="E67" s="81">
        <v>2</v>
      </c>
      <c r="F67" s="19">
        <v>0</v>
      </c>
      <c r="G67" s="19">
        <v>22469</v>
      </c>
      <c r="H67" s="19">
        <v>1</v>
      </c>
      <c r="I67" s="35"/>
      <c r="J67" s="32"/>
      <c r="K67" s="32"/>
      <c r="L67" s="32"/>
    </row>
    <row r="68" spans="1:12" s="34" customFormat="1">
      <c r="A68" s="11">
        <v>63</v>
      </c>
      <c r="B68" s="12" t="s">
        <v>245</v>
      </c>
      <c r="C68" s="17" t="s">
        <v>260</v>
      </c>
      <c r="D68" s="80">
        <v>1504076.25</v>
      </c>
      <c r="E68" s="79">
        <v>2</v>
      </c>
      <c r="F68" s="19">
        <v>0</v>
      </c>
      <c r="G68" s="19">
        <v>1504075.25</v>
      </c>
      <c r="H68" s="19">
        <v>1</v>
      </c>
      <c r="I68" s="35"/>
      <c r="J68" s="32"/>
      <c r="K68" s="32"/>
      <c r="L68" s="32"/>
    </row>
    <row r="69" spans="1:12" s="34" customFormat="1">
      <c r="A69" s="11">
        <v>64</v>
      </c>
      <c r="B69" s="12" t="s">
        <v>245</v>
      </c>
      <c r="C69" s="17" t="s">
        <v>259</v>
      </c>
      <c r="D69" s="80">
        <v>1504076.25</v>
      </c>
      <c r="E69" s="79">
        <v>2</v>
      </c>
      <c r="F69" s="19">
        <v>0</v>
      </c>
      <c r="G69" s="19">
        <v>1504075.25</v>
      </c>
      <c r="H69" s="19">
        <v>1</v>
      </c>
      <c r="I69" s="35"/>
      <c r="J69" s="32"/>
      <c r="K69" s="32"/>
      <c r="L69" s="32"/>
    </row>
    <row r="70" spans="1:12" s="34" customFormat="1">
      <c r="A70" s="11">
        <v>65</v>
      </c>
      <c r="B70" s="12" t="s">
        <v>241</v>
      </c>
      <c r="C70" s="17" t="s">
        <v>258</v>
      </c>
      <c r="D70" s="80">
        <v>705550</v>
      </c>
      <c r="E70" s="79">
        <v>2</v>
      </c>
      <c r="F70" s="19">
        <v>0</v>
      </c>
      <c r="G70" s="19">
        <v>705549</v>
      </c>
      <c r="H70" s="19">
        <v>1</v>
      </c>
      <c r="I70" s="35"/>
      <c r="J70" s="32"/>
      <c r="K70" s="32"/>
      <c r="L70" s="32"/>
    </row>
    <row r="71" spans="1:12" s="34" customFormat="1">
      <c r="A71" s="11">
        <v>66</v>
      </c>
      <c r="B71" s="12" t="s">
        <v>241</v>
      </c>
      <c r="C71" s="17" t="s">
        <v>257</v>
      </c>
      <c r="D71" s="80">
        <v>705550</v>
      </c>
      <c r="E71" s="79">
        <v>2</v>
      </c>
      <c r="F71" s="19">
        <v>0</v>
      </c>
      <c r="G71" s="19">
        <v>705549</v>
      </c>
      <c r="H71" s="19">
        <v>1</v>
      </c>
      <c r="I71" s="35"/>
      <c r="J71" s="32"/>
      <c r="K71" s="32"/>
      <c r="L71" s="32"/>
    </row>
    <row r="72" spans="1:12" s="34" customFormat="1">
      <c r="A72" s="11">
        <v>67</v>
      </c>
      <c r="B72" s="12" t="s">
        <v>241</v>
      </c>
      <c r="C72" s="17" t="s">
        <v>256</v>
      </c>
      <c r="D72" s="80">
        <v>705550</v>
      </c>
      <c r="E72" s="79">
        <v>2</v>
      </c>
      <c r="F72" s="19">
        <v>0</v>
      </c>
      <c r="G72" s="19">
        <v>705549</v>
      </c>
      <c r="H72" s="19">
        <v>1</v>
      </c>
      <c r="I72" s="35"/>
      <c r="J72" s="32"/>
      <c r="K72" s="32"/>
      <c r="L72" s="32"/>
    </row>
    <row r="73" spans="1:12" s="34" customFormat="1">
      <c r="A73" s="11">
        <v>68</v>
      </c>
      <c r="B73" s="12" t="s">
        <v>238</v>
      </c>
      <c r="C73" s="17" t="s">
        <v>255</v>
      </c>
      <c r="D73" s="80">
        <v>702900</v>
      </c>
      <c r="E73" s="79">
        <v>2</v>
      </c>
      <c r="F73" s="19">
        <v>0</v>
      </c>
      <c r="G73" s="19">
        <v>702899</v>
      </c>
      <c r="H73" s="19">
        <v>1</v>
      </c>
      <c r="I73" s="35"/>
      <c r="J73" s="32"/>
      <c r="K73" s="32"/>
      <c r="L73" s="32"/>
    </row>
    <row r="74" spans="1:12" s="34" customFormat="1">
      <c r="A74" s="11">
        <v>69</v>
      </c>
      <c r="B74" s="12" t="s">
        <v>238</v>
      </c>
      <c r="C74" s="17" t="s">
        <v>254</v>
      </c>
      <c r="D74" s="80">
        <v>537000</v>
      </c>
      <c r="E74" s="79">
        <v>2</v>
      </c>
      <c r="F74" s="19">
        <v>0</v>
      </c>
      <c r="G74" s="19">
        <v>536999</v>
      </c>
      <c r="H74" s="19">
        <v>1</v>
      </c>
      <c r="I74" s="35"/>
      <c r="J74" s="32"/>
      <c r="K74" s="32"/>
      <c r="L74" s="32"/>
    </row>
    <row r="75" spans="1:12" s="34" customFormat="1">
      <c r="A75" s="11">
        <v>70</v>
      </c>
      <c r="B75" s="12" t="s">
        <v>235</v>
      </c>
      <c r="C75" s="17" t="s">
        <v>253</v>
      </c>
      <c r="D75" s="80">
        <v>28222.32</v>
      </c>
      <c r="E75" s="79">
        <v>2</v>
      </c>
      <c r="F75" s="19">
        <v>0</v>
      </c>
      <c r="G75" s="19">
        <v>28221.32</v>
      </c>
      <c r="H75" s="19">
        <v>1</v>
      </c>
      <c r="I75" s="35"/>
      <c r="J75" s="32"/>
      <c r="K75" s="32"/>
      <c r="L75" s="32"/>
    </row>
    <row r="76" spans="1:12" s="34" customFormat="1">
      <c r="A76" s="11">
        <v>71</v>
      </c>
      <c r="B76" s="12" t="s">
        <v>235</v>
      </c>
      <c r="C76" s="17" t="s">
        <v>252</v>
      </c>
      <c r="D76" s="80">
        <v>28222.32</v>
      </c>
      <c r="E76" s="79">
        <v>2</v>
      </c>
      <c r="F76" s="19">
        <v>0</v>
      </c>
      <c r="G76" s="19">
        <v>28221.32</v>
      </c>
      <c r="H76" s="19">
        <v>1</v>
      </c>
      <c r="I76" s="35"/>
      <c r="J76" s="32"/>
      <c r="K76" s="32"/>
      <c r="L76" s="32"/>
    </row>
    <row r="77" spans="1:12" s="34" customFormat="1">
      <c r="A77" s="11">
        <v>72</v>
      </c>
      <c r="B77" s="12" t="s">
        <v>235</v>
      </c>
      <c r="C77" s="17" t="s">
        <v>251</v>
      </c>
      <c r="D77" s="80">
        <v>28222.32</v>
      </c>
      <c r="E77" s="79">
        <v>2</v>
      </c>
      <c r="F77" s="19">
        <v>0</v>
      </c>
      <c r="G77" s="19">
        <v>28221.32</v>
      </c>
      <c r="H77" s="19">
        <v>1</v>
      </c>
      <c r="I77" s="35"/>
      <c r="J77" s="32"/>
      <c r="K77" s="32"/>
      <c r="L77" s="32"/>
    </row>
    <row r="78" spans="1:12" s="34" customFormat="1">
      <c r="A78" s="11">
        <v>73</v>
      </c>
      <c r="B78" s="12" t="s">
        <v>235</v>
      </c>
      <c r="C78" s="17" t="s">
        <v>250</v>
      </c>
      <c r="D78" s="80">
        <v>28222.32</v>
      </c>
      <c r="E78" s="79">
        <v>2</v>
      </c>
      <c r="F78" s="19">
        <v>0</v>
      </c>
      <c r="G78" s="19">
        <v>28221.32</v>
      </c>
      <c r="H78" s="19">
        <v>1</v>
      </c>
      <c r="I78" s="35"/>
      <c r="J78" s="32"/>
      <c r="K78" s="32"/>
      <c r="L78" s="32"/>
    </row>
    <row r="79" spans="1:12" s="34" customFormat="1">
      <c r="A79" s="11">
        <v>74</v>
      </c>
      <c r="B79" s="12" t="s">
        <v>235</v>
      </c>
      <c r="C79" s="17" t="s">
        <v>249</v>
      </c>
      <c r="D79" s="80">
        <v>28222.32</v>
      </c>
      <c r="E79" s="79">
        <v>2</v>
      </c>
      <c r="F79" s="19">
        <v>0</v>
      </c>
      <c r="G79" s="19">
        <v>28221.32</v>
      </c>
      <c r="H79" s="19">
        <v>1</v>
      </c>
      <c r="I79" s="35"/>
      <c r="J79" s="32"/>
      <c r="K79" s="32"/>
      <c r="L79" s="32"/>
    </row>
    <row r="80" spans="1:12" s="34" customFormat="1">
      <c r="A80" s="11">
        <v>75</v>
      </c>
      <c r="B80" s="12" t="s">
        <v>235</v>
      </c>
      <c r="C80" s="17" t="s">
        <v>248</v>
      </c>
      <c r="D80" s="80">
        <v>28222.32</v>
      </c>
      <c r="E80" s="79">
        <v>2</v>
      </c>
      <c r="F80" s="19">
        <v>0</v>
      </c>
      <c r="G80" s="19">
        <v>28221.32</v>
      </c>
      <c r="H80" s="19">
        <v>1</v>
      </c>
      <c r="I80" s="35"/>
      <c r="J80" s="32"/>
      <c r="K80" s="32"/>
      <c r="L80" s="32"/>
    </row>
    <row r="81" spans="1:12" s="34" customFormat="1">
      <c r="A81" s="11">
        <v>76</v>
      </c>
      <c r="B81" s="12" t="s">
        <v>235</v>
      </c>
      <c r="C81" s="17" t="s">
        <v>247</v>
      </c>
      <c r="D81" s="80">
        <v>18102.8</v>
      </c>
      <c r="E81" s="79">
        <v>2</v>
      </c>
      <c r="F81" s="19">
        <v>0</v>
      </c>
      <c r="G81" s="19">
        <v>18101.8</v>
      </c>
      <c r="H81" s="19">
        <v>1</v>
      </c>
      <c r="I81" s="35"/>
      <c r="J81" s="32"/>
      <c r="K81" s="32"/>
      <c r="L81" s="32"/>
    </row>
    <row r="82" spans="1:12" s="34" customFormat="1">
      <c r="A82" s="11">
        <v>77</v>
      </c>
      <c r="B82" s="12" t="s">
        <v>235</v>
      </c>
      <c r="C82" s="17" t="s">
        <v>246</v>
      </c>
      <c r="D82" s="80">
        <v>18102.8</v>
      </c>
      <c r="E82" s="79">
        <v>2</v>
      </c>
      <c r="F82" s="19">
        <v>0</v>
      </c>
      <c r="G82" s="19">
        <v>18101.8</v>
      </c>
      <c r="H82" s="19">
        <v>1</v>
      </c>
      <c r="I82" s="35"/>
      <c r="J82" s="32"/>
      <c r="K82" s="32"/>
      <c r="L82" s="32"/>
    </row>
    <row r="83" spans="1:12" s="34" customFormat="1">
      <c r="A83" s="11">
        <v>78</v>
      </c>
      <c r="B83" s="12" t="s">
        <v>245</v>
      </c>
      <c r="C83" s="17" t="s">
        <v>244</v>
      </c>
      <c r="D83" s="80">
        <v>7019022.5099999998</v>
      </c>
      <c r="E83" s="79">
        <v>2</v>
      </c>
      <c r="F83" s="19">
        <v>0</v>
      </c>
      <c r="G83" s="19">
        <v>7019021.5099999998</v>
      </c>
      <c r="H83" s="19">
        <v>1</v>
      </c>
      <c r="I83" s="35"/>
      <c r="J83" s="32"/>
      <c r="K83" s="32"/>
      <c r="L83" s="32"/>
    </row>
    <row r="84" spans="1:12" s="34" customFormat="1">
      <c r="A84" s="11">
        <v>79</v>
      </c>
      <c r="B84" s="12" t="s">
        <v>241</v>
      </c>
      <c r="C84" s="17" t="s">
        <v>243</v>
      </c>
      <c r="D84" s="80">
        <v>1646283.33</v>
      </c>
      <c r="E84" s="79">
        <v>2</v>
      </c>
      <c r="F84" s="19">
        <v>0</v>
      </c>
      <c r="G84" s="19">
        <v>1646282.33</v>
      </c>
      <c r="H84" s="19">
        <v>1</v>
      </c>
      <c r="I84" s="35"/>
      <c r="J84" s="32"/>
      <c r="K84" s="32"/>
      <c r="L84" s="32"/>
    </row>
    <row r="85" spans="1:12" s="34" customFormat="1">
      <c r="A85" s="11">
        <v>80</v>
      </c>
      <c r="B85" s="12" t="s">
        <v>241</v>
      </c>
      <c r="C85" s="17" t="s">
        <v>242</v>
      </c>
      <c r="D85" s="80">
        <v>1646283.33</v>
      </c>
      <c r="E85" s="79">
        <v>2</v>
      </c>
      <c r="F85" s="19">
        <v>0</v>
      </c>
      <c r="G85" s="19">
        <v>1646282.33</v>
      </c>
      <c r="H85" s="19">
        <v>1</v>
      </c>
      <c r="I85" s="35"/>
      <c r="J85" s="32"/>
      <c r="K85" s="32"/>
      <c r="L85" s="32"/>
    </row>
    <row r="86" spans="1:12" s="34" customFormat="1">
      <c r="A86" s="11">
        <v>81</v>
      </c>
      <c r="B86" s="12" t="s">
        <v>241</v>
      </c>
      <c r="C86" s="17" t="s">
        <v>240</v>
      </c>
      <c r="D86" s="80">
        <v>1646283.34</v>
      </c>
      <c r="E86" s="79">
        <v>2</v>
      </c>
      <c r="F86" s="19">
        <v>0</v>
      </c>
      <c r="G86" s="19">
        <v>1646282.34</v>
      </c>
      <c r="H86" s="19">
        <v>1</v>
      </c>
      <c r="I86" s="35"/>
      <c r="J86" s="32"/>
      <c r="K86" s="32"/>
      <c r="L86" s="32"/>
    </row>
    <row r="87" spans="1:12" s="34" customFormat="1">
      <c r="A87" s="11">
        <v>82</v>
      </c>
      <c r="B87" s="12" t="s">
        <v>238</v>
      </c>
      <c r="C87" s="17" t="s">
        <v>239</v>
      </c>
      <c r="D87" s="80">
        <v>1640100</v>
      </c>
      <c r="E87" s="79">
        <v>2</v>
      </c>
      <c r="F87" s="19">
        <v>0</v>
      </c>
      <c r="G87" s="19">
        <v>1640099</v>
      </c>
      <c r="H87" s="19">
        <v>1</v>
      </c>
      <c r="I87" s="35"/>
      <c r="J87" s="32"/>
      <c r="K87" s="32"/>
      <c r="L87" s="32"/>
    </row>
    <row r="88" spans="1:12" s="34" customFormat="1">
      <c r="A88" s="11">
        <v>83</v>
      </c>
      <c r="B88" s="12" t="s">
        <v>238</v>
      </c>
      <c r="C88" s="17" t="s">
        <v>237</v>
      </c>
      <c r="D88" s="80">
        <v>1253000</v>
      </c>
      <c r="E88" s="79">
        <v>2</v>
      </c>
      <c r="F88" s="19">
        <v>0</v>
      </c>
      <c r="G88" s="19">
        <v>1252999</v>
      </c>
      <c r="H88" s="19">
        <v>1</v>
      </c>
      <c r="I88" s="35"/>
      <c r="J88" s="32"/>
      <c r="K88" s="32"/>
      <c r="L88" s="32"/>
    </row>
    <row r="89" spans="1:12" s="34" customFormat="1">
      <c r="A89" s="11">
        <v>84</v>
      </c>
      <c r="B89" s="12" t="s">
        <v>235</v>
      </c>
      <c r="C89" s="17" t="s">
        <v>236</v>
      </c>
      <c r="D89" s="80">
        <v>395112.48</v>
      </c>
      <c r="E89" s="79">
        <v>2</v>
      </c>
      <c r="F89" s="19">
        <v>0</v>
      </c>
      <c r="G89" s="19">
        <v>395111.48</v>
      </c>
      <c r="H89" s="19">
        <v>1</v>
      </c>
      <c r="I89" s="35"/>
      <c r="J89" s="32"/>
      <c r="K89" s="32"/>
      <c r="L89" s="32"/>
    </row>
    <row r="90" spans="1:12" s="34" customFormat="1">
      <c r="A90" s="11">
        <v>85</v>
      </c>
      <c r="B90" s="12" t="s">
        <v>235</v>
      </c>
      <c r="C90" s="17" t="s">
        <v>234</v>
      </c>
      <c r="D90" s="80">
        <v>84479.7</v>
      </c>
      <c r="E90" s="79">
        <v>2</v>
      </c>
      <c r="F90" s="19">
        <v>0</v>
      </c>
      <c r="G90" s="19">
        <v>84478.7</v>
      </c>
      <c r="H90" s="19">
        <v>1</v>
      </c>
      <c r="I90" s="35"/>
      <c r="J90" s="32"/>
      <c r="K90" s="32"/>
      <c r="L90" s="32"/>
    </row>
    <row r="91" spans="1:12" s="34" customFormat="1">
      <c r="A91" s="11">
        <v>86</v>
      </c>
      <c r="B91" s="12" t="s">
        <v>233</v>
      </c>
      <c r="C91" s="17" t="s">
        <v>232</v>
      </c>
      <c r="D91" s="80">
        <v>8025</v>
      </c>
      <c r="E91" s="79">
        <v>2</v>
      </c>
      <c r="F91" s="19">
        <v>0</v>
      </c>
      <c r="G91" s="19">
        <v>8024</v>
      </c>
      <c r="H91" s="19">
        <v>1</v>
      </c>
      <c r="I91" s="35"/>
      <c r="J91" s="32"/>
      <c r="K91" s="32"/>
      <c r="L91" s="32"/>
    </row>
    <row r="92" spans="1:12" s="34" customFormat="1">
      <c r="A92" s="11">
        <v>87</v>
      </c>
      <c r="B92" s="12" t="s">
        <v>231</v>
      </c>
      <c r="C92" s="17" t="s">
        <v>230</v>
      </c>
      <c r="D92" s="80">
        <v>32500.02</v>
      </c>
      <c r="E92" s="79">
        <v>2</v>
      </c>
      <c r="F92" s="19">
        <v>0</v>
      </c>
      <c r="G92" s="19">
        <v>32499.02</v>
      </c>
      <c r="H92" s="19">
        <v>1</v>
      </c>
      <c r="I92" s="35"/>
      <c r="J92" s="32"/>
      <c r="K92" s="32"/>
      <c r="L92" s="32"/>
    </row>
    <row r="93" spans="1:12" s="34" customFormat="1">
      <c r="A93" s="11">
        <v>88</v>
      </c>
      <c r="B93" s="12" t="s">
        <v>229</v>
      </c>
      <c r="C93" s="17" t="s">
        <v>228</v>
      </c>
      <c r="D93" s="80">
        <v>5500</v>
      </c>
      <c r="E93" s="79">
        <v>2</v>
      </c>
      <c r="F93" s="19">
        <v>0</v>
      </c>
      <c r="G93" s="19">
        <v>5499</v>
      </c>
      <c r="H93" s="19">
        <v>1</v>
      </c>
      <c r="I93" s="35"/>
      <c r="J93" s="32"/>
      <c r="K93" s="32"/>
      <c r="L93" s="32"/>
    </row>
    <row r="94" spans="1:12" s="34" customFormat="1">
      <c r="A94" s="11">
        <v>89</v>
      </c>
      <c r="B94" s="12" t="s">
        <v>226</v>
      </c>
      <c r="C94" s="17" t="s">
        <v>227</v>
      </c>
      <c r="D94" s="80">
        <v>8025</v>
      </c>
      <c r="E94" s="79">
        <v>2</v>
      </c>
      <c r="F94" s="19">
        <v>0</v>
      </c>
      <c r="G94" s="19">
        <v>8024</v>
      </c>
      <c r="H94" s="19">
        <v>1</v>
      </c>
      <c r="I94" s="35"/>
      <c r="J94" s="32"/>
      <c r="K94" s="32"/>
      <c r="L94" s="32"/>
    </row>
    <row r="95" spans="1:12" s="34" customFormat="1">
      <c r="A95" s="11">
        <v>90</v>
      </c>
      <c r="B95" s="12" t="s">
        <v>226</v>
      </c>
      <c r="C95" s="17" t="s">
        <v>225</v>
      </c>
      <c r="D95" s="80">
        <v>8025</v>
      </c>
      <c r="E95" s="79">
        <v>2</v>
      </c>
      <c r="F95" s="19">
        <v>0</v>
      </c>
      <c r="G95" s="19">
        <v>8024</v>
      </c>
      <c r="H95" s="19">
        <v>1</v>
      </c>
      <c r="I95" s="35"/>
      <c r="J95" s="32"/>
      <c r="K95" s="32"/>
      <c r="L95" s="32"/>
    </row>
    <row r="96" spans="1:12" s="34" customFormat="1">
      <c r="A96" s="11">
        <v>91</v>
      </c>
      <c r="B96" s="12" t="s">
        <v>224</v>
      </c>
      <c r="C96" s="17" t="s">
        <v>223</v>
      </c>
      <c r="D96" s="75">
        <v>40660</v>
      </c>
      <c r="E96" s="17">
        <v>2</v>
      </c>
      <c r="F96" s="19">
        <v>0</v>
      </c>
      <c r="G96" s="19">
        <v>40659</v>
      </c>
      <c r="H96" s="19">
        <v>1</v>
      </c>
      <c r="I96" s="35"/>
      <c r="J96" s="32"/>
      <c r="K96" s="32"/>
      <c r="L96" s="32"/>
    </row>
    <row r="97" spans="1:12" s="34" customFormat="1">
      <c r="A97" s="11">
        <v>92</v>
      </c>
      <c r="B97" s="12" t="s">
        <v>221</v>
      </c>
      <c r="C97" s="17" t="s">
        <v>222</v>
      </c>
      <c r="D97" s="75">
        <v>26750</v>
      </c>
      <c r="E97" s="11">
        <v>2</v>
      </c>
      <c r="F97" s="19">
        <v>0</v>
      </c>
      <c r="G97" s="19">
        <v>26749</v>
      </c>
      <c r="H97" s="19">
        <v>1</v>
      </c>
      <c r="I97" s="35"/>
      <c r="J97" s="32"/>
      <c r="K97" s="32"/>
      <c r="L97" s="32"/>
    </row>
    <row r="98" spans="1:12" s="34" customFormat="1">
      <c r="A98" s="11">
        <v>93</v>
      </c>
      <c r="B98" s="12" t="s">
        <v>221</v>
      </c>
      <c r="C98" s="17" t="s">
        <v>220</v>
      </c>
      <c r="D98" s="75">
        <v>26750</v>
      </c>
      <c r="E98" s="11">
        <v>2</v>
      </c>
      <c r="F98" s="19">
        <v>0</v>
      </c>
      <c r="G98" s="19">
        <v>26749</v>
      </c>
      <c r="H98" s="19">
        <v>1</v>
      </c>
      <c r="I98" s="35"/>
      <c r="J98" s="32"/>
      <c r="K98" s="32"/>
      <c r="L98" s="32"/>
    </row>
    <row r="99" spans="1:12" s="34" customFormat="1">
      <c r="A99" s="11">
        <v>94</v>
      </c>
      <c r="B99" s="12" t="s">
        <v>219</v>
      </c>
      <c r="C99" s="17" t="s">
        <v>218</v>
      </c>
      <c r="D99" s="78">
        <v>17013</v>
      </c>
      <c r="E99" s="17">
        <v>2</v>
      </c>
      <c r="F99" s="19">
        <v>0</v>
      </c>
      <c r="G99" s="19">
        <v>17012</v>
      </c>
      <c r="H99" s="19">
        <v>1</v>
      </c>
      <c r="I99" s="35"/>
      <c r="J99" s="32"/>
      <c r="K99" s="32"/>
      <c r="L99" s="32"/>
    </row>
    <row r="100" spans="1:12" s="34" customFormat="1">
      <c r="A100" s="11">
        <v>95</v>
      </c>
      <c r="B100" s="12" t="s">
        <v>216</v>
      </c>
      <c r="C100" s="17" t="s">
        <v>217</v>
      </c>
      <c r="D100" s="77">
        <v>36380</v>
      </c>
      <c r="E100" s="76">
        <v>2</v>
      </c>
      <c r="F100" s="19">
        <v>0</v>
      </c>
      <c r="G100" s="19">
        <v>36379</v>
      </c>
      <c r="H100" s="19">
        <v>1</v>
      </c>
      <c r="I100" s="35"/>
      <c r="J100" s="32"/>
      <c r="K100" s="32"/>
      <c r="L100" s="32"/>
    </row>
    <row r="101" spans="1:12" s="34" customFormat="1">
      <c r="A101" s="11">
        <v>96</v>
      </c>
      <c r="B101" s="12" t="s">
        <v>216</v>
      </c>
      <c r="C101" s="17" t="s">
        <v>215</v>
      </c>
      <c r="D101" s="77">
        <v>36380</v>
      </c>
      <c r="E101" s="76">
        <v>2</v>
      </c>
      <c r="F101" s="19">
        <v>0</v>
      </c>
      <c r="G101" s="19">
        <v>36379</v>
      </c>
      <c r="H101" s="19">
        <v>1</v>
      </c>
      <c r="I101" s="35"/>
      <c r="J101" s="32"/>
      <c r="K101" s="32"/>
      <c r="L101" s="32"/>
    </row>
    <row r="102" spans="1:12" s="34" customFormat="1">
      <c r="A102" s="11">
        <v>97</v>
      </c>
      <c r="B102" s="12" t="s">
        <v>213</v>
      </c>
      <c r="C102" s="17" t="s">
        <v>214</v>
      </c>
      <c r="D102" s="77">
        <v>24610</v>
      </c>
      <c r="E102" s="76">
        <v>2</v>
      </c>
      <c r="F102" s="19">
        <v>0</v>
      </c>
      <c r="G102" s="19">
        <v>24609</v>
      </c>
      <c r="H102" s="19">
        <v>1</v>
      </c>
      <c r="I102" s="35"/>
      <c r="J102" s="32"/>
      <c r="K102" s="32"/>
      <c r="L102" s="32"/>
    </row>
    <row r="103" spans="1:12" s="34" customFormat="1">
      <c r="A103" s="11">
        <v>98</v>
      </c>
      <c r="B103" s="12" t="s">
        <v>213</v>
      </c>
      <c r="C103" s="17" t="s">
        <v>212</v>
      </c>
      <c r="D103" s="77">
        <v>24610</v>
      </c>
      <c r="E103" s="76">
        <v>2</v>
      </c>
      <c r="F103" s="19">
        <v>0</v>
      </c>
      <c r="G103" s="19">
        <v>24609</v>
      </c>
      <c r="H103" s="19">
        <v>1</v>
      </c>
      <c r="I103" s="35"/>
      <c r="J103" s="32"/>
      <c r="K103" s="32"/>
      <c r="L103" s="32"/>
    </row>
    <row r="104" spans="1:12" s="34" customFormat="1">
      <c r="A104" s="11">
        <v>99</v>
      </c>
      <c r="B104" s="12" t="s">
        <v>211</v>
      </c>
      <c r="C104" s="17" t="s">
        <v>210</v>
      </c>
      <c r="D104" s="77">
        <v>17013</v>
      </c>
      <c r="E104" s="76">
        <v>2</v>
      </c>
      <c r="F104" s="19">
        <v>0</v>
      </c>
      <c r="G104" s="19">
        <v>17012</v>
      </c>
      <c r="H104" s="19">
        <v>1</v>
      </c>
      <c r="I104" s="35"/>
      <c r="J104" s="32"/>
      <c r="K104" s="32"/>
      <c r="L104" s="32"/>
    </row>
    <row r="105" spans="1:12" s="34" customFormat="1">
      <c r="A105" s="11">
        <v>100</v>
      </c>
      <c r="B105" s="12" t="s">
        <v>209</v>
      </c>
      <c r="C105" s="17" t="s">
        <v>208</v>
      </c>
      <c r="D105" s="77">
        <v>420000</v>
      </c>
      <c r="E105" s="76">
        <v>2</v>
      </c>
      <c r="F105" s="19">
        <v>0</v>
      </c>
      <c r="G105" s="19">
        <v>419999</v>
      </c>
      <c r="H105" s="19">
        <v>1</v>
      </c>
      <c r="I105" s="35"/>
      <c r="J105" s="32"/>
      <c r="K105" s="32"/>
      <c r="L105" s="32"/>
    </row>
    <row r="106" spans="1:12" s="34" customFormat="1">
      <c r="A106" s="11">
        <v>101</v>
      </c>
      <c r="B106" s="12" t="s">
        <v>207</v>
      </c>
      <c r="C106" s="17" t="s">
        <v>206</v>
      </c>
      <c r="D106" s="75">
        <v>13375</v>
      </c>
      <c r="E106" s="74">
        <v>2</v>
      </c>
      <c r="F106" s="19">
        <v>0</v>
      </c>
      <c r="G106" s="19">
        <v>13374</v>
      </c>
      <c r="H106" s="19">
        <v>1</v>
      </c>
      <c r="I106" s="35"/>
      <c r="J106" s="32"/>
      <c r="K106" s="32"/>
      <c r="L106" s="32"/>
    </row>
    <row r="107" spans="1:12" s="34" customFormat="1">
      <c r="A107" s="11">
        <v>102</v>
      </c>
      <c r="B107" s="12" t="s">
        <v>205</v>
      </c>
      <c r="C107" s="17" t="s">
        <v>204</v>
      </c>
      <c r="D107" s="75">
        <v>22234.6</v>
      </c>
      <c r="E107" s="74">
        <v>2</v>
      </c>
      <c r="F107" s="19">
        <v>0</v>
      </c>
      <c r="G107" s="19">
        <v>22233.599999999999</v>
      </c>
      <c r="H107" s="19">
        <v>1</v>
      </c>
      <c r="I107" s="35"/>
      <c r="J107" s="32"/>
      <c r="K107" s="32"/>
      <c r="L107" s="32"/>
    </row>
    <row r="108" spans="1:12" s="34" customFormat="1">
      <c r="A108" s="11">
        <v>103</v>
      </c>
      <c r="B108" s="12" t="s">
        <v>203</v>
      </c>
      <c r="C108" s="17" t="s">
        <v>202</v>
      </c>
      <c r="D108" s="75">
        <v>20330</v>
      </c>
      <c r="E108" s="74">
        <v>2</v>
      </c>
      <c r="F108" s="19">
        <v>0</v>
      </c>
      <c r="G108" s="19">
        <v>20329</v>
      </c>
      <c r="H108" s="19">
        <v>1</v>
      </c>
      <c r="I108" s="35"/>
      <c r="J108" s="32"/>
      <c r="K108" s="32"/>
      <c r="L108" s="32"/>
    </row>
    <row r="109" spans="1:12" s="34" customFormat="1">
      <c r="A109" s="11">
        <v>104</v>
      </c>
      <c r="B109" s="12" t="s">
        <v>201</v>
      </c>
      <c r="C109" s="17" t="s">
        <v>200</v>
      </c>
      <c r="D109" s="75">
        <v>45000</v>
      </c>
      <c r="E109" s="74">
        <v>2</v>
      </c>
      <c r="F109" s="19">
        <v>0</v>
      </c>
      <c r="G109" s="19">
        <v>44999</v>
      </c>
      <c r="H109" s="19">
        <v>1</v>
      </c>
      <c r="I109" s="35"/>
      <c r="J109" s="32"/>
      <c r="K109" s="32"/>
      <c r="L109" s="32"/>
    </row>
    <row r="110" spans="1:12" s="34" customFormat="1">
      <c r="A110" s="11">
        <v>105</v>
      </c>
      <c r="B110" s="12" t="s">
        <v>199</v>
      </c>
      <c r="C110" s="17" t="s">
        <v>198</v>
      </c>
      <c r="D110" s="75">
        <v>12840</v>
      </c>
      <c r="E110" s="74">
        <v>2</v>
      </c>
      <c r="F110" s="19">
        <v>0</v>
      </c>
      <c r="G110" s="19">
        <v>12839</v>
      </c>
      <c r="H110" s="19">
        <v>1</v>
      </c>
      <c r="I110" s="35"/>
      <c r="J110" s="32"/>
      <c r="K110" s="32"/>
      <c r="L110" s="32"/>
    </row>
    <row r="111" spans="1:12" s="34" customFormat="1">
      <c r="A111" s="11">
        <v>106</v>
      </c>
      <c r="B111" s="12" t="s">
        <v>197</v>
      </c>
      <c r="C111" s="17" t="s">
        <v>196</v>
      </c>
      <c r="D111" s="75">
        <v>14980</v>
      </c>
      <c r="E111" s="74">
        <v>2</v>
      </c>
      <c r="F111" s="19">
        <v>0</v>
      </c>
      <c r="G111" s="19">
        <v>14979</v>
      </c>
      <c r="H111" s="19">
        <v>1</v>
      </c>
      <c r="I111" s="35"/>
      <c r="J111" s="32"/>
      <c r="K111" s="32"/>
      <c r="L111" s="32"/>
    </row>
    <row r="112" spans="1:12" s="34" customFormat="1">
      <c r="A112" s="11">
        <v>107</v>
      </c>
      <c r="B112" s="12" t="s">
        <v>195</v>
      </c>
      <c r="C112" s="17" t="s">
        <v>194</v>
      </c>
      <c r="D112" s="75">
        <v>158360</v>
      </c>
      <c r="E112" s="74">
        <v>2</v>
      </c>
      <c r="F112" s="19">
        <v>0</v>
      </c>
      <c r="G112" s="19">
        <v>158359</v>
      </c>
      <c r="H112" s="19">
        <v>1</v>
      </c>
      <c r="I112" s="35"/>
      <c r="J112" s="32"/>
      <c r="K112" s="32"/>
      <c r="L112" s="32"/>
    </row>
    <row r="113" spans="1:12" s="34" customFormat="1">
      <c r="A113" s="11">
        <v>108</v>
      </c>
      <c r="B113" s="12" t="s">
        <v>193</v>
      </c>
      <c r="C113" s="17" t="s">
        <v>192</v>
      </c>
      <c r="D113" s="75">
        <v>113420</v>
      </c>
      <c r="E113" s="74">
        <v>2</v>
      </c>
      <c r="F113" s="19">
        <v>0</v>
      </c>
      <c r="G113" s="19">
        <v>113419</v>
      </c>
      <c r="H113" s="19">
        <v>1</v>
      </c>
      <c r="I113" s="35"/>
      <c r="J113" s="32"/>
      <c r="K113" s="32"/>
      <c r="L113" s="32"/>
    </row>
    <row r="114" spans="1:12" s="34" customFormat="1">
      <c r="A114" s="11">
        <v>109</v>
      </c>
      <c r="B114" s="12" t="s">
        <v>191</v>
      </c>
      <c r="C114" s="17" t="s">
        <v>190</v>
      </c>
      <c r="D114" s="75">
        <v>10900</v>
      </c>
      <c r="E114" s="74">
        <v>2</v>
      </c>
      <c r="F114" s="19">
        <v>0</v>
      </c>
      <c r="G114" s="19">
        <v>10899</v>
      </c>
      <c r="H114" s="19">
        <v>1</v>
      </c>
      <c r="I114" s="35"/>
      <c r="J114" s="32"/>
      <c r="K114" s="32"/>
      <c r="L114" s="32"/>
    </row>
    <row r="115" spans="1:12" s="34" customFormat="1">
      <c r="A115" s="11">
        <v>110</v>
      </c>
      <c r="B115" s="12" t="s">
        <v>189</v>
      </c>
      <c r="C115" s="17" t="s">
        <v>188</v>
      </c>
      <c r="D115" s="72">
        <v>282000</v>
      </c>
      <c r="E115" s="56">
        <v>2</v>
      </c>
      <c r="F115" s="19">
        <v>0</v>
      </c>
      <c r="G115" s="19">
        <v>281999</v>
      </c>
      <c r="H115" s="19">
        <v>1</v>
      </c>
      <c r="I115" s="35"/>
      <c r="J115" s="32"/>
      <c r="K115" s="32"/>
      <c r="L115" s="32"/>
    </row>
    <row r="116" spans="1:12" s="34" customFormat="1">
      <c r="A116" s="11">
        <v>111</v>
      </c>
      <c r="B116" s="12" t="s">
        <v>186</v>
      </c>
      <c r="C116" s="17" t="s">
        <v>187</v>
      </c>
      <c r="D116" s="72">
        <v>12840</v>
      </c>
      <c r="E116" s="56">
        <v>2</v>
      </c>
      <c r="F116" s="19">
        <v>0</v>
      </c>
      <c r="G116" s="19">
        <v>12839</v>
      </c>
      <c r="H116" s="19">
        <v>1</v>
      </c>
      <c r="I116" s="35"/>
      <c r="J116" s="32"/>
      <c r="K116" s="32"/>
      <c r="L116" s="32"/>
    </row>
    <row r="117" spans="1:12" s="34" customFormat="1">
      <c r="A117" s="11">
        <v>112</v>
      </c>
      <c r="B117" s="12" t="s">
        <v>186</v>
      </c>
      <c r="C117" s="17" t="s">
        <v>185</v>
      </c>
      <c r="D117" s="72">
        <v>12840</v>
      </c>
      <c r="E117" s="56">
        <v>2</v>
      </c>
      <c r="F117" s="19">
        <v>0</v>
      </c>
      <c r="G117" s="19">
        <v>12839</v>
      </c>
      <c r="H117" s="19">
        <v>1</v>
      </c>
      <c r="I117" s="35"/>
      <c r="J117" s="32"/>
      <c r="K117" s="32"/>
      <c r="L117" s="32"/>
    </row>
    <row r="118" spans="1:12" s="34" customFormat="1">
      <c r="A118" s="11">
        <v>113</v>
      </c>
      <c r="B118" s="12" t="s">
        <v>184</v>
      </c>
      <c r="C118" s="17" t="s">
        <v>183</v>
      </c>
      <c r="D118" s="72">
        <v>41409</v>
      </c>
      <c r="E118" s="56">
        <v>2</v>
      </c>
      <c r="F118" s="19">
        <v>0</v>
      </c>
      <c r="G118" s="19">
        <v>41408</v>
      </c>
      <c r="H118" s="19">
        <v>1</v>
      </c>
      <c r="I118" s="35"/>
      <c r="J118" s="32"/>
      <c r="K118" s="32"/>
      <c r="L118" s="32"/>
    </row>
    <row r="119" spans="1:12" s="34" customFormat="1">
      <c r="A119" s="11">
        <v>114</v>
      </c>
      <c r="B119" s="12" t="s">
        <v>182</v>
      </c>
      <c r="C119" s="17" t="s">
        <v>181</v>
      </c>
      <c r="D119" s="72">
        <v>31000</v>
      </c>
      <c r="E119" s="56">
        <v>2</v>
      </c>
      <c r="F119" s="19">
        <v>0</v>
      </c>
      <c r="G119" s="19">
        <v>30999</v>
      </c>
      <c r="H119" s="19">
        <v>1</v>
      </c>
      <c r="I119" s="35"/>
      <c r="J119" s="32"/>
      <c r="K119" s="32"/>
      <c r="L119" s="32"/>
    </row>
    <row r="120" spans="1:12" s="34" customFormat="1">
      <c r="A120" s="11">
        <v>115</v>
      </c>
      <c r="B120" s="12" t="s">
        <v>180</v>
      </c>
      <c r="C120" s="17" t="s">
        <v>179</v>
      </c>
      <c r="D120" s="72">
        <v>28000</v>
      </c>
      <c r="E120" s="56">
        <v>2</v>
      </c>
      <c r="F120" s="19">
        <v>0</v>
      </c>
      <c r="G120" s="19">
        <v>27999</v>
      </c>
      <c r="H120" s="19">
        <v>1</v>
      </c>
      <c r="I120" s="35"/>
      <c r="J120" s="32"/>
      <c r="K120" s="32"/>
      <c r="L120" s="32"/>
    </row>
    <row r="121" spans="1:12" s="34" customFormat="1">
      <c r="A121" s="11">
        <v>116</v>
      </c>
      <c r="B121" s="12" t="s">
        <v>178</v>
      </c>
      <c r="C121" s="17" t="s">
        <v>177</v>
      </c>
      <c r="D121" s="72">
        <v>146269</v>
      </c>
      <c r="E121" s="56">
        <v>2</v>
      </c>
      <c r="F121" s="19">
        <v>0</v>
      </c>
      <c r="G121" s="19">
        <v>146268</v>
      </c>
      <c r="H121" s="19">
        <v>1</v>
      </c>
      <c r="I121" s="35"/>
      <c r="J121" s="32"/>
      <c r="K121" s="32"/>
      <c r="L121" s="32"/>
    </row>
    <row r="122" spans="1:12" s="34" customFormat="1">
      <c r="A122" s="11">
        <v>117</v>
      </c>
      <c r="B122" s="12" t="s">
        <v>174</v>
      </c>
      <c r="C122" s="17" t="s">
        <v>176</v>
      </c>
      <c r="D122" s="73">
        <v>36500</v>
      </c>
      <c r="E122" s="56">
        <v>2</v>
      </c>
      <c r="F122" s="19">
        <v>0</v>
      </c>
      <c r="G122" s="19">
        <v>36499</v>
      </c>
      <c r="H122" s="19">
        <v>1</v>
      </c>
      <c r="I122" s="35"/>
      <c r="J122" s="32"/>
      <c r="K122" s="32"/>
      <c r="L122" s="32"/>
    </row>
    <row r="123" spans="1:12" s="34" customFormat="1">
      <c r="A123" s="11">
        <v>118</v>
      </c>
      <c r="B123" s="12" t="s">
        <v>174</v>
      </c>
      <c r="C123" s="17" t="s">
        <v>175</v>
      </c>
      <c r="D123" s="73">
        <v>36500</v>
      </c>
      <c r="E123" s="56">
        <v>2</v>
      </c>
      <c r="F123" s="19">
        <v>0</v>
      </c>
      <c r="G123" s="19">
        <v>36499</v>
      </c>
      <c r="H123" s="19">
        <v>1</v>
      </c>
      <c r="I123" s="35"/>
      <c r="J123" s="32"/>
      <c r="K123" s="32"/>
      <c r="L123" s="32"/>
    </row>
    <row r="124" spans="1:12" s="34" customFormat="1">
      <c r="A124" s="11">
        <v>119</v>
      </c>
      <c r="B124" s="12" t="s">
        <v>174</v>
      </c>
      <c r="C124" s="17" t="s">
        <v>173</v>
      </c>
      <c r="D124" s="73">
        <v>36500</v>
      </c>
      <c r="E124" s="56">
        <v>2</v>
      </c>
      <c r="F124" s="19">
        <v>0</v>
      </c>
      <c r="G124" s="19">
        <v>36499</v>
      </c>
      <c r="H124" s="19">
        <v>1</v>
      </c>
      <c r="I124" s="35"/>
      <c r="J124" s="32"/>
      <c r="K124" s="32"/>
      <c r="L124" s="32"/>
    </row>
    <row r="125" spans="1:12" s="34" customFormat="1">
      <c r="A125" s="11">
        <v>120</v>
      </c>
      <c r="B125" s="12" t="s">
        <v>172</v>
      </c>
      <c r="C125" s="17" t="s">
        <v>171</v>
      </c>
      <c r="D125" s="72">
        <v>19900</v>
      </c>
      <c r="E125" s="56">
        <v>2</v>
      </c>
      <c r="F125" s="19">
        <v>0</v>
      </c>
      <c r="G125" s="19">
        <v>19899</v>
      </c>
      <c r="H125" s="19">
        <v>1</v>
      </c>
      <c r="I125" s="35"/>
      <c r="J125" s="32"/>
      <c r="K125" s="32"/>
      <c r="L125" s="32"/>
    </row>
    <row r="126" spans="1:12" s="34" customFormat="1">
      <c r="A126" s="11">
        <v>121</v>
      </c>
      <c r="B126" s="12" t="s">
        <v>170</v>
      </c>
      <c r="C126" s="17" t="s">
        <v>169</v>
      </c>
      <c r="D126" s="71">
        <v>136000</v>
      </c>
      <c r="E126" s="56">
        <v>2</v>
      </c>
      <c r="F126" s="19">
        <v>0</v>
      </c>
      <c r="G126" s="19">
        <v>135999</v>
      </c>
      <c r="H126" s="19">
        <v>1</v>
      </c>
      <c r="I126" s="35"/>
      <c r="J126" s="32"/>
      <c r="K126" s="32"/>
      <c r="L126" s="32"/>
    </row>
    <row r="127" spans="1:12" s="34" customFormat="1">
      <c r="A127" s="11">
        <v>122</v>
      </c>
      <c r="B127" s="12" t="s">
        <v>168</v>
      </c>
      <c r="C127" s="17" t="s">
        <v>167</v>
      </c>
      <c r="D127" s="70">
        <v>11990</v>
      </c>
      <c r="E127" s="56">
        <v>2</v>
      </c>
      <c r="F127" s="19">
        <v>0</v>
      </c>
      <c r="G127" s="19">
        <v>11989</v>
      </c>
      <c r="H127" s="19">
        <v>1</v>
      </c>
      <c r="I127" s="35"/>
      <c r="J127" s="32"/>
      <c r="K127" s="32"/>
      <c r="L127" s="32"/>
    </row>
    <row r="128" spans="1:12" s="34" customFormat="1">
      <c r="A128" s="11">
        <v>123</v>
      </c>
      <c r="B128" s="12" t="s">
        <v>166</v>
      </c>
      <c r="C128" s="17" t="s">
        <v>165</v>
      </c>
      <c r="D128" s="68">
        <v>16050</v>
      </c>
      <c r="E128" s="56">
        <v>2</v>
      </c>
      <c r="F128" s="19">
        <v>0</v>
      </c>
      <c r="G128" s="19">
        <v>16049</v>
      </c>
      <c r="H128" s="19">
        <v>1</v>
      </c>
      <c r="I128" s="35"/>
      <c r="J128" s="32"/>
      <c r="K128" s="32"/>
      <c r="L128" s="32"/>
    </row>
    <row r="129" spans="1:12" s="34" customFormat="1">
      <c r="A129" s="11">
        <v>124</v>
      </c>
      <c r="B129" s="12" t="s">
        <v>135</v>
      </c>
      <c r="C129" s="17" t="s">
        <v>164</v>
      </c>
      <c r="D129" s="68">
        <v>12100</v>
      </c>
      <c r="E129" s="56">
        <v>2</v>
      </c>
      <c r="F129" s="19">
        <v>0</v>
      </c>
      <c r="G129" s="19">
        <v>12099</v>
      </c>
      <c r="H129" s="19">
        <v>1</v>
      </c>
      <c r="I129" s="35"/>
      <c r="J129" s="32"/>
      <c r="K129" s="32"/>
      <c r="L129" s="32"/>
    </row>
    <row r="130" spans="1:12" s="34" customFormat="1">
      <c r="A130" s="11">
        <v>125</v>
      </c>
      <c r="B130" s="12" t="s">
        <v>163</v>
      </c>
      <c r="C130" s="17" t="s">
        <v>162</v>
      </c>
      <c r="D130" s="69">
        <v>14700</v>
      </c>
      <c r="E130" s="59">
        <v>2</v>
      </c>
      <c r="F130" s="19">
        <v>611.5</v>
      </c>
      <c r="G130" s="19">
        <v>14699</v>
      </c>
      <c r="H130" s="19">
        <v>1</v>
      </c>
      <c r="I130" s="35"/>
      <c r="J130" s="32"/>
      <c r="K130" s="32"/>
      <c r="L130" s="32"/>
    </row>
    <row r="131" spans="1:12" s="34" customFormat="1">
      <c r="A131" s="11">
        <v>126</v>
      </c>
      <c r="B131" s="12" t="s">
        <v>161</v>
      </c>
      <c r="C131" s="17" t="s">
        <v>160</v>
      </c>
      <c r="D131" s="68">
        <v>15490</v>
      </c>
      <c r="E131" s="59">
        <v>2</v>
      </c>
      <c r="F131" s="19">
        <v>1935.2200000000012</v>
      </c>
      <c r="G131" s="19">
        <v>15489</v>
      </c>
      <c r="H131" s="19">
        <v>1</v>
      </c>
      <c r="I131" s="35"/>
      <c r="J131" s="32"/>
      <c r="K131" s="32"/>
      <c r="L131" s="32"/>
    </row>
    <row r="132" spans="1:12" s="34" customFormat="1">
      <c r="A132" s="11">
        <v>127</v>
      </c>
      <c r="B132" s="12" t="s">
        <v>159</v>
      </c>
      <c r="C132" s="17" t="s">
        <v>158</v>
      </c>
      <c r="D132" s="67">
        <v>95000</v>
      </c>
      <c r="E132" s="59">
        <v>2</v>
      </c>
      <c r="F132" s="19">
        <v>11874.029999999999</v>
      </c>
      <c r="G132" s="19">
        <v>94999</v>
      </c>
      <c r="H132" s="19">
        <v>1</v>
      </c>
      <c r="I132" s="35"/>
      <c r="J132" s="32"/>
      <c r="K132" s="32"/>
      <c r="L132" s="32"/>
    </row>
    <row r="133" spans="1:12" s="34" customFormat="1">
      <c r="A133" s="11">
        <v>128</v>
      </c>
      <c r="B133" s="12" t="s">
        <v>156</v>
      </c>
      <c r="C133" s="17" t="s">
        <v>157</v>
      </c>
      <c r="D133" s="67">
        <v>62000.01</v>
      </c>
      <c r="E133" s="59">
        <v>2</v>
      </c>
      <c r="F133" s="19">
        <v>15499.07</v>
      </c>
      <c r="G133" s="19">
        <v>61999.01</v>
      </c>
      <c r="H133" s="19">
        <v>1</v>
      </c>
      <c r="I133" s="35"/>
      <c r="J133" s="32"/>
      <c r="K133" s="32"/>
      <c r="L133" s="32"/>
    </row>
    <row r="134" spans="1:12" s="34" customFormat="1">
      <c r="A134" s="11">
        <v>129</v>
      </c>
      <c r="B134" s="12" t="s">
        <v>156</v>
      </c>
      <c r="C134" s="17" t="s">
        <v>155</v>
      </c>
      <c r="D134" s="66">
        <v>62000.01</v>
      </c>
      <c r="E134" s="59">
        <v>2</v>
      </c>
      <c r="F134" s="19">
        <v>10332.360000000008</v>
      </c>
      <c r="G134" s="19">
        <v>61999.01</v>
      </c>
      <c r="H134" s="19">
        <v>1</v>
      </c>
      <c r="I134" s="35"/>
      <c r="J134" s="32"/>
      <c r="K134" s="32"/>
      <c r="L134" s="32"/>
    </row>
    <row r="135" spans="1:12" s="34" customFormat="1">
      <c r="A135" s="11">
        <v>130</v>
      </c>
      <c r="B135" s="12" t="s">
        <v>154</v>
      </c>
      <c r="C135" s="17" t="s">
        <v>153</v>
      </c>
      <c r="D135" s="65">
        <v>23186.9</v>
      </c>
      <c r="E135" s="59">
        <v>2</v>
      </c>
      <c r="F135" s="19">
        <v>4829.6100000000006</v>
      </c>
      <c r="G135" s="19">
        <v>23185.9</v>
      </c>
      <c r="H135" s="19">
        <v>1</v>
      </c>
      <c r="I135" s="35"/>
      <c r="J135" s="32"/>
      <c r="K135" s="32"/>
      <c r="L135" s="32"/>
    </row>
    <row r="136" spans="1:12" s="34" customFormat="1">
      <c r="A136" s="11">
        <v>131</v>
      </c>
      <c r="B136" s="12" t="s">
        <v>135</v>
      </c>
      <c r="C136" s="17" t="s">
        <v>152</v>
      </c>
      <c r="D136" s="63">
        <v>10990</v>
      </c>
      <c r="E136" s="59">
        <v>2</v>
      </c>
      <c r="F136" s="19">
        <v>2746.4799999999996</v>
      </c>
      <c r="G136" s="19">
        <v>10989</v>
      </c>
      <c r="H136" s="19">
        <v>1</v>
      </c>
      <c r="I136" s="35"/>
      <c r="J136" s="32"/>
      <c r="K136" s="32"/>
      <c r="L136" s="32"/>
    </row>
    <row r="137" spans="1:12" s="34" customFormat="1">
      <c r="A137" s="11">
        <v>132</v>
      </c>
      <c r="B137" s="12" t="s">
        <v>151</v>
      </c>
      <c r="C137" s="17" t="s">
        <v>150</v>
      </c>
      <c r="D137" s="63">
        <v>48740</v>
      </c>
      <c r="E137" s="59">
        <v>2</v>
      </c>
      <c r="F137" s="19">
        <v>12184.020000000004</v>
      </c>
      <c r="G137" s="19">
        <v>48739</v>
      </c>
      <c r="H137" s="19">
        <v>1</v>
      </c>
      <c r="I137" s="35"/>
      <c r="J137" s="32"/>
      <c r="K137" s="32"/>
      <c r="L137" s="32"/>
    </row>
    <row r="138" spans="1:12" s="34" customFormat="1">
      <c r="A138" s="11">
        <v>133</v>
      </c>
      <c r="B138" s="12" t="s">
        <v>148</v>
      </c>
      <c r="C138" s="17" t="s">
        <v>149</v>
      </c>
      <c r="D138" s="64">
        <v>21500</v>
      </c>
      <c r="E138" s="59">
        <v>2</v>
      </c>
      <c r="F138" s="19">
        <v>5374.02</v>
      </c>
      <c r="G138" s="19">
        <v>21499</v>
      </c>
      <c r="H138" s="19">
        <v>1</v>
      </c>
      <c r="I138" s="35"/>
      <c r="J138" s="32"/>
      <c r="K138" s="32"/>
      <c r="L138" s="32"/>
    </row>
    <row r="139" spans="1:12" s="34" customFormat="1">
      <c r="A139" s="11">
        <v>134</v>
      </c>
      <c r="B139" s="12" t="s">
        <v>148</v>
      </c>
      <c r="C139" s="17" t="s">
        <v>147</v>
      </c>
      <c r="D139" s="64">
        <v>21500</v>
      </c>
      <c r="E139" s="59">
        <v>2</v>
      </c>
      <c r="F139" s="19">
        <v>5374.02</v>
      </c>
      <c r="G139" s="19">
        <v>21499</v>
      </c>
      <c r="H139" s="19">
        <v>1</v>
      </c>
      <c r="I139" s="35"/>
      <c r="J139" s="32"/>
      <c r="K139" s="32"/>
      <c r="L139" s="32"/>
    </row>
    <row r="140" spans="1:12" s="34" customFormat="1">
      <c r="A140" s="11">
        <v>135</v>
      </c>
      <c r="B140" s="12" t="s">
        <v>146</v>
      </c>
      <c r="C140" s="17" t="s">
        <v>145</v>
      </c>
      <c r="D140" s="63">
        <v>49220</v>
      </c>
      <c r="E140" s="59">
        <v>2</v>
      </c>
      <c r="F140" s="19">
        <v>14354.849999999999</v>
      </c>
      <c r="G140" s="19">
        <v>49219</v>
      </c>
      <c r="H140" s="19">
        <v>1</v>
      </c>
      <c r="I140" s="35"/>
      <c r="J140" s="32"/>
      <c r="K140" s="32"/>
      <c r="L140" s="32"/>
    </row>
    <row r="141" spans="1:12" s="34" customFormat="1">
      <c r="A141" s="11">
        <v>136</v>
      </c>
      <c r="B141" s="12" t="s">
        <v>144</v>
      </c>
      <c r="C141" s="17" t="s">
        <v>143</v>
      </c>
      <c r="D141" s="63">
        <v>314580</v>
      </c>
      <c r="E141" s="59">
        <v>2</v>
      </c>
      <c r="F141" s="19">
        <v>91751.5</v>
      </c>
      <c r="G141" s="19">
        <v>314579</v>
      </c>
      <c r="H141" s="19">
        <v>1</v>
      </c>
      <c r="I141" s="35"/>
      <c r="J141" s="32"/>
      <c r="K141" s="32"/>
      <c r="L141" s="32"/>
    </row>
    <row r="142" spans="1:12" s="34" customFormat="1">
      <c r="A142" s="11">
        <v>137</v>
      </c>
      <c r="B142" s="12" t="s">
        <v>142</v>
      </c>
      <c r="C142" s="17" t="s">
        <v>141</v>
      </c>
      <c r="D142" s="62">
        <v>38500</v>
      </c>
      <c r="E142" s="59">
        <v>2</v>
      </c>
      <c r="F142" s="19">
        <v>12832.32</v>
      </c>
      <c r="G142" s="19">
        <v>38499</v>
      </c>
      <c r="H142" s="19">
        <v>1</v>
      </c>
      <c r="I142" s="35"/>
      <c r="J142" s="32"/>
      <c r="K142" s="32"/>
      <c r="L142" s="32"/>
    </row>
    <row r="143" spans="1:12" s="34" customFormat="1">
      <c r="A143" s="11">
        <v>138</v>
      </c>
      <c r="B143" s="12" t="s">
        <v>137</v>
      </c>
      <c r="C143" s="17" t="s">
        <v>140</v>
      </c>
      <c r="D143" s="61">
        <v>159500</v>
      </c>
      <c r="E143" s="59">
        <v>2</v>
      </c>
      <c r="F143" s="19">
        <v>59811.510000000009</v>
      </c>
      <c r="G143" s="19">
        <v>159499</v>
      </c>
      <c r="H143" s="19">
        <v>1</v>
      </c>
      <c r="I143" s="35"/>
      <c r="J143" s="32"/>
      <c r="K143" s="32"/>
      <c r="L143" s="32"/>
    </row>
    <row r="144" spans="1:12" s="34" customFormat="1">
      <c r="A144" s="11">
        <v>139</v>
      </c>
      <c r="B144" s="12" t="s">
        <v>137</v>
      </c>
      <c r="C144" s="17" t="s">
        <v>139</v>
      </c>
      <c r="D144" s="61">
        <v>159500</v>
      </c>
      <c r="E144" s="59">
        <v>2</v>
      </c>
      <c r="F144" s="19">
        <v>59811.510000000009</v>
      </c>
      <c r="G144" s="19">
        <v>159499</v>
      </c>
      <c r="H144" s="19">
        <v>1</v>
      </c>
      <c r="I144" s="35"/>
      <c r="J144" s="32"/>
      <c r="K144" s="32"/>
      <c r="L144" s="32"/>
    </row>
    <row r="145" spans="1:12" s="34" customFormat="1">
      <c r="A145" s="11">
        <v>140</v>
      </c>
      <c r="B145" s="12" t="s">
        <v>137</v>
      </c>
      <c r="C145" s="58" t="s">
        <v>138</v>
      </c>
      <c r="D145" s="60">
        <v>171200</v>
      </c>
      <c r="E145" s="59">
        <v>2</v>
      </c>
      <c r="F145" s="19">
        <v>71332.34</v>
      </c>
      <c r="G145" s="19">
        <v>171199</v>
      </c>
      <c r="H145" s="19">
        <v>1</v>
      </c>
      <c r="I145" s="35"/>
      <c r="J145" s="32"/>
      <c r="K145" s="32"/>
      <c r="L145" s="32"/>
    </row>
    <row r="146" spans="1:12" s="34" customFormat="1">
      <c r="A146" s="11">
        <v>141</v>
      </c>
      <c r="B146" s="12" t="s">
        <v>137</v>
      </c>
      <c r="C146" s="58" t="s">
        <v>136</v>
      </c>
      <c r="D146" s="60">
        <v>171200</v>
      </c>
      <c r="E146" s="59">
        <v>2</v>
      </c>
      <c r="F146" s="19">
        <v>71332.34</v>
      </c>
      <c r="G146" s="19">
        <v>171199</v>
      </c>
      <c r="H146" s="19">
        <v>1</v>
      </c>
      <c r="I146" s="35"/>
      <c r="J146" s="32"/>
      <c r="K146" s="32"/>
      <c r="L146" s="32"/>
    </row>
    <row r="147" spans="1:12" s="34" customFormat="1">
      <c r="A147" s="11">
        <v>142</v>
      </c>
      <c r="B147" s="12" t="s">
        <v>135</v>
      </c>
      <c r="C147" s="58" t="s">
        <v>134</v>
      </c>
      <c r="D147" s="57">
        <v>10990</v>
      </c>
      <c r="E147" s="59">
        <v>2</v>
      </c>
      <c r="F147" s="19">
        <v>5036.08</v>
      </c>
      <c r="G147" s="19">
        <v>10989</v>
      </c>
      <c r="H147" s="19">
        <v>1</v>
      </c>
      <c r="I147" s="35"/>
      <c r="J147" s="32"/>
      <c r="K147" s="32"/>
      <c r="L147" s="32"/>
    </row>
    <row r="148" spans="1:12" s="34" customFormat="1">
      <c r="A148" s="11">
        <v>143</v>
      </c>
      <c r="B148" s="12" t="s">
        <v>133</v>
      </c>
      <c r="C148" s="58" t="s">
        <v>132</v>
      </c>
      <c r="D148" s="57">
        <v>13375</v>
      </c>
      <c r="E148" s="59">
        <v>2</v>
      </c>
      <c r="F148" s="19">
        <v>6686.5</v>
      </c>
      <c r="G148" s="19">
        <v>13374</v>
      </c>
      <c r="H148" s="19">
        <v>1</v>
      </c>
      <c r="I148" s="35"/>
      <c r="J148" s="32"/>
      <c r="K148" s="32"/>
      <c r="L148" s="32"/>
    </row>
    <row r="149" spans="1:12" s="34" customFormat="1">
      <c r="A149" s="11">
        <v>144</v>
      </c>
      <c r="B149" s="12" t="s">
        <v>131</v>
      </c>
      <c r="C149" s="58" t="s">
        <v>130</v>
      </c>
      <c r="D149" s="57">
        <v>23540</v>
      </c>
      <c r="E149" s="59">
        <v>2</v>
      </c>
      <c r="F149" s="19">
        <v>11769</v>
      </c>
      <c r="G149" s="19">
        <v>23539</v>
      </c>
      <c r="H149" s="19">
        <v>1</v>
      </c>
      <c r="I149" s="35"/>
      <c r="J149" s="32"/>
      <c r="K149" s="32"/>
      <c r="L149" s="32"/>
    </row>
    <row r="150" spans="1:12" s="34" customFormat="1">
      <c r="A150" s="11">
        <v>145</v>
      </c>
      <c r="B150" s="12" t="s">
        <v>129</v>
      </c>
      <c r="C150" s="58" t="s">
        <v>128</v>
      </c>
      <c r="D150" s="57">
        <v>29000</v>
      </c>
      <c r="E150" s="56">
        <v>2</v>
      </c>
      <c r="F150" s="19">
        <v>13291.63</v>
      </c>
      <c r="G150" s="19">
        <v>13291.63</v>
      </c>
      <c r="H150" s="19">
        <v>15708.37</v>
      </c>
      <c r="I150" s="35"/>
      <c r="J150" s="32"/>
      <c r="K150" s="32"/>
      <c r="L150" s="32"/>
    </row>
    <row r="151" spans="1:12" s="34" customFormat="1">
      <c r="A151" s="11">
        <v>146</v>
      </c>
      <c r="B151" s="12" t="s">
        <v>127</v>
      </c>
      <c r="C151" s="58" t="s">
        <v>126</v>
      </c>
      <c r="D151" s="57">
        <v>36000</v>
      </c>
      <c r="E151" s="56">
        <v>2</v>
      </c>
      <c r="F151" s="19">
        <v>16500</v>
      </c>
      <c r="G151" s="19">
        <v>16500</v>
      </c>
      <c r="H151" s="19">
        <v>19500</v>
      </c>
      <c r="I151" s="35"/>
      <c r="J151" s="32"/>
      <c r="K151" s="32"/>
      <c r="L151" s="32"/>
    </row>
    <row r="152" spans="1:12" s="34" customFormat="1">
      <c r="A152" s="11">
        <v>147</v>
      </c>
      <c r="B152" s="12" t="s">
        <v>125</v>
      </c>
      <c r="C152" s="58" t="s">
        <v>124</v>
      </c>
      <c r="D152" s="57">
        <v>75000</v>
      </c>
      <c r="E152" s="56">
        <v>2</v>
      </c>
      <c r="F152" s="19">
        <v>34375</v>
      </c>
      <c r="G152" s="19">
        <v>34375</v>
      </c>
      <c r="H152" s="19">
        <v>40625</v>
      </c>
      <c r="I152" s="35"/>
      <c r="J152" s="32"/>
      <c r="K152" s="32"/>
      <c r="L152" s="32"/>
    </row>
    <row r="153" spans="1:12" s="34" customFormat="1">
      <c r="A153" s="11">
        <v>148</v>
      </c>
      <c r="B153" s="12" t="s">
        <v>123</v>
      </c>
      <c r="C153" s="58" t="s">
        <v>122</v>
      </c>
      <c r="D153" s="57">
        <v>10050</v>
      </c>
      <c r="E153" s="56">
        <v>2</v>
      </c>
      <c r="F153" s="19">
        <v>4606.25</v>
      </c>
      <c r="G153" s="19">
        <v>4606.25</v>
      </c>
      <c r="H153" s="19">
        <v>5443.75</v>
      </c>
      <c r="I153" s="35"/>
      <c r="J153" s="32"/>
      <c r="K153" s="32"/>
      <c r="L153" s="32"/>
    </row>
    <row r="154" spans="1:12" s="34" customFormat="1">
      <c r="A154" s="11">
        <v>149</v>
      </c>
      <c r="B154" s="12" t="s">
        <v>121</v>
      </c>
      <c r="C154" s="58" t="s">
        <v>120</v>
      </c>
      <c r="D154" s="57">
        <v>44000</v>
      </c>
      <c r="E154" s="56">
        <v>2</v>
      </c>
      <c r="F154" s="19">
        <v>7333.32</v>
      </c>
      <c r="G154" s="19">
        <v>7333.32</v>
      </c>
      <c r="H154" s="19">
        <v>36666.68</v>
      </c>
      <c r="I154" s="35"/>
      <c r="J154" s="32"/>
      <c r="K154" s="32"/>
      <c r="L154" s="32"/>
    </row>
    <row r="155" spans="1:12">
      <c r="A155" s="33"/>
      <c r="B155" s="33"/>
      <c r="C155" s="32"/>
      <c r="D155" s="21">
        <f>SUM(D6:D154)</f>
        <v>26746732.100000001</v>
      </c>
      <c r="E155" s="21">
        <f>SUM(E6:E154)</f>
        <v>298</v>
      </c>
      <c r="F155" s="21">
        <f>SUM(F6:F154)</f>
        <v>551584.47999999986</v>
      </c>
      <c r="G155" s="21">
        <f>SUM(G6:G154)</f>
        <v>26628644.300000001</v>
      </c>
      <c r="H155" s="21">
        <f>SUM(H6:H154)</f>
        <v>118087.79999999999</v>
      </c>
    </row>
    <row r="158" spans="1:12">
      <c r="D158" s="30" t="s">
        <v>4</v>
      </c>
      <c r="E158" s="31" t="s">
        <v>3</v>
      </c>
      <c r="F158" s="30" t="s">
        <v>2</v>
      </c>
      <c r="G158" s="30" t="s">
        <v>1</v>
      </c>
    </row>
    <row r="159" spans="1:12" ht="25.5">
      <c r="C159" s="29" t="s">
        <v>0</v>
      </c>
      <c r="D159" s="28">
        <f>D155</f>
        <v>26746732.100000001</v>
      </c>
      <c r="E159" s="6">
        <f>F155</f>
        <v>551584.47999999986</v>
      </c>
      <c r="F159" s="5">
        <f>G155</f>
        <v>26628644.300000001</v>
      </c>
      <c r="G159" s="5">
        <f>H155</f>
        <v>118087.79999999999</v>
      </c>
    </row>
  </sheetData>
  <autoFilter ref="A5:E5"/>
  <mergeCells count="1">
    <mergeCell ref="A2:E2"/>
  </mergeCells>
  <conditionalFormatting sqref="C26:C35">
    <cfRule type="duplicateValues" dxfId="0" priority="1"/>
  </conditionalFormatting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6"/>
  <sheetViews>
    <sheetView zoomScaleSheetLayoutView="98" workbookViewId="0">
      <selection activeCell="B48" sqref="B48"/>
    </sheetView>
  </sheetViews>
  <sheetFormatPr defaultColWidth="9" defaultRowHeight="23.25"/>
  <cols>
    <col min="1" max="1" width="9" style="1"/>
    <col min="2" max="2" width="59.875" style="4" customWidth="1"/>
    <col min="3" max="3" width="20.125" style="3" bestFit="1" customWidth="1"/>
    <col min="4" max="4" width="14.75" style="1" customWidth="1"/>
    <col min="5" max="5" width="10.75" style="1" customWidth="1"/>
    <col min="6" max="6" width="11.125" style="2" customWidth="1"/>
    <col min="7" max="7" width="12.875" style="2" customWidth="1"/>
    <col min="8" max="8" width="10.875" style="2" customWidth="1"/>
    <col min="9" max="16384" width="9" style="1"/>
  </cols>
  <sheetData>
    <row r="1" spans="1:8">
      <c r="A1" s="151" t="s">
        <v>61</v>
      </c>
      <c r="B1" s="151"/>
      <c r="C1" s="151"/>
      <c r="D1" s="151"/>
      <c r="E1" s="151"/>
    </row>
    <row r="2" spans="1:8">
      <c r="A2" s="3"/>
      <c r="B2" s="3"/>
      <c r="D2" s="3"/>
      <c r="E2" s="3"/>
    </row>
    <row r="3" spans="1:8">
      <c r="B3" s="1" t="s">
        <v>60</v>
      </c>
    </row>
    <row r="4" spans="1:8">
      <c r="A4" s="11" t="s">
        <v>59</v>
      </c>
      <c r="B4" s="11" t="s">
        <v>58</v>
      </c>
      <c r="C4" s="11" t="s">
        <v>57</v>
      </c>
      <c r="D4" s="11" t="s">
        <v>4</v>
      </c>
      <c r="E4" s="11" t="s">
        <v>56</v>
      </c>
      <c r="F4" s="25" t="s">
        <v>55</v>
      </c>
      <c r="G4" s="25" t="s">
        <v>54</v>
      </c>
      <c r="H4" s="25" t="s">
        <v>53</v>
      </c>
    </row>
    <row r="5" spans="1:8">
      <c r="A5" s="11">
        <v>1</v>
      </c>
      <c r="B5" s="24" t="s">
        <v>50</v>
      </c>
      <c r="C5" s="19" t="s">
        <v>52</v>
      </c>
      <c r="D5" s="19">
        <v>7400</v>
      </c>
      <c r="E5" s="19">
        <v>5</v>
      </c>
      <c r="F5" s="14">
        <v>0</v>
      </c>
      <c r="G5" s="14">
        <v>7399</v>
      </c>
      <c r="H5" s="14">
        <v>1</v>
      </c>
    </row>
    <row r="6" spans="1:8">
      <c r="A6" s="11">
        <v>2</v>
      </c>
      <c r="B6" s="24" t="s">
        <v>50</v>
      </c>
      <c r="C6" s="19" t="s">
        <v>51</v>
      </c>
      <c r="D6" s="19">
        <v>7500</v>
      </c>
      <c r="E6" s="19">
        <v>5</v>
      </c>
      <c r="F6" s="14">
        <v>0</v>
      </c>
      <c r="G6" s="14">
        <v>7499</v>
      </c>
      <c r="H6" s="14">
        <v>1</v>
      </c>
    </row>
    <row r="7" spans="1:8">
      <c r="A7" s="11">
        <v>3</v>
      </c>
      <c r="B7" s="24" t="s">
        <v>50</v>
      </c>
      <c r="C7" s="19" t="s">
        <v>49</v>
      </c>
      <c r="D7" s="19">
        <v>7000</v>
      </c>
      <c r="E7" s="19">
        <v>5</v>
      </c>
      <c r="F7" s="14">
        <v>0</v>
      </c>
      <c r="G7" s="14">
        <v>6999</v>
      </c>
      <c r="H7" s="14">
        <v>1</v>
      </c>
    </row>
    <row r="8" spans="1:8">
      <c r="A8" s="11">
        <v>4</v>
      </c>
      <c r="B8" s="24" t="s">
        <v>46</v>
      </c>
      <c r="C8" s="19" t="s">
        <v>48</v>
      </c>
      <c r="D8" s="19">
        <v>7200</v>
      </c>
      <c r="E8" s="19">
        <v>5</v>
      </c>
      <c r="F8" s="14">
        <v>0</v>
      </c>
      <c r="G8" s="14">
        <v>7199</v>
      </c>
      <c r="H8" s="14">
        <v>1</v>
      </c>
    </row>
    <row r="9" spans="1:8">
      <c r="A9" s="11">
        <v>5</v>
      </c>
      <c r="B9" s="24" t="s">
        <v>46</v>
      </c>
      <c r="C9" s="19" t="s">
        <v>47</v>
      </c>
      <c r="D9" s="19">
        <v>7200</v>
      </c>
      <c r="E9" s="19">
        <v>5</v>
      </c>
      <c r="F9" s="14">
        <v>0</v>
      </c>
      <c r="G9" s="14">
        <v>7199</v>
      </c>
      <c r="H9" s="14">
        <v>1</v>
      </c>
    </row>
    <row r="10" spans="1:8">
      <c r="A10" s="11">
        <v>6</v>
      </c>
      <c r="B10" s="24" t="s">
        <v>46</v>
      </c>
      <c r="C10" s="19" t="s">
        <v>45</v>
      </c>
      <c r="D10" s="19">
        <v>9400</v>
      </c>
      <c r="E10" s="19">
        <v>5</v>
      </c>
      <c r="F10" s="14">
        <v>0</v>
      </c>
      <c r="G10" s="14">
        <v>9399</v>
      </c>
      <c r="H10" s="14">
        <v>1</v>
      </c>
    </row>
    <row r="11" spans="1:8">
      <c r="A11" s="11">
        <v>7</v>
      </c>
      <c r="B11" s="24" t="s">
        <v>44</v>
      </c>
      <c r="C11" s="19" t="s">
        <v>43</v>
      </c>
      <c r="D11" s="19">
        <v>17500</v>
      </c>
      <c r="E11" s="19">
        <v>5</v>
      </c>
      <c r="F11" s="14">
        <v>0</v>
      </c>
      <c r="G11" s="14">
        <v>17499</v>
      </c>
      <c r="H11" s="14">
        <v>1</v>
      </c>
    </row>
    <row r="12" spans="1:8">
      <c r="A12" s="11">
        <v>8</v>
      </c>
      <c r="B12" s="24" t="s">
        <v>42</v>
      </c>
      <c r="C12" s="19" t="s">
        <v>41</v>
      </c>
      <c r="D12" s="19">
        <v>9300</v>
      </c>
      <c r="E12" s="19">
        <v>5</v>
      </c>
      <c r="F12" s="14">
        <v>0</v>
      </c>
      <c r="G12" s="14">
        <v>9299</v>
      </c>
      <c r="H12" s="14">
        <v>1</v>
      </c>
    </row>
    <row r="13" spans="1:8">
      <c r="A13" s="11">
        <v>9</v>
      </c>
      <c r="B13" s="24" t="s">
        <v>40</v>
      </c>
      <c r="C13" s="19" t="s">
        <v>39</v>
      </c>
      <c r="D13" s="19">
        <v>24000</v>
      </c>
      <c r="E13" s="19">
        <v>5</v>
      </c>
      <c r="F13" s="14">
        <v>0</v>
      </c>
      <c r="G13" s="14">
        <v>23999</v>
      </c>
      <c r="H13" s="14">
        <v>1</v>
      </c>
    </row>
    <row r="14" spans="1:8">
      <c r="A14" s="11">
        <v>10</v>
      </c>
      <c r="B14" s="24" t="s">
        <v>38</v>
      </c>
      <c r="C14" s="19" t="s">
        <v>37</v>
      </c>
      <c r="D14" s="19">
        <v>20223</v>
      </c>
      <c r="E14" s="19">
        <v>5</v>
      </c>
      <c r="F14" s="14">
        <v>0</v>
      </c>
      <c r="G14" s="14">
        <v>20222</v>
      </c>
      <c r="H14" s="14">
        <v>1</v>
      </c>
    </row>
    <row r="15" spans="1:8">
      <c r="A15" s="11">
        <v>11</v>
      </c>
      <c r="B15" s="24" t="s">
        <v>36</v>
      </c>
      <c r="C15" s="19" t="s">
        <v>35</v>
      </c>
      <c r="D15" s="19">
        <v>14000</v>
      </c>
      <c r="E15" s="19">
        <v>5</v>
      </c>
      <c r="F15" s="14">
        <v>0</v>
      </c>
      <c r="G15" s="14">
        <v>13999</v>
      </c>
      <c r="H15" s="14">
        <v>1</v>
      </c>
    </row>
    <row r="16" spans="1:8">
      <c r="A16" s="11">
        <v>12</v>
      </c>
      <c r="B16" s="24" t="s">
        <v>34</v>
      </c>
      <c r="C16" s="19" t="s">
        <v>33</v>
      </c>
      <c r="D16" s="19">
        <v>14000</v>
      </c>
      <c r="E16" s="19">
        <v>5</v>
      </c>
      <c r="F16" s="14">
        <v>0</v>
      </c>
      <c r="G16" s="14">
        <v>13999</v>
      </c>
      <c r="H16" s="14">
        <v>1</v>
      </c>
    </row>
    <row r="17" spans="1:8">
      <c r="A17" s="11">
        <v>13</v>
      </c>
      <c r="B17" s="24" t="s">
        <v>32</v>
      </c>
      <c r="C17" s="19" t="s">
        <v>31</v>
      </c>
      <c r="D17" s="19">
        <v>17000</v>
      </c>
      <c r="E17" s="19">
        <v>5</v>
      </c>
      <c r="F17" s="14">
        <v>0</v>
      </c>
      <c r="G17" s="14">
        <v>16999</v>
      </c>
      <c r="H17" s="14">
        <v>1</v>
      </c>
    </row>
    <row r="18" spans="1:8">
      <c r="A18" s="11">
        <v>14</v>
      </c>
      <c r="B18" s="24" t="s">
        <v>30</v>
      </c>
      <c r="C18" s="19" t="s">
        <v>29</v>
      </c>
      <c r="D18" s="19">
        <v>8000</v>
      </c>
      <c r="E18" s="19">
        <v>5</v>
      </c>
      <c r="F18" s="14">
        <v>0</v>
      </c>
      <c r="G18" s="14">
        <v>7999</v>
      </c>
      <c r="H18" s="14">
        <v>1</v>
      </c>
    </row>
    <row r="19" spans="1:8">
      <c r="A19" s="11">
        <v>15</v>
      </c>
      <c r="B19" s="24" t="s">
        <v>28</v>
      </c>
      <c r="C19" s="19" t="s">
        <v>27</v>
      </c>
      <c r="D19" s="19">
        <v>6000</v>
      </c>
      <c r="E19" s="19">
        <v>5</v>
      </c>
      <c r="F19" s="14">
        <v>0</v>
      </c>
      <c r="G19" s="14">
        <v>5999</v>
      </c>
      <c r="H19" s="14">
        <v>1</v>
      </c>
    </row>
    <row r="20" spans="1:8">
      <c r="A20" s="11">
        <v>16</v>
      </c>
      <c r="B20" s="24" t="s">
        <v>26</v>
      </c>
      <c r="C20" s="19" t="s">
        <v>25</v>
      </c>
      <c r="D20" s="19">
        <v>23000</v>
      </c>
      <c r="E20" s="19">
        <v>5</v>
      </c>
      <c r="F20" s="14">
        <v>0</v>
      </c>
      <c r="G20" s="14">
        <v>22999</v>
      </c>
      <c r="H20" s="14">
        <v>1</v>
      </c>
    </row>
    <row r="21" spans="1:8">
      <c r="A21" s="11">
        <v>17</v>
      </c>
      <c r="B21" s="24" t="s">
        <v>24</v>
      </c>
      <c r="C21" s="19" t="s">
        <v>23</v>
      </c>
      <c r="D21" s="19">
        <v>5000</v>
      </c>
      <c r="E21" s="19">
        <v>5</v>
      </c>
      <c r="F21" s="14">
        <v>0</v>
      </c>
      <c r="G21" s="14">
        <v>4999</v>
      </c>
      <c r="H21" s="14">
        <v>1</v>
      </c>
    </row>
    <row r="22" spans="1:8">
      <c r="A22" s="11">
        <v>18</v>
      </c>
      <c r="B22" s="23" t="s">
        <v>22</v>
      </c>
      <c r="C22" s="22" t="s">
        <v>21</v>
      </c>
      <c r="D22" s="21">
        <v>14000</v>
      </c>
      <c r="E22" s="21">
        <v>5</v>
      </c>
      <c r="F22" s="14">
        <v>0</v>
      </c>
      <c r="G22" s="14">
        <v>13999</v>
      </c>
      <c r="H22" s="14">
        <v>1</v>
      </c>
    </row>
    <row r="23" spans="1:8" ht="19.5" customHeight="1">
      <c r="A23" s="11">
        <v>19</v>
      </c>
      <c r="B23" s="20" t="s">
        <v>20</v>
      </c>
      <c r="C23" s="19" t="s">
        <v>19</v>
      </c>
      <c r="D23" s="19">
        <v>30000</v>
      </c>
      <c r="E23" s="19">
        <v>5</v>
      </c>
      <c r="F23" s="14">
        <v>0</v>
      </c>
      <c r="G23" s="14">
        <v>29999</v>
      </c>
      <c r="H23" s="14">
        <v>1</v>
      </c>
    </row>
    <row r="24" spans="1:8">
      <c r="A24" s="11">
        <v>20</v>
      </c>
      <c r="B24" s="20" t="s">
        <v>17</v>
      </c>
      <c r="C24" s="19" t="s">
        <v>18</v>
      </c>
      <c r="D24" s="19">
        <v>15000</v>
      </c>
      <c r="E24" s="19">
        <v>5</v>
      </c>
      <c r="F24" s="14">
        <v>0</v>
      </c>
      <c r="G24" s="14">
        <v>14999</v>
      </c>
      <c r="H24" s="14">
        <v>1</v>
      </c>
    </row>
    <row r="25" spans="1:8">
      <c r="A25" s="11">
        <v>21</v>
      </c>
      <c r="B25" s="20" t="s">
        <v>17</v>
      </c>
      <c r="C25" s="19" t="s">
        <v>16</v>
      </c>
      <c r="D25" s="19">
        <v>15000</v>
      </c>
      <c r="E25" s="19">
        <v>5</v>
      </c>
      <c r="F25" s="14">
        <v>0</v>
      </c>
      <c r="G25" s="14">
        <v>14999</v>
      </c>
      <c r="H25" s="14">
        <v>1</v>
      </c>
    </row>
    <row r="26" spans="1:8">
      <c r="A26" s="11">
        <v>22</v>
      </c>
      <c r="B26" s="20" t="s">
        <v>15</v>
      </c>
      <c r="C26" s="19" t="s">
        <v>14</v>
      </c>
      <c r="D26" s="19">
        <v>12000</v>
      </c>
      <c r="E26" s="19">
        <v>5</v>
      </c>
      <c r="F26" s="14">
        <v>0</v>
      </c>
      <c r="G26" s="14">
        <v>11999</v>
      </c>
      <c r="H26" s="14">
        <v>1</v>
      </c>
    </row>
    <row r="27" spans="1:8">
      <c r="A27" s="11">
        <v>23</v>
      </c>
      <c r="B27" s="20" t="s">
        <v>12</v>
      </c>
      <c r="C27" s="19" t="s">
        <v>13</v>
      </c>
      <c r="D27" s="19">
        <v>12000</v>
      </c>
      <c r="E27" s="19">
        <v>5</v>
      </c>
      <c r="F27" s="14">
        <v>0</v>
      </c>
      <c r="G27" s="14">
        <v>11999</v>
      </c>
      <c r="H27" s="14">
        <v>1</v>
      </c>
    </row>
    <row r="28" spans="1:8">
      <c r="A28" s="11">
        <v>24</v>
      </c>
      <c r="B28" s="20" t="s">
        <v>12</v>
      </c>
      <c r="C28" s="19" t="s">
        <v>11</v>
      </c>
      <c r="D28" s="19">
        <v>12000</v>
      </c>
      <c r="E28" s="19">
        <v>5</v>
      </c>
      <c r="F28" s="14">
        <v>0</v>
      </c>
      <c r="G28" s="14">
        <v>11999</v>
      </c>
      <c r="H28" s="14">
        <v>1</v>
      </c>
    </row>
    <row r="29" spans="1:8">
      <c r="A29" s="11">
        <v>25</v>
      </c>
      <c r="B29" s="20" t="s">
        <v>10</v>
      </c>
      <c r="C29" s="19" t="s">
        <v>9</v>
      </c>
      <c r="D29" s="19">
        <v>58850</v>
      </c>
      <c r="E29" s="19">
        <v>5</v>
      </c>
      <c r="F29" s="14">
        <v>0</v>
      </c>
      <c r="G29" s="14">
        <v>58849</v>
      </c>
      <c r="H29" s="14">
        <v>1</v>
      </c>
    </row>
    <row r="30" spans="1:8">
      <c r="A30" s="11">
        <v>26</v>
      </c>
      <c r="B30" s="18" t="s">
        <v>8</v>
      </c>
      <c r="C30" s="17" t="s">
        <v>7</v>
      </c>
      <c r="D30" s="16">
        <v>6955</v>
      </c>
      <c r="E30" s="15">
        <v>5</v>
      </c>
      <c r="F30" s="14">
        <v>0</v>
      </c>
      <c r="G30" s="14">
        <v>6954</v>
      </c>
      <c r="H30" s="14">
        <v>1</v>
      </c>
    </row>
    <row r="31" spans="1:8">
      <c r="A31" s="11">
        <v>27</v>
      </c>
      <c r="B31" s="18" t="s">
        <v>6</v>
      </c>
      <c r="C31" s="17" t="s">
        <v>5</v>
      </c>
      <c r="D31" s="16">
        <v>5885</v>
      </c>
      <c r="E31" s="15">
        <v>5</v>
      </c>
      <c r="F31" s="14">
        <v>0</v>
      </c>
      <c r="G31" s="14">
        <v>5884</v>
      </c>
      <c r="H31" s="14">
        <v>1</v>
      </c>
    </row>
    <row r="32" spans="1:8">
      <c r="A32" s="13"/>
      <c r="B32" s="12"/>
      <c r="C32" s="11"/>
      <c r="D32" s="10">
        <f>SUM(D5:D31)</f>
        <v>385413</v>
      </c>
      <c r="E32" s="10">
        <f>SUM(E5:E31)</f>
        <v>135</v>
      </c>
      <c r="F32" s="10">
        <f>SUM(F5:F31)</f>
        <v>0</v>
      </c>
      <c r="G32" s="10">
        <f>SUM(G5:G31)</f>
        <v>385386</v>
      </c>
      <c r="H32" s="10">
        <f>SUM(H5:H31)</f>
        <v>27</v>
      </c>
    </row>
    <row r="35" spans="3:7" s="1" customFormat="1" ht="24" thickBot="1">
      <c r="C35" s="3"/>
      <c r="D35" s="9" t="s">
        <v>4</v>
      </c>
      <c r="E35" s="8" t="s">
        <v>3</v>
      </c>
      <c r="F35" s="8" t="s">
        <v>2</v>
      </c>
      <c r="G35" s="8" t="s">
        <v>1</v>
      </c>
    </row>
    <row r="36" spans="3:7" s="1" customFormat="1" ht="26.25" thickBot="1">
      <c r="C36" s="7" t="s">
        <v>0</v>
      </c>
      <c r="D36" s="6">
        <f>D32</f>
        <v>385413</v>
      </c>
      <c r="E36" s="6">
        <f>F32</f>
        <v>0</v>
      </c>
      <c r="F36" s="5">
        <f>G32</f>
        <v>385386</v>
      </c>
      <c r="G36" s="5">
        <f>H32</f>
        <v>27</v>
      </c>
    </row>
  </sheetData>
  <mergeCells count="1">
    <mergeCell ref="A1:E1"/>
  </mergeCells>
  <pageMargins left="0.70866141732283472" right="0.70866141732283472" top="0.56000000000000005" bottom="0.23622047244094491" header="0.31496062992125984" footer="0.18"/>
  <pageSetup paperSize="9" scale="8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R64"/>
  <sheetViews>
    <sheetView topLeftCell="A2" zoomScaleSheetLayoutView="90" workbookViewId="0">
      <selection activeCell="A6" sqref="A6:A59"/>
    </sheetView>
  </sheetViews>
  <sheetFormatPr defaultColWidth="9" defaultRowHeight="23.25"/>
  <cols>
    <col min="1" max="1" width="9" style="1"/>
    <col min="2" max="2" width="48.25" style="1" customWidth="1"/>
    <col min="3" max="3" width="17.75" style="84" customWidth="1"/>
    <col min="4" max="5" width="22.5" style="26" customWidth="1"/>
    <col min="6" max="6" width="14.875" style="27" customWidth="1"/>
    <col min="7" max="7" width="13.125" style="1" customWidth="1"/>
    <col min="8" max="8" width="12.25" style="2" customWidth="1"/>
    <col min="9" max="9" width="12.625" style="2" customWidth="1"/>
    <col min="10" max="10" width="11.875" style="2" customWidth="1"/>
    <col min="11" max="11" width="11.875" style="1" hidden="1" customWidth="1"/>
    <col min="12" max="13" width="12" style="1" hidden="1" customWidth="1"/>
    <col min="14" max="14" width="9" style="1" hidden="1" customWidth="1"/>
    <col min="15" max="16384" width="9" style="1"/>
  </cols>
  <sheetData>
    <row r="1" spans="1:14" hidden="1"/>
    <row r="2" spans="1:14">
      <c r="A2" s="151" t="s">
        <v>61</v>
      </c>
      <c r="B2" s="151"/>
      <c r="C2" s="151"/>
      <c r="D2" s="151"/>
      <c r="E2" s="151"/>
      <c r="F2" s="151"/>
      <c r="G2" s="151"/>
    </row>
    <row r="3" spans="1:14">
      <c r="A3" s="26"/>
      <c r="B3" s="26"/>
      <c r="F3" s="26"/>
      <c r="G3" s="26"/>
    </row>
    <row r="4" spans="1:14">
      <c r="B4" s="1" t="s">
        <v>484</v>
      </c>
      <c r="F4" s="1"/>
    </row>
    <row r="5" spans="1:14">
      <c r="A5" s="11" t="s">
        <v>59</v>
      </c>
      <c r="B5" s="11" t="s">
        <v>58</v>
      </c>
      <c r="C5" s="40"/>
      <c r="D5" s="11" t="s">
        <v>57</v>
      </c>
      <c r="E5" s="17" t="s">
        <v>483</v>
      </c>
      <c r="F5" s="19" t="s">
        <v>4</v>
      </c>
      <c r="G5" s="38" t="s">
        <v>56</v>
      </c>
      <c r="H5" s="37" t="s">
        <v>55</v>
      </c>
      <c r="I5" s="37" t="s">
        <v>54</v>
      </c>
      <c r="J5" s="37" t="s">
        <v>53</v>
      </c>
      <c r="K5" s="36" t="s">
        <v>55</v>
      </c>
      <c r="L5" s="36" t="s">
        <v>54</v>
      </c>
      <c r="M5" s="36" t="s">
        <v>53</v>
      </c>
      <c r="N5" s="36" t="s">
        <v>64</v>
      </c>
    </row>
    <row r="6" spans="1:14">
      <c r="A6" s="17">
        <v>1</v>
      </c>
      <c r="B6" s="90" t="s">
        <v>482</v>
      </c>
      <c r="C6" s="90"/>
      <c r="D6" s="101" t="s">
        <v>481</v>
      </c>
      <c r="E6" s="87">
        <v>43235</v>
      </c>
      <c r="F6" s="104">
        <v>185000</v>
      </c>
      <c r="G6" s="81">
        <v>3</v>
      </c>
      <c r="H6" s="15">
        <v>0</v>
      </c>
      <c r="I6" s="21">
        <v>184999</v>
      </c>
      <c r="J6" s="21">
        <v>1</v>
      </c>
      <c r="K6" s="103">
        <f t="shared" ref="K6:K15" si="0">H6</f>
        <v>0</v>
      </c>
      <c r="L6" s="10">
        <f t="shared" ref="L6:L15" si="1">I6-H6</f>
        <v>184999</v>
      </c>
      <c r="M6" s="10" t="e">
        <f>#REF!-L6</f>
        <v>#REF!</v>
      </c>
      <c r="N6" s="10">
        <f t="shared" ref="N6:N19" si="2">K6</f>
        <v>0</v>
      </c>
    </row>
    <row r="7" spans="1:14">
      <c r="A7" s="17">
        <v>2</v>
      </c>
      <c r="B7" s="90" t="s">
        <v>480</v>
      </c>
      <c r="C7" s="90"/>
      <c r="D7" s="101" t="s">
        <v>479</v>
      </c>
      <c r="E7" s="87">
        <v>43235</v>
      </c>
      <c r="F7" s="104">
        <v>180000</v>
      </c>
      <c r="G7" s="81">
        <v>3</v>
      </c>
      <c r="H7" s="15">
        <v>0</v>
      </c>
      <c r="I7" s="21">
        <v>179999</v>
      </c>
      <c r="J7" s="21">
        <v>1</v>
      </c>
      <c r="K7" s="103">
        <f t="shared" si="0"/>
        <v>0</v>
      </c>
      <c r="L7" s="10">
        <f t="shared" si="1"/>
        <v>179999</v>
      </c>
      <c r="M7" s="10">
        <f t="shared" ref="M7:M12" si="3">F7-L7</f>
        <v>1</v>
      </c>
      <c r="N7" s="10">
        <f t="shared" si="2"/>
        <v>0</v>
      </c>
    </row>
    <row r="8" spans="1:14">
      <c r="A8" s="17">
        <v>3</v>
      </c>
      <c r="B8" s="90" t="s">
        <v>478</v>
      </c>
      <c r="C8" s="90"/>
      <c r="D8" s="101" t="s">
        <v>477</v>
      </c>
      <c r="E8" s="87">
        <v>43235</v>
      </c>
      <c r="F8" s="104">
        <v>100000</v>
      </c>
      <c r="G8" s="81">
        <v>3</v>
      </c>
      <c r="H8" s="15">
        <v>0</v>
      </c>
      <c r="I8" s="21">
        <v>99999</v>
      </c>
      <c r="J8" s="21">
        <v>1</v>
      </c>
      <c r="K8" s="103">
        <f t="shared" si="0"/>
        <v>0</v>
      </c>
      <c r="L8" s="10">
        <f t="shared" si="1"/>
        <v>99999</v>
      </c>
      <c r="M8" s="10">
        <f t="shared" si="3"/>
        <v>1</v>
      </c>
      <c r="N8" s="10">
        <f t="shared" si="2"/>
        <v>0</v>
      </c>
    </row>
    <row r="9" spans="1:14">
      <c r="A9" s="17">
        <v>4</v>
      </c>
      <c r="B9" s="90" t="s">
        <v>476</v>
      </c>
      <c r="C9" s="90"/>
      <c r="D9" s="101" t="s">
        <v>475</v>
      </c>
      <c r="E9" s="87">
        <v>43235</v>
      </c>
      <c r="F9" s="104">
        <v>45000</v>
      </c>
      <c r="G9" s="81">
        <v>3</v>
      </c>
      <c r="H9" s="15">
        <v>0</v>
      </c>
      <c r="I9" s="21">
        <v>44999</v>
      </c>
      <c r="J9" s="21">
        <v>1</v>
      </c>
      <c r="K9" s="103">
        <f t="shared" si="0"/>
        <v>0</v>
      </c>
      <c r="L9" s="10">
        <f t="shared" si="1"/>
        <v>44999</v>
      </c>
      <c r="M9" s="10">
        <f t="shared" si="3"/>
        <v>1</v>
      </c>
      <c r="N9" s="10">
        <f t="shared" si="2"/>
        <v>0</v>
      </c>
    </row>
    <row r="10" spans="1:14">
      <c r="A10" s="17">
        <v>5</v>
      </c>
      <c r="B10" s="90" t="s">
        <v>474</v>
      </c>
      <c r="C10" s="90"/>
      <c r="D10" s="101" t="s">
        <v>473</v>
      </c>
      <c r="E10" s="87">
        <v>43235</v>
      </c>
      <c r="F10" s="104">
        <v>37500</v>
      </c>
      <c r="G10" s="81">
        <v>3</v>
      </c>
      <c r="H10" s="15">
        <v>0</v>
      </c>
      <c r="I10" s="21">
        <v>37499</v>
      </c>
      <c r="J10" s="21">
        <v>1</v>
      </c>
      <c r="K10" s="103">
        <f t="shared" si="0"/>
        <v>0</v>
      </c>
      <c r="L10" s="10">
        <f t="shared" si="1"/>
        <v>37499</v>
      </c>
      <c r="M10" s="10">
        <f t="shared" si="3"/>
        <v>1</v>
      </c>
      <c r="N10" s="10">
        <f t="shared" si="2"/>
        <v>0</v>
      </c>
    </row>
    <row r="11" spans="1:14">
      <c r="A11" s="17">
        <v>6</v>
      </c>
      <c r="B11" s="90" t="s">
        <v>472</v>
      </c>
      <c r="C11" s="90"/>
      <c r="D11" s="101" t="s">
        <v>471</v>
      </c>
      <c r="E11" s="87">
        <v>43235</v>
      </c>
      <c r="F11" s="104">
        <v>12000</v>
      </c>
      <c r="G11" s="81">
        <v>3</v>
      </c>
      <c r="H11" s="15">
        <v>0</v>
      </c>
      <c r="I11" s="21">
        <v>11999</v>
      </c>
      <c r="J11" s="21">
        <v>1</v>
      </c>
      <c r="K11" s="103">
        <f t="shared" si="0"/>
        <v>0</v>
      </c>
      <c r="L11" s="10">
        <f t="shared" si="1"/>
        <v>11999</v>
      </c>
      <c r="M11" s="10">
        <f t="shared" si="3"/>
        <v>1</v>
      </c>
      <c r="N11" s="10">
        <f t="shared" si="2"/>
        <v>0</v>
      </c>
    </row>
    <row r="12" spans="1:14">
      <c r="A12" s="17">
        <v>7</v>
      </c>
      <c r="B12" s="90" t="s">
        <v>470</v>
      </c>
      <c r="C12" s="90"/>
      <c r="D12" s="101" t="s">
        <v>469</v>
      </c>
      <c r="E12" s="87">
        <v>43257</v>
      </c>
      <c r="F12" s="104">
        <v>58000</v>
      </c>
      <c r="G12" s="81">
        <v>3</v>
      </c>
      <c r="H12" s="15">
        <v>0</v>
      </c>
      <c r="I12" s="21">
        <v>57999</v>
      </c>
      <c r="J12" s="21">
        <v>1</v>
      </c>
      <c r="K12" s="103">
        <f t="shared" si="0"/>
        <v>0</v>
      </c>
      <c r="L12" s="10">
        <f t="shared" si="1"/>
        <v>57999</v>
      </c>
      <c r="M12" s="10">
        <f t="shared" si="3"/>
        <v>1</v>
      </c>
      <c r="N12" s="10">
        <f t="shared" si="2"/>
        <v>0</v>
      </c>
    </row>
    <row r="13" spans="1:14">
      <c r="A13" s="17">
        <v>8</v>
      </c>
      <c r="B13" s="90" t="s">
        <v>467</v>
      </c>
      <c r="C13" s="13"/>
      <c r="D13" s="101" t="s">
        <v>468</v>
      </c>
      <c r="E13" s="87">
        <v>241752</v>
      </c>
      <c r="F13" s="100">
        <v>11500</v>
      </c>
      <c r="G13" s="56">
        <v>3</v>
      </c>
      <c r="H13" s="21">
        <v>0</v>
      </c>
      <c r="I13" s="21">
        <v>11499</v>
      </c>
      <c r="J13" s="21">
        <v>1</v>
      </c>
      <c r="K13" s="103">
        <f t="shared" si="0"/>
        <v>0</v>
      </c>
      <c r="L13" s="10">
        <f t="shared" si="1"/>
        <v>11499</v>
      </c>
      <c r="M13" s="10">
        <f>G13-L13</f>
        <v>-11496</v>
      </c>
      <c r="N13" s="10">
        <f t="shared" si="2"/>
        <v>0</v>
      </c>
    </row>
    <row r="14" spans="1:14">
      <c r="A14" s="17">
        <v>9</v>
      </c>
      <c r="B14" s="90" t="s">
        <v>467</v>
      </c>
      <c r="C14" s="13"/>
      <c r="D14" s="101" t="s">
        <v>466</v>
      </c>
      <c r="E14" s="87">
        <v>241752</v>
      </c>
      <c r="F14" s="100">
        <v>11500</v>
      </c>
      <c r="G14" s="56">
        <v>3</v>
      </c>
      <c r="H14" s="21">
        <v>0</v>
      </c>
      <c r="I14" s="21">
        <v>11499</v>
      </c>
      <c r="J14" s="21">
        <v>1</v>
      </c>
      <c r="K14" s="103">
        <f t="shared" si="0"/>
        <v>0</v>
      </c>
      <c r="L14" s="10">
        <f t="shared" si="1"/>
        <v>11499</v>
      </c>
      <c r="M14" s="10">
        <f>G14-L14</f>
        <v>-11496</v>
      </c>
      <c r="N14" s="10">
        <f t="shared" si="2"/>
        <v>0</v>
      </c>
    </row>
    <row r="15" spans="1:14">
      <c r="A15" s="17">
        <v>10</v>
      </c>
      <c r="B15" s="90" t="s">
        <v>465</v>
      </c>
      <c r="C15" s="13"/>
      <c r="D15" s="101" t="s">
        <v>464</v>
      </c>
      <c r="E15" s="87">
        <v>241821</v>
      </c>
      <c r="F15" s="100">
        <v>62000</v>
      </c>
      <c r="G15" s="56">
        <v>3</v>
      </c>
      <c r="H15" s="21">
        <v>0</v>
      </c>
      <c r="I15" s="21">
        <v>61999</v>
      </c>
      <c r="J15" s="21">
        <v>1</v>
      </c>
      <c r="K15" s="103">
        <f t="shared" si="0"/>
        <v>0</v>
      </c>
      <c r="L15" s="10">
        <f t="shared" si="1"/>
        <v>61999</v>
      </c>
      <c r="M15" s="10">
        <f>G15-L15</f>
        <v>-61996</v>
      </c>
      <c r="N15" s="10">
        <f t="shared" si="2"/>
        <v>0</v>
      </c>
    </row>
    <row r="16" spans="1:14">
      <c r="A16" s="17">
        <v>11</v>
      </c>
      <c r="B16" s="90" t="s">
        <v>462</v>
      </c>
      <c r="C16" s="13"/>
      <c r="D16" s="101" t="s">
        <v>463</v>
      </c>
      <c r="E16" s="87">
        <v>241822</v>
      </c>
      <c r="F16" s="100">
        <v>27750</v>
      </c>
      <c r="G16" s="56">
        <v>3</v>
      </c>
      <c r="H16" s="21">
        <v>0</v>
      </c>
      <c r="I16" s="21">
        <v>27749</v>
      </c>
      <c r="J16" s="21">
        <v>1</v>
      </c>
      <c r="K16" s="103" t="e">
        <f>#REF!</f>
        <v>#REF!</v>
      </c>
      <c r="L16" s="10" t="e">
        <f>I16-#REF!</f>
        <v>#REF!</v>
      </c>
      <c r="M16" s="10" t="e">
        <f>#REF!-L16</f>
        <v>#REF!</v>
      </c>
      <c r="N16" s="10" t="e">
        <f t="shared" si="2"/>
        <v>#REF!</v>
      </c>
    </row>
    <row r="17" spans="1:18">
      <c r="A17" s="17">
        <v>12</v>
      </c>
      <c r="B17" s="90" t="s">
        <v>462</v>
      </c>
      <c r="C17" s="13"/>
      <c r="D17" s="101" t="s">
        <v>461</v>
      </c>
      <c r="E17" s="87">
        <v>241822</v>
      </c>
      <c r="F17" s="100">
        <v>27750</v>
      </c>
      <c r="G17" s="56">
        <v>3</v>
      </c>
      <c r="H17" s="21">
        <v>0</v>
      </c>
      <c r="I17" s="21">
        <v>27749</v>
      </c>
      <c r="J17" s="21">
        <v>1</v>
      </c>
      <c r="K17" s="103" t="e">
        <f>#REF!</f>
        <v>#REF!</v>
      </c>
      <c r="L17" s="10" t="e">
        <f>I17-#REF!</f>
        <v>#REF!</v>
      </c>
      <c r="M17" s="10" t="e">
        <f>#REF!-L17</f>
        <v>#REF!</v>
      </c>
      <c r="N17" s="10" t="e">
        <f t="shared" si="2"/>
        <v>#REF!</v>
      </c>
    </row>
    <row r="18" spans="1:18">
      <c r="A18" s="17">
        <v>13</v>
      </c>
      <c r="B18" s="90" t="s">
        <v>460</v>
      </c>
      <c r="C18" s="13"/>
      <c r="D18" s="101" t="s">
        <v>459</v>
      </c>
      <c r="E18" s="87">
        <v>241822</v>
      </c>
      <c r="F18" s="100">
        <v>9500</v>
      </c>
      <c r="G18" s="56">
        <v>3</v>
      </c>
      <c r="H18" s="21">
        <v>0</v>
      </c>
      <c r="I18" s="21">
        <v>9499</v>
      </c>
      <c r="J18" s="21">
        <v>1</v>
      </c>
      <c r="K18" s="103">
        <f>H18</f>
        <v>0</v>
      </c>
      <c r="L18" s="10">
        <f>I18-H18</f>
        <v>9499</v>
      </c>
      <c r="M18" s="10">
        <f>G18-L18</f>
        <v>-9496</v>
      </c>
      <c r="N18" s="10">
        <f t="shared" si="2"/>
        <v>0</v>
      </c>
    </row>
    <row r="19" spans="1:18">
      <c r="A19" s="17">
        <v>14</v>
      </c>
      <c r="B19" s="90" t="s">
        <v>458</v>
      </c>
      <c r="C19" s="13"/>
      <c r="D19" s="102" t="s">
        <v>457</v>
      </c>
      <c r="E19" s="87">
        <v>241830</v>
      </c>
      <c r="F19" s="100">
        <v>68000</v>
      </c>
      <c r="G19" s="56">
        <v>3</v>
      </c>
      <c r="H19" s="21">
        <v>0</v>
      </c>
      <c r="I19" s="21">
        <v>67999</v>
      </c>
      <c r="J19" s="21">
        <v>1</v>
      </c>
      <c r="K19" s="103">
        <f>H19</f>
        <v>0</v>
      </c>
      <c r="L19" s="10">
        <f>I19-H19</f>
        <v>67999</v>
      </c>
      <c r="M19" s="10">
        <f>G19-L19</f>
        <v>-67996</v>
      </c>
      <c r="N19" s="10">
        <f t="shared" si="2"/>
        <v>0</v>
      </c>
      <c r="R19" s="26"/>
    </row>
    <row r="20" spans="1:18">
      <c r="A20" s="17">
        <v>15</v>
      </c>
      <c r="B20" s="90" t="s">
        <v>456</v>
      </c>
      <c r="C20" s="13"/>
      <c r="D20" s="101" t="s">
        <v>455</v>
      </c>
      <c r="E20" s="87">
        <v>241830</v>
      </c>
      <c r="F20" s="100">
        <v>65000</v>
      </c>
      <c r="G20" s="56">
        <v>3</v>
      </c>
      <c r="H20" s="21">
        <v>0</v>
      </c>
      <c r="I20" s="21">
        <v>64999</v>
      </c>
      <c r="J20" s="21">
        <v>1</v>
      </c>
    </row>
    <row r="21" spans="1:18">
      <c r="A21" s="17">
        <v>16</v>
      </c>
      <c r="B21" s="90" t="s">
        <v>454</v>
      </c>
      <c r="C21" s="13"/>
      <c r="D21" s="102" t="s">
        <v>453</v>
      </c>
      <c r="E21" s="87">
        <v>241927</v>
      </c>
      <c r="F21" s="100">
        <v>14700</v>
      </c>
      <c r="G21" s="56">
        <v>3</v>
      </c>
      <c r="H21" s="21">
        <v>0</v>
      </c>
      <c r="I21" s="21">
        <v>14699</v>
      </c>
      <c r="J21" s="21">
        <v>1</v>
      </c>
    </row>
    <row r="22" spans="1:18">
      <c r="A22" s="17">
        <v>17</v>
      </c>
      <c r="B22" s="90" t="s">
        <v>452</v>
      </c>
      <c r="C22" s="13"/>
      <c r="D22" s="101" t="s">
        <v>451</v>
      </c>
      <c r="E22" s="87">
        <v>241999</v>
      </c>
      <c r="F22" s="100">
        <v>48000</v>
      </c>
      <c r="G22" s="56">
        <v>3</v>
      </c>
      <c r="H22" s="21">
        <v>0</v>
      </c>
      <c r="I22" s="21">
        <v>47999</v>
      </c>
      <c r="J22" s="21">
        <v>1</v>
      </c>
    </row>
    <row r="23" spans="1:18">
      <c r="A23" s="17">
        <v>18</v>
      </c>
      <c r="B23" s="90" t="s">
        <v>450</v>
      </c>
      <c r="C23" s="99"/>
      <c r="D23" s="13" t="s">
        <v>449</v>
      </c>
      <c r="E23" s="87">
        <v>43868</v>
      </c>
      <c r="F23" s="78">
        <v>60000</v>
      </c>
      <c r="G23" s="17">
        <v>3</v>
      </c>
      <c r="H23" s="21">
        <v>0</v>
      </c>
      <c r="I23" s="21">
        <v>59999</v>
      </c>
      <c r="J23" s="21">
        <v>1</v>
      </c>
    </row>
    <row r="24" spans="1:18">
      <c r="A24" s="17">
        <v>19</v>
      </c>
      <c r="B24" s="90" t="s">
        <v>448</v>
      </c>
      <c r="C24" s="99"/>
      <c r="D24" s="13" t="s">
        <v>447</v>
      </c>
      <c r="E24" s="87">
        <v>43868</v>
      </c>
      <c r="F24" s="78">
        <v>54500</v>
      </c>
      <c r="G24" s="17">
        <v>3</v>
      </c>
      <c r="H24" s="21">
        <v>0</v>
      </c>
      <c r="I24" s="21">
        <v>54499</v>
      </c>
      <c r="J24" s="21">
        <v>1</v>
      </c>
    </row>
    <row r="25" spans="1:18">
      <c r="A25" s="17">
        <v>20</v>
      </c>
      <c r="B25" s="90" t="s">
        <v>446</v>
      </c>
      <c r="C25" s="99"/>
      <c r="D25" s="13" t="s">
        <v>445</v>
      </c>
      <c r="E25" s="87">
        <v>43868</v>
      </c>
      <c r="F25" s="78">
        <v>36000</v>
      </c>
      <c r="G25" s="17">
        <v>3</v>
      </c>
      <c r="H25" s="21">
        <v>0</v>
      </c>
      <c r="I25" s="21">
        <v>35999</v>
      </c>
      <c r="J25" s="21">
        <v>1</v>
      </c>
    </row>
    <row r="26" spans="1:18">
      <c r="A26" s="17">
        <v>21</v>
      </c>
      <c r="B26" s="90" t="s">
        <v>444</v>
      </c>
      <c r="C26" s="99"/>
      <c r="D26" s="13" t="s">
        <v>443</v>
      </c>
      <c r="E26" s="87">
        <v>43868</v>
      </c>
      <c r="F26" s="78">
        <v>26000</v>
      </c>
      <c r="G26" s="17">
        <v>3</v>
      </c>
      <c r="H26" s="21">
        <v>0</v>
      </c>
      <c r="I26" s="21">
        <v>25998.999999999996</v>
      </c>
      <c r="J26" s="21">
        <v>1.000000000003638</v>
      </c>
    </row>
    <row r="27" spans="1:18">
      <c r="A27" s="17">
        <v>22</v>
      </c>
      <c r="B27" s="90" t="s">
        <v>442</v>
      </c>
      <c r="C27" s="99"/>
      <c r="D27" s="13" t="s">
        <v>441</v>
      </c>
      <c r="E27" s="87">
        <v>43868</v>
      </c>
      <c r="F27" s="78">
        <v>10000</v>
      </c>
      <c r="G27" s="17">
        <v>3</v>
      </c>
      <c r="H27" s="21">
        <v>0</v>
      </c>
      <c r="I27" s="21">
        <v>9999</v>
      </c>
      <c r="J27" s="21">
        <v>1</v>
      </c>
    </row>
    <row r="28" spans="1:18">
      <c r="A28" s="17">
        <v>23</v>
      </c>
      <c r="B28" s="90" t="s">
        <v>440</v>
      </c>
      <c r="C28" s="99"/>
      <c r="D28" s="13" t="s">
        <v>439</v>
      </c>
      <c r="E28" s="87">
        <v>43941</v>
      </c>
      <c r="F28" s="75">
        <v>42000</v>
      </c>
      <c r="G28" s="17">
        <v>3</v>
      </c>
      <c r="H28" s="21">
        <v>0</v>
      </c>
      <c r="I28" s="21">
        <v>41999</v>
      </c>
      <c r="J28" s="21">
        <v>1</v>
      </c>
    </row>
    <row r="29" spans="1:18">
      <c r="A29" s="17">
        <v>24</v>
      </c>
      <c r="B29" s="90" t="s">
        <v>438</v>
      </c>
      <c r="C29" s="99"/>
      <c r="D29" s="18" t="s">
        <v>437</v>
      </c>
      <c r="E29" s="87" t="s">
        <v>426</v>
      </c>
      <c r="F29" s="86">
        <v>75000</v>
      </c>
      <c r="G29" s="17">
        <v>3</v>
      </c>
      <c r="H29" s="21">
        <v>0</v>
      </c>
      <c r="I29" s="21">
        <v>74999</v>
      </c>
      <c r="J29" s="21">
        <v>1</v>
      </c>
    </row>
    <row r="30" spans="1:18">
      <c r="A30" s="17">
        <v>25</v>
      </c>
      <c r="B30" s="90" t="s">
        <v>431</v>
      </c>
      <c r="C30" s="99"/>
      <c r="D30" s="18" t="s">
        <v>436</v>
      </c>
      <c r="E30" s="87" t="s">
        <v>426</v>
      </c>
      <c r="F30" s="86">
        <v>11000</v>
      </c>
      <c r="G30" s="17">
        <v>3</v>
      </c>
      <c r="H30" s="21">
        <v>0</v>
      </c>
      <c r="I30" s="21">
        <v>10999</v>
      </c>
      <c r="J30" s="21">
        <v>1</v>
      </c>
    </row>
    <row r="31" spans="1:18">
      <c r="A31" s="17">
        <v>26</v>
      </c>
      <c r="B31" s="90" t="s">
        <v>431</v>
      </c>
      <c r="C31" s="99"/>
      <c r="D31" s="18" t="s">
        <v>435</v>
      </c>
      <c r="E31" s="87" t="s">
        <v>426</v>
      </c>
      <c r="F31" s="86">
        <v>11000</v>
      </c>
      <c r="G31" s="17">
        <v>3</v>
      </c>
      <c r="H31" s="21">
        <v>0</v>
      </c>
      <c r="I31" s="21">
        <v>10999</v>
      </c>
      <c r="J31" s="21">
        <v>1</v>
      </c>
    </row>
    <row r="32" spans="1:18">
      <c r="A32" s="17">
        <v>27</v>
      </c>
      <c r="B32" s="90" t="s">
        <v>431</v>
      </c>
      <c r="C32" s="99"/>
      <c r="D32" s="18" t="s">
        <v>434</v>
      </c>
      <c r="E32" s="87" t="s">
        <v>426</v>
      </c>
      <c r="F32" s="86">
        <v>11000</v>
      </c>
      <c r="G32" s="17">
        <v>3</v>
      </c>
      <c r="H32" s="21">
        <v>0</v>
      </c>
      <c r="I32" s="21">
        <v>10999</v>
      </c>
      <c r="J32" s="21">
        <v>1</v>
      </c>
    </row>
    <row r="33" spans="1:10">
      <c r="A33" s="17">
        <v>28</v>
      </c>
      <c r="B33" s="90" t="s">
        <v>431</v>
      </c>
      <c r="C33" s="98"/>
      <c r="D33" s="18" t="s">
        <v>433</v>
      </c>
      <c r="E33" s="87" t="s">
        <v>426</v>
      </c>
      <c r="F33" s="86">
        <v>11000</v>
      </c>
      <c r="G33" s="17">
        <v>3</v>
      </c>
      <c r="H33" s="21">
        <v>0</v>
      </c>
      <c r="I33" s="21">
        <v>10999</v>
      </c>
      <c r="J33" s="21">
        <v>1</v>
      </c>
    </row>
    <row r="34" spans="1:10">
      <c r="A34" s="17">
        <v>29</v>
      </c>
      <c r="B34" s="90" t="s">
        <v>431</v>
      </c>
      <c r="C34" s="92"/>
      <c r="D34" s="18" t="s">
        <v>432</v>
      </c>
      <c r="E34" s="87" t="s">
        <v>426</v>
      </c>
      <c r="F34" s="86">
        <v>11000</v>
      </c>
      <c r="G34" s="17">
        <v>3</v>
      </c>
      <c r="H34" s="21">
        <v>0</v>
      </c>
      <c r="I34" s="21">
        <v>10999</v>
      </c>
      <c r="J34" s="21">
        <v>1</v>
      </c>
    </row>
    <row r="35" spans="1:10">
      <c r="A35" s="17">
        <v>30</v>
      </c>
      <c r="B35" s="90" t="s">
        <v>431</v>
      </c>
      <c r="C35" s="92"/>
      <c r="D35" s="18" t="s">
        <v>430</v>
      </c>
      <c r="E35" s="87" t="s">
        <v>426</v>
      </c>
      <c r="F35" s="86">
        <v>11000</v>
      </c>
      <c r="G35" s="17">
        <v>3</v>
      </c>
      <c r="H35" s="21">
        <v>0</v>
      </c>
      <c r="I35" s="21">
        <v>10999</v>
      </c>
      <c r="J35" s="21">
        <v>1</v>
      </c>
    </row>
    <row r="36" spans="1:10">
      <c r="A36" s="17">
        <v>31</v>
      </c>
      <c r="B36" s="90" t="s">
        <v>428</v>
      </c>
      <c r="C36" s="92"/>
      <c r="D36" s="18" t="s">
        <v>429</v>
      </c>
      <c r="E36" s="87" t="s">
        <v>426</v>
      </c>
      <c r="F36" s="86">
        <v>10000</v>
      </c>
      <c r="G36" s="17">
        <v>3</v>
      </c>
      <c r="H36" s="21">
        <v>0</v>
      </c>
      <c r="I36" s="21">
        <v>9999</v>
      </c>
      <c r="J36" s="21">
        <v>1</v>
      </c>
    </row>
    <row r="37" spans="1:10">
      <c r="A37" s="17">
        <v>32</v>
      </c>
      <c r="B37" s="90" t="s">
        <v>428</v>
      </c>
      <c r="C37" s="92"/>
      <c r="D37" s="18" t="s">
        <v>427</v>
      </c>
      <c r="E37" s="87" t="s">
        <v>426</v>
      </c>
      <c r="F37" s="86">
        <v>10000</v>
      </c>
      <c r="G37" s="17">
        <v>3</v>
      </c>
      <c r="H37" s="21">
        <v>0</v>
      </c>
      <c r="I37" s="21">
        <v>9999</v>
      </c>
      <c r="J37" s="21">
        <v>1</v>
      </c>
    </row>
    <row r="38" spans="1:10">
      <c r="A38" s="17">
        <v>33</v>
      </c>
      <c r="B38" s="90" t="s">
        <v>425</v>
      </c>
      <c r="C38" s="97"/>
      <c r="D38" s="94" t="s">
        <v>424</v>
      </c>
      <c r="E38" s="87">
        <v>44259</v>
      </c>
      <c r="F38" s="86">
        <v>30000</v>
      </c>
      <c r="G38" s="93">
        <v>3</v>
      </c>
      <c r="H38" s="21">
        <v>0</v>
      </c>
      <c r="I38" s="21">
        <v>29999</v>
      </c>
      <c r="J38" s="21">
        <v>1</v>
      </c>
    </row>
    <row r="39" spans="1:10">
      <c r="A39" s="17">
        <v>34</v>
      </c>
      <c r="B39" s="90" t="s">
        <v>423</v>
      </c>
      <c r="C39" s="97"/>
      <c r="D39" s="94" t="s">
        <v>422</v>
      </c>
      <c r="E39" s="87">
        <v>44259</v>
      </c>
      <c r="F39" s="86">
        <v>30000</v>
      </c>
      <c r="G39" s="93">
        <v>3</v>
      </c>
      <c r="H39" s="21">
        <v>0</v>
      </c>
      <c r="I39" s="21">
        <v>29999</v>
      </c>
      <c r="J39" s="21">
        <v>1</v>
      </c>
    </row>
    <row r="40" spans="1:10">
      <c r="A40" s="17">
        <v>35</v>
      </c>
      <c r="B40" s="90" t="s">
        <v>421</v>
      </c>
      <c r="C40" s="97"/>
      <c r="D40" s="94" t="s">
        <v>420</v>
      </c>
      <c r="E40" s="87">
        <v>44267</v>
      </c>
      <c r="F40" s="86">
        <v>44000</v>
      </c>
      <c r="G40" s="93">
        <v>3</v>
      </c>
      <c r="H40" s="21">
        <v>0</v>
      </c>
      <c r="I40" s="21">
        <v>43999</v>
      </c>
      <c r="J40" s="21">
        <v>1</v>
      </c>
    </row>
    <row r="41" spans="1:10">
      <c r="A41" s="17">
        <v>36</v>
      </c>
      <c r="B41" s="90" t="s">
        <v>419</v>
      </c>
      <c r="C41" s="97"/>
      <c r="D41" s="94" t="s">
        <v>418</v>
      </c>
      <c r="E41" s="87">
        <v>44302</v>
      </c>
      <c r="F41" s="86">
        <v>45000</v>
      </c>
      <c r="G41" s="93">
        <v>3</v>
      </c>
      <c r="H41" s="21">
        <v>0</v>
      </c>
      <c r="I41" s="21">
        <v>44999</v>
      </c>
      <c r="J41" s="21">
        <v>1</v>
      </c>
    </row>
    <row r="42" spans="1:10">
      <c r="A42" s="17">
        <v>37</v>
      </c>
      <c r="B42" s="90" t="s">
        <v>417</v>
      </c>
      <c r="C42" s="97"/>
      <c r="D42" s="94" t="s">
        <v>416</v>
      </c>
      <c r="E42" s="87">
        <v>44302</v>
      </c>
      <c r="F42" s="86">
        <v>60000</v>
      </c>
      <c r="G42" s="93">
        <v>3</v>
      </c>
      <c r="H42" s="21">
        <v>0</v>
      </c>
      <c r="I42" s="21">
        <v>59999</v>
      </c>
      <c r="J42" s="21">
        <v>1</v>
      </c>
    </row>
    <row r="43" spans="1:10">
      <c r="A43" s="17">
        <v>38</v>
      </c>
      <c r="B43" s="90" t="s">
        <v>415</v>
      </c>
      <c r="C43" s="96"/>
      <c r="D43" s="94" t="s">
        <v>414</v>
      </c>
      <c r="E43" s="87">
        <v>44319</v>
      </c>
      <c r="F43" s="86">
        <v>99500</v>
      </c>
      <c r="G43" s="93">
        <v>3</v>
      </c>
      <c r="H43" s="21">
        <v>0</v>
      </c>
      <c r="I43" s="21">
        <v>99499</v>
      </c>
      <c r="J43" s="21">
        <v>1</v>
      </c>
    </row>
    <row r="44" spans="1:10">
      <c r="A44" s="17">
        <v>39</v>
      </c>
      <c r="B44" s="90" t="s">
        <v>413</v>
      </c>
      <c r="C44" s="95"/>
      <c r="D44" s="94" t="s">
        <v>412</v>
      </c>
      <c r="E44" s="87">
        <v>44449</v>
      </c>
      <c r="F44" s="86">
        <v>40000</v>
      </c>
      <c r="G44" s="93">
        <v>3</v>
      </c>
      <c r="H44" s="21">
        <v>0</v>
      </c>
      <c r="I44" s="21">
        <v>39999</v>
      </c>
      <c r="J44" s="21">
        <v>1</v>
      </c>
    </row>
    <row r="45" spans="1:10">
      <c r="A45" s="17">
        <v>40</v>
      </c>
      <c r="B45" s="90" t="s">
        <v>411</v>
      </c>
      <c r="C45" s="92"/>
      <c r="D45" s="88" t="s">
        <v>410</v>
      </c>
      <c r="E45" s="87">
        <v>44480</v>
      </c>
      <c r="F45" s="86">
        <v>80000</v>
      </c>
      <c r="G45" s="56">
        <v>3</v>
      </c>
      <c r="H45" s="21">
        <v>0</v>
      </c>
      <c r="I45" s="21">
        <v>79999</v>
      </c>
      <c r="J45" s="21">
        <v>1</v>
      </c>
    </row>
    <row r="46" spans="1:10">
      <c r="A46" s="17">
        <v>41</v>
      </c>
      <c r="B46" s="90" t="s">
        <v>409</v>
      </c>
      <c r="C46" s="92"/>
      <c r="D46" s="88" t="s">
        <v>408</v>
      </c>
      <c r="E46" s="87">
        <v>44593</v>
      </c>
      <c r="F46" s="86">
        <v>29000</v>
      </c>
      <c r="G46" s="56">
        <v>3</v>
      </c>
      <c r="H46" s="21">
        <v>0</v>
      </c>
      <c r="I46" s="21">
        <v>28999</v>
      </c>
      <c r="J46" s="21">
        <v>1</v>
      </c>
    </row>
    <row r="47" spans="1:10">
      <c r="A47" s="17">
        <v>42</v>
      </c>
      <c r="B47" s="90" t="s">
        <v>407</v>
      </c>
      <c r="C47" s="92"/>
      <c r="D47" s="88" t="s">
        <v>406</v>
      </c>
      <c r="E47" s="87">
        <v>44593</v>
      </c>
      <c r="F47" s="86">
        <v>22500</v>
      </c>
      <c r="G47" s="56">
        <v>3</v>
      </c>
      <c r="H47" s="21">
        <v>0</v>
      </c>
      <c r="I47" s="21">
        <v>22499</v>
      </c>
      <c r="J47" s="21">
        <v>1</v>
      </c>
    </row>
    <row r="48" spans="1:10">
      <c r="A48" s="17">
        <v>43</v>
      </c>
      <c r="B48" s="90" t="s">
        <v>405</v>
      </c>
      <c r="C48" s="92"/>
      <c r="D48" s="88" t="s">
        <v>404</v>
      </c>
      <c r="E48" s="87">
        <v>44593</v>
      </c>
      <c r="F48" s="86">
        <v>18000</v>
      </c>
      <c r="G48" s="56">
        <v>3</v>
      </c>
      <c r="H48" s="21">
        <v>0</v>
      </c>
      <c r="I48" s="21">
        <v>17999</v>
      </c>
      <c r="J48" s="21">
        <v>1</v>
      </c>
    </row>
    <row r="49" spans="1:10">
      <c r="A49" s="17">
        <v>44</v>
      </c>
      <c r="B49" s="90" t="s">
        <v>403</v>
      </c>
      <c r="C49" s="92"/>
      <c r="D49" s="88" t="s">
        <v>402</v>
      </c>
      <c r="E49" s="87">
        <v>44593</v>
      </c>
      <c r="F49" s="86">
        <v>18000</v>
      </c>
      <c r="G49" s="56">
        <v>3</v>
      </c>
      <c r="H49" s="21">
        <v>0</v>
      </c>
      <c r="I49" s="21">
        <v>17999</v>
      </c>
      <c r="J49" s="21">
        <v>1</v>
      </c>
    </row>
    <row r="50" spans="1:10">
      <c r="A50" s="17">
        <v>45</v>
      </c>
      <c r="B50" s="90" t="s">
        <v>401</v>
      </c>
      <c r="C50" s="92"/>
      <c r="D50" s="88" t="s">
        <v>400</v>
      </c>
      <c r="E50" s="87">
        <v>44593</v>
      </c>
      <c r="F50" s="86">
        <v>12000</v>
      </c>
      <c r="G50" s="56">
        <v>3</v>
      </c>
      <c r="H50" s="21">
        <v>0</v>
      </c>
      <c r="I50" s="21">
        <v>11999</v>
      </c>
      <c r="J50" s="21">
        <v>1</v>
      </c>
    </row>
    <row r="51" spans="1:10">
      <c r="A51" s="17">
        <v>46</v>
      </c>
      <c r="B51" s="90" t="s">
        <v>399</v>
      </c>
      <c r="C51" s="92"/>
      <c r="D51" s="88" t="s">
        <v>398</v>
      </c>
      <c r="E51" s="87">
        <v>44601</v>
      </c>
      <c r="F51" s="86">
        <v>56400</v>
      </c>
      <c r="G51" s="56">
        <v>3</v>
      </c>
      <c r="H51" s="21">
        <v>0</v>
      </c>
      <c r="I51" s="21">
        <v>56399</v>
      </c>
      <c r="J51" s="21">
        <v>1</v>
      </c>
    </row>
    <row r="52" spans="1:10">
      <c r="A52" s="17">
        <v>47</v>
      </c>
      <c r="B52" s="90" t="s">
        <v>397</v>
      </c>
      <c r="C52" s="92"/>
      <c r="D52" s="88" t="s">
        <v>396</v>
      </c>
      <c r="E52" s="87">
        <v>44601</v>
      </c>
      <c r="F52" s="86">
        <v>14200</v>
      </c>
      <c r="G52" s="56">
        <v>3</v>
      </c>
      <c r="H52" s="21">
        <v>0</v>
      </c>
      <c r="I52" s="21">
        <v>14199</v>
      </c>
      <c r="J52" s="21">
        <v>1</v>
      </c>
    </row>
    <row r="53" spans="1:10">
      <c r="A53" s="17">
        <v>48</v>
      </c>
      <c r="B53" s="90" t="s">
        <v>395</v>
      </c>
      <c r="C53" s="92"/>
      <c r="D53" s="88" t="s">
        <v>394</v>
      </c>
      <c r="E53" s="87">
        <v>44601</v>
      </c>
      <c r="F53" s="86">
        <v>12000</v>
      </c>
      <c r="G53" s="56">
        <v>3</v>
      </c>
      <c r="H53" s="21">
        <v>0</v>
      </c>
      <c r="I53" s="21">
        <v>11999</v>
      </c>
      <c r="J53" s="21">
        <v>1</v>
      </c>
    </row>
    <row r="54" spans="1:10">
      <c r="A54" s="17">
        <v>49</v>
      </c>
      <c r="B54" s="90" t="s">
        <v>393</v>
      </c>
      <c r="C54" s="92"/>
      <c r="D54" s="88" t="s">
        <v>392</v>
      </c>
      <c r="E54" s="87">
        <v>44603</v>
      </c>
      <c r="F54" s="86">
        <v>99500</v>
      </c>
      <c r="G54" s="56">
        <v>3</v>
      </c>
      <c r="H54" s="21">
        <v>0</v>
      </c>
      <c r="I54" s="21">
        <v>99499</v>
      </c>
      <c r="J54" s="21">
        <v>1</v>
      </c>
    </row>
    <row r="55" spans="1:10">
      <c r="A55" s="17">
        <v>50</v>
      </c>
      <c r="B55" s="90" t="s">
        <v>391</v>
      </c>
      <c r="C55" s="92"/>
      <c r="D55" s="88" t="s">
        <v>390</v>
      </c>
      <c r="E55" s="87">
        <v>44624</v>
      </c>
      <c r="F55" s="86">
        <v>47000</v>
      </c>
      <c r="G55" s="56">
        <v>3</v>
      </c>
      <c r="H55" s="21">
        <v>0</v>
      </c>
      <c r="I55" s="21">
        <v>46999</v>
      </c>
      <c r="J55" s="21">
        <v>1</v>
      </c>
    </row>
    <row r="56" spans="1:10">
      <c r="A56" s="17">
        <v>51</v>
      </c>
      <c r="B56" s="90" t="s">
        <v>389</v>
      </c>
      <c r="C56" s="92"/>
      <c r="D56" s="88" t="s">
        <v>388</v>
      </c>
      <c r="E56" s="87">
        <v>44652</v>
      </c>
      <c r="F56" s="86">
        <v>50000</v>
      </c>
      <c r="G56" s="56">
        <v>3</v>
      </c>
      <c r="H56" s="21">
        <v>0</v>
      </c>
      <c r="I56" s="21">
        <v>49999</v>
      </c>
      <c r="J56" s="21">
        <v>1</v>
      </c>
    </row>
    <row r="57" spans="1:10">
      <c r="A57" s="17">
        <v>52</v>
      </c>
      <c r="B57" s="90" t="s">
        <v>387</v>
      </c>
      <c r="C57" s="92"/>
      <c r="D57" s="88" t="s">
        <v>386</v>
      </c>
      <c r="E57" s="87">
        <v>44655</v>
      </c>
      <c r="F57" s="86">
        <v>19000</v>
      </c>
      <c r="G57" s="56">
        <v>3</v>
      </c>
      <c r="H57" s="21">
        <v>0</v>
      </c>
      <c r="I57" s="21">
        <v>18999</v>
      </c>
      <c r="J57" s="21">
        <v>1</v>
      </c>
    </row>
    <row r="58" spans="1:10">
      <c r="A58" s="17">
        <v>53</v>
      </c>
      <c r="B58" s="90" t="s">
        <v>385</v>
      </c>
      <c r="C58" s="91"/>
      <c r="D58" s="88" t="s">
        <v>384</v>
      </c>
      <c r="E58" s="87">
        <v>44951</v>
      </c>
      <c r="F58" s="86">
        <v>13150</v>
      </c>
      <c r="G58" s="56">
        <v>3</v>
      </c>
      <c r="H58" s="21">
        <v>1460.0966666666682</v>
      </c>
      <c r="I58" s="21">
        <v>13149</v>
      </c>
      <c r="J58" s="21">
        <v>1</v>
      </c>
    </row>
    <row r="59" spans="1:10">
      <c r="A59" s="17">
        <v>54</v>
      </c>
      <c r="B59" s="90" t="s">
        <v>383</v>
      </c>
      <c r="C59" s="89"/>
      <c r="D59" s="88" t="s">
        <v>382</v>
      </c>
      <c r="E59" s="87">
        <v>46279</v>
      </c>
      <c r="F59" s="86">
        <v>10300</v>
      </c>
      <c r="G59" s="56">
        <v>3</v>
      </c>
      <c r="H59" s="21">
        <v>286.11</v>
      </c>
      <c r="I59" s="21">
        <v>286.11</v>
      </c>
      <c r="J59" s="21">
        <v>10013.89</v>
      </c>
    </row>
    <row r="60" spans="1:10">
      <c r="A60" s="33"/>
      <c r="B60" s="33"/>
      <c r="C60" s="85"/>
      <c r="D60" s="32"/>
      <c r="E60" s="32"/>
      <c r="F60" s="21">
        <f>SUM(F6:F59)</f>
        <v>2202250</v>
      </c>
      <c r="G60" s="21">
        <f>SUM(G6:G59)</f>
        <v>162</v>
      </c>
      <c r="H60" s="21">
        <f>SUM(H6:H59)</f>
        <v>1746.2066666666683</v>
      </c>
      <c r="I60" s="21">
        <f>SUM(I6:I59)</f>
        <v>2192183.11</v>
      </c>
      <c r="J60" s="21">
        <f>SUM(J6:J59)</f>
        <v>10066.890000000003</v>
      </c>
    </row>
    <row r="63" spans="1:10">
      <c r="F63" s="30" t="s">
        <v>4</v>
      </c>
      <c r="G63" s="31" t="s">
        <v>3</v>
      </c>
      <c r="H63" s="30" t="s">
        <v>2</v>
      </c>
      <c r="I63" s="30" t="s">
        <v>1</v>
      </c>
    </row>
    <row r="64" spans="1:10" ht="25.5">
      <c r="C64" s="152" t="s">
        <v>0</v>
      </c>
      <c r="D64" s="152"/>
      <c r="E64" s="29"/>
      <c r="F64" s="28">
        <f>F60</f>
        <v>2202250</v>
      </c>
      <c r="G64" s="6">
        <f>H60</f>
        <v>1746.2066666666683</v>
      </c>
      <c r="H64" s="5">
        <f>I60</f>
        <v>2192183.11</v>
      </c>
      <c r="I64" s="5">
        <f>J60</f>
        <v>10066.890000000003</v>
      </c>
    </row>
  </sheetData>
  <autoFilter ref="A5:G5">
    <filterColumn colId="4"/>
  </autoFilter>
  <mergeCells count="2">
    <mergeCell ref="A2:G2"/>
    <mergeCell ref="C64:D64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1:J276"/>
  <sheetViews>
    <sheetView workbookViewId="0">
      <pane xSplit="5" ySplit="4" topLeftCell="F5" activePane="bottomRight" state="frozen"/>
      <selection pane="topRight" activeCell="H1" sqref="H1"/>
      <selection pane="bottomLeft" activeCell="A5" sqref="A5"/>
      <selection pane="bottomRight" activeCell="A28" sqref="A28"/>
    </sheetView>
  </sheetViews>
  <sheetFormatPr defaultRowHeight="12.75"/>
  <cols>
    <col min="1" max="1" width="56.25" style="105" customWidth="1"/>
    <col min="2" max="2" width="14.125" style="107" customWidth="1"/>
    <col min="3" max="3" width="10" style="107" customWidth="1"/>
    <col min="4" max="4" width="13.875" style="107" customWidth="1"/>
    <col min="5" max="5" width="11" style="105" customWidth="1"/>
    <col min="6" max="6" width="13.125" style="106" customWidth="1"/>
    <col min="7" max="7" width="15.375" style="106" customWidth="1"/>
    <col min="8" max="8" width="13.625" style="106" customWidth="1"/>
    <col min="9" max="10" width="7.625" style="105" customWidth="1"/>
    <col min="11" max="16384" width="9" style="105"/>
  </cols>
  <sheetData>
    <row r="1" spans="1:8" ht="21">
      <c r="A1" s="155" t="s">
        <v>61</v>
      </c>
      <c r="B1" s="155"/>
      <c r="C1" s="155"/>
      <c r="D1" s="155"/>
      <c r="E1" s="155"/>
    </row>
    <row r="2" spans="1:8" ht="21">
      <c r="A2" s="117" t="s">
        <v>499</v>
      </c>
      <c r="B2" s="117"/>
      <c r="C2" s="117"/>
      <c r="D2" s="148"/>
      <c r="E2" s="147"/>
    </row>
    <row r="3" spans="1:8" ht="23.25">
      <c r="A3" s="156" t="s">
        <v>58</v>
      </c>
      <c r="B3" s="156"/>
      <c r="C3" s="156"/>
      <c r="D3" s="156" t="s">
        <v>4</v>
      </c>
      <c r="E3" s="156" t="s">
        <v>56</v>
      </c>
      <c r="F3" s="153" t="s">
        <v>498</v>
      </c>
      <c r="G3" s="153"/>
      <c r="H3" s="153" t="s">
        <v>1</v>
      </c>
    </row>
    <row r="4" spans="1:8" ht="23.25">
      <c r="A4" s="156"/>
      <c r="B4" s="156"/>
      <c r="C4" s="156"/>
      <c r="D4" s="156"/>
      <c r="E4" s="156"/>
      <c r="F4" s="146" t="s">
        <v>3</v>
      </c>
      <c r="G4" s="146" t="s">
        <v>486</v>
      </c>
      <c r="H4" s="153"/>
    </row>
    <row r="5" spans="1:8" s="121" customFormat="1" ht="23.25">
      <c r="A5" s="145" t="s">
        <v>496</v>
      </c>
      <c r="B5" s="144" t="s">
        <v>497</v>
      </c>
      <c r="C5" s="143">
        <v>45034</v>
      </c>
      <c r="D5" s="66">
        <v>1925000</v>
      </c>
      <c r="E5" s="142">
        <v>5</v>
      </c>
      <c r="F5" s="136">
        <v>385000</v>
      </c>
      <c r="G5" s="136">
        <v>1315416.6499999999</v>
      </c>
      <c r="H5" s="136">
        <v>609583.35000000009</v>
      </c>
    </row>
    <row r="6" spans="1:8" s="121" customFormat="1" ht="23.25">
      <c r="A6" s="145" t="s">
        <v>496</v>
      </c>
      <c r="B6" s="144" t="s">
        <v>495</v>
      </c>
      <c r="C6" s="143">
        <v>45034</v>
      </c>
      <c r="D6" s="66">
        <v>1925000</v>
      </c>
      <c r="E6" s="142">
        <v>5</v>
      </c>
      <c r="F6" s="136">
        <v>385000</v>
      </c>
      <c r="G6" s="136">
        <v>1315416.6499999999</v>
      </c>
      <c r="H6" s="136">
        <v>609583.35000000009</v>
      </c>
    </row>
    <row r="7" spans="1:8" s="113" customFormat="1" ht="23.25">
      <c r="A7" s="141" t="s">
        <v>488</v>
      </c>
      <c r="B7" s="141" t="s">
        <v>494</v>
      </c>
      <c r="C7" s="140">
        <v>45323</v>
      </c>
      <c r="D7" s="67">
        <v>1887500</v>
      </c>
      <c r="E7" s="137">
        <v>5</v>
      </c>
      <c r="F7" s="136">
        <v>377500</v>
      </c>
      <c r="G7" s="136">
        <v>1006666.64</v>
      </c>
      <c r="H7" s="136">
        <v>880833.36</v>
      </c>
    </row>
    <row r="8" spans="1:8" s="113" customFormat="1" ht="23.25">
      <c r="A8" s="141" t="s">
        <v>488</v>
      </c>
      <c r="B8" s="141" t="s">
        <v>493</v>
      </c>
      <c r="C8" s="140">
        <v>45323</v>
      </c>
      <c r="D8" s="67">
        <v>1887500</v>
      </c>
      <c r="E8" s="137">
        <v>5</v>
      </c>
      <c r="F8" s="136">
        <v>377500</v>
      </c>
      <c r="G8" s="136">
        <v>1006666.64</v>
      </c>
      <c r="H8" s="136">
        <v>880833.36</v>
      </c>
    </row>
    <row r="9" spans="1:8" s="113" customFormat="1" ht="23.25">
      <c r="A9" s="139" t="s">
        <v>490</v>
      </c>
      <c r="B9" s="94" t="s">
        <v>492</v>
      </c>
      <c r="C9" s="138">
        <v>45546</v>
      </c>
      <c r="D9" s="57">
        <v>3100000</v>
      </c>
      <c r="E9" s="93">
        <v>5</v>
      </c>
      <c r="F9" s="136">
        <v>620000</v>
      </c>
      <c r="G9" s="136">
        <v>1291666.67</v>
      </c>
      <c r="H9" s="136">
        <v>1808333.33</v>
      </c>
    </row>
    <row r="10" spans="1:8" s="113" customFormat="1" ht="23.25">
      <c r="A10" s="139" t="s">
        <v>490</v>
      </c>
      <c r="B10" s="94" t="s">
        <v>491</v>
      </c>
      <c r="C10" s="138">
        <v>45546</v>
      </c>
      <c r="D10" s="57">
        <v>3100000</v>
      </c>
      <c r="E10" s="93">
        <v>5</v>
      </c>
      <c r="F10" s="136">
        <v>620000</v>
      </c>
      <c r="G10" s="136">
        <v>1291666.67</v>
      </c>
      <c r="H10" s="136">
        <v>1808333.33</v>
      </c>
    </row>
    <row r="11" spans="1:8" s="113" customFormat="1" ht="23.25">
      <c r="A11" s="139" t="s">
        <v>490</v>
      </c>
      <c r="B11" s="94" t="s">
        <v>489</v>
      </c>
      <c r="C11" s="138">
        <v>45546</v>
      </c>
      <c r="D11" s="57">
        <v>3100000</v>
      </c>
      <c r="E11" s="93">
        <v>5</v>
      </c>
      <c r="F11" s="136">
        <v>620000</v>
      </c>
      <c r="G11" s="136">
        <v>1291666.67</v>
      </c>
      <c r="H11" s="136">
        <v>1808333.33</v>
      </c>
    </row>
    <row r="12" spans="1:8" s="113" customFormat="1" ht="23.25">
      <c r="A12" s="135" t="s">
        <v>488</v>
      </c>
      <c r="B12" s="134" t="s">
        <v>487</v>
      </c>
      <c r="C12" s="133">
        <v>45778</v>
      </c>
      <c r="D12" s="132">
        <v>1150000</v>
      </c>
      <c r="E12" s="137">
        <v>5</v>
      </c>
      <c r="F12" s="136">
        <v>230000</v>
      </c>
      <c r="G12" s="136">
        <v>325833.34999999998</v>
      </c>
      <c r="H12" s="136">
        <v>824166.65</v>
      </c>
    </row>
    <row r="13" spans="1:8" s="113" customFormat="1" ht="23.25">
      <c r="A13" s="135"/>
      <c r="B13" s="134"/>
      <c r="C13" s="133"/>
      <c r="D13" s="132">
        <f>SUM(D5:D12)</f>
        <v>18075000</v>
      </c>
      <c r="E13" s="132">
        <f>SUM(E5:E12)</f>
        <v>40</v>
      </c>
      <c r="F13" s="132">
        <f>SUM(F5:F12)</f>
        <v>3615000</v>
      </c>
      <c r="G13" s="132">
        <f>SUM(G5:G12)</f>
        <v>8844999.9399999995</v>
      </c>
      <c r="H13" s="132">
        <f>SUM(H5:H12)</f>
        <v>9230000.0600000005</v>
      </c>
    </row>
    <row r="14" spans="1:8" s="113" customFormat="1" ht="21">
      <c r="A14" s="120"/>
      <c r="B14" s="117"/>
      <c r="C14" s="126"/>
      <c r="D14" s="125"/>
      <c r="E14" s="121"/>
      <c r="F14" s="106"/>
      <c r="G14" s="106"/>
      <c r="H14" s="106"/>
    </row>
    <row r="15" spans="1:8" s="113" customFormat="1" ht="21">
      <c r="A15" s="118"/>
      <c r="B15" s="117"/>
      <c r="C15" s="126"/>
      <c r="D15" s="125"/>
      <c r="E15" s="128"/>
      <c r="F15" s="106"/>
      <c r="G15" s="106"/>
      <c r="H15" s="106"/>
    </row>
    <row r="16" spans="1:8" s="113" customFormat="1" ht="21">
      <c r="A16" s="120"/>
      <c r="B16" s="117"/>
      <c r="C16" s="126"/>
      <c r="D16" s="131" t="s">
        <v>4</v>
      </c>
      <c r="E16" s="131" t="s">
        <v>3</v>
      </c>
      <c r="F16" s="131" t="s">
        <v>486</v>
      </c>
      <c r="G16" s="130" t="s">
        <v>485</v>
      </c>
      <c r="H16" s="106"/>
    </row>
    <row r="17" spans="1:8" s="113" customFormat="1" ht="21">
      <c r="A17" s="118"/>
      <c r="B17" s="154" t="s">
        <v>0</v>
      </c>
      <c r="C17" s="154"/>
      <c r="D17" s="129">
        <f>D13</f>
        <v>18075000</v>
      </c>
      <c r="E17" s="129">
        <f>F13</f>
        <v>3615000</v>
      </c>
      <c r="F17" s="129">
        <f>G13</f>
        <v>8844999.9399999995</v>
      </c>
      <c r="G17" s="129">
        <f>H13</f>
        <v>9230000.0600000005</v>
      </c>
      <c r="H17" s="106"/>
    </row>
    <row r="18" spans="1:8" s="113" customFormat="1" ht="21">
      <c r="A18" s="120"/>
      <c r="B18" s="117"/>
      <c r="C18" s="126"/>
      <c r="D18" s="125"/>
      <c r="E18" s="121"/>
      <c r="F18" s="106"/>
      <c r="G18" s="106"/>
      <c r="H18" s="106"/>
    </row>
    <row r="19" spans="1:8" s="113" customFormat="1" ht="21">
      <c r="A19" s="118"/>
      <c r="B19" s="117"/>
      <c r="C19" s="126"/>
      <c r="D19" s="125"/>
      <c r="E19" s="128"/>
      <c r="F19" s="106"/>
      <c r="G19" s="106"/>
      <c r="H19" s="106"/>
    </row>
    <row r="20" spans="1:8" s="113" customFormat="1" ht="21">
      <c r="A20" s="120"/>
      <c r="B20" s="117"/>
      <c r="C20" s="126"/>
      <c r="D20" s="125"/>
      <c r="E20" s="121"/>
      <c r="F20" s="106"/>
      <c r="G20" s="106"/>
      <c r="H20" s="106"/>
    </row>
    <row r="21" spans="1:8" s="113" customFormat="1" ht="21">
      <c r="A21" s="118"/>
      <c r="B21" s="117"/>
      <c r="C21" s="126"/>
      <c r="D21" s="125"/>
      <c r="E21" s="128"/>
      <c r="F21" s="106"/>
      <c r="G21" s="106"/>
      <c r="H21" s="106"/>
    </row>
    <row r="22" spans="1:8" s="113" customFormat="1" ht="21">
      <c r="A22" s="120"/>
      <c r="B22" s="117"/>
      <c r="C22" s="126"/>
      <c r="D22" s="125"/>
      <c r="E22" s="121"/>
      <c r="F22" s="106"/>
      <c r="G22" s="106"/>
      <c r="H22" s="106"/>
    </row>
    <row r="23" spans="1:8" s="113" customFormat="1" ht="21">
      <c r="A23" s="118"/>
      <c r="B23" s="117"/>
      <c r="C23" s="126"/>
      <c r="D23" s="125"/>
      <c r="E23" s="128"/>
      <c r="F23" s="106"/>
      <c r="G23" s="106"/>
      <c r="H23" s="106"/>
    </row>
    <row r="24" spans="1:8" s="113" customFormat="1" ht="21">
      <c r="A24" s="120"/>
      <c r="B24" s="117"/>
      <c r="C24" s="126"/>
      <c r="D24" s="125"/>
      <c r="E24" s="127"/>
      <c r="F24" s="106"/>
      <c r="G24" s="106"/>
      <c r="H24" s="106"/>
    </row>
    <row r="25" spans="1:8" s="113" customFormat="1" ht="21">
      <c r="A25" s="118"/>
      <c r="B25" s="117"/>
      <c r="C25" s="126"/>
      <c r="D25" s="125"/>
      <c r="E25" s="124"/>
      <c r="F25" s="106"/>
      <c r="G25" s="106"/>
      <c r="H25" s="106"/>
    </row>
    <row r="26" spans="1:8" s="113" customFormat="1" ht="21">
      <c r="A26" s="120"/>
      <c r="B26" s="117"/>
      <c r="C26" s="116"/>
      <c r="D26" s="115"/>
      <c r="E26" s="119"/>
      <c r="F26" s="106"/>
      <c r="G26" s="106"/>
      <c r="H26" s="106"/>
    </row>
    <row r="27" spans="1:8" s="113" customFormat="1" ht="21">
      <c r="A27" s="118"/>
      <c r="B27" s="117"/>
      <c r="C27" s="116"/>
      <c r="D27" s="115"/>
      <c r="E27" s="114"/>
      <c r="F27" s="106"/>
      <c r="G27" s="106"/>
      <c r="H27" s="106"/>
    </row>
    <row r="28" spans="1:8" s="113" customFormat="1" ht="21">
      <c r="A28" s="120"/>
      <c r="B28" s="117"/>
      <c r="C28" s="116"/>
      <c r="D28" s="115"/>
      <c r="E28" s="119"/>
      <c r="F28" s="106"/>
      <c r="G28" s="106"/>
      <c r="H28" s="106"/>
    </row>
    <row r="29" spans="1:8" s="113" customFormat="1" ht="21">
      <c r="A29" s="118"/>
      <c r="B29" s="117"/>
      <c r="C29" s="116"/>
      <c r="D29" s="115"/>
      <c r="E29" s="114"/>
      <c r="F29" s="106"/>
      <c r="G29" s="106"/>
      <c r="H29" s="106"/>
    </row>
    <row r="30" spans="1:8" s="113" customFormat="1" ht="21">
      <c r="A30" s="120"/>
      <c r="B30" s="117"/>
      <c r="C30" s="116"/>
      <c r="D30" s="115"/>
      <c r="E30" s="119"/>
      <c r="F30" s="106"/>
      <c r="G30" s="106"/>
      <c r="H30" s="106"/>
    </row>
    <row r="31" spans="1:8" s="113" customFormat="1" ht="21">
      <c r="A31" s="118"/>
      <c r="B31" s="117"/>
      <c r="C31" s="116"/>
      <c r="D31" s="115"/>
      <c r="E31" s="114"/>
      <c r="F31" s="106"/>
      <c r="G31" s="106"/>
      <c r="H31" s="106"/>
    </row>
    <row r="32" spans="1:8" s="113" customFormat="1" ht="21">
      <c r="A32" s="120"/>
      <c r="B32" s="117"/>
      <c r="C32" s="116"/>
      <c r="D32" s="115"/>
      <c r="E32" s="119"/>
      <c r="F32" s="106"/>
      <c r="G32" s="106"/>
      <c r="H32" s="106"/>
    </row>
    <row r="33" spans="1:8" s="113" customFormat="1" ht="21">
      <c r="A33" s="118"/>
      <c r="B33" s="117"/>
      <c r="C33" s="116"/>
      <c r="D33" s="115"/>
      <c r="E33" s="114"/>
      <c r="F33" s="106"/>
      <c r="G33" s="106"/>
      <c r="H33" s="106"/>
    </row>
    <row r="34" spans="1:8" s="113" customFormat="1" ht="21">
      <c r="A34" s="120"/>
      <c r="B34" s="117"/>
      <c r="C34" s="116"/>
      <c r="D34" s="115"/>
      <c r="E34" s="119"/>
      <c r="F34" s="106"/>
      <c r="G34" s="106"/>
      <c r="H34" s="106"/>
    </row>
    <row r="35" spans="1:8" s="113" customFormat="1" ht="21">
      <c r="A35" s="118"/>
      <c r="B35" s="117"/>
      <c r="C35" s="116"/>
      <c r="D35" s="115"/>
      <c r="E35" s="114"/>
      <c r="F35" s="106"/>
      <c r="G35" s="106"/>
      <c r="H35" s="106"/>
    </row>
    <row r="36" spans="1:8" s="113" customFormat="1" ht="21">
      <c r="A36" s="120"/>
      <c r="B36" s="117"/>
      <c r="C36" s="116"/>
      <c r="D36" s="115"/>
      <c r="E36" s="119"/>
      <c r="F36" s="106"/>
      <c r="G36" s="106"/>
      <c r="H36" s="106"/>
    </row>
    <row r="37" spans="1:8" s="113" customFormat="1" ht="21">
      <c r="A37" s="118"/>
      <c r="B37" s="117"/>
      <c r="C37" s="116"/>
      <c r="D37" s="115"/>
      <c r="E37" s="114"/>
      <c r="F37" s="106"/>
      <c r="G37" s="106"/>
      <c r="H37" s="106"/>
    </row>
    <row r="38" spans="1:8" s="113" customFormat="1" ht="21">
      <c r="A38" s="120"/>
      <c r="B38" s="117"/>
      <c r="C38" s="116"/>
      <c r="D38" s="115"/>
      <c r="E38" s="119"/>
      <c r="F38" s="106"/>
      <c r="G38" s="106"/>
      <c r="H38" s="106"/>
    </row>
    <row r="39" spans="1:8" s="113" customFormat="1" ht="21">
      <c r="A39" s="118"/>
      <c r="B39" s="117"/>
      <c r="C39" s="116"/>
      <c r="D39" s="115"/>
      <c r="E39" s="114"/>
      <c r="F39" s="106"/>
      <c r="G39" s="106"/>
      <c r="H39" s="106"/>
    </row>
    <row r="40" spans="1:8" s="113" customFormat="1" ht="21">
      <c r="A40" s="120"/>
      <c r="B40" s="117"/>
      <c r="C40" s="116"/>
      <c r="D40" s="115"/>
      <c r="E40" s="119"/>
      <c r="F40" s="106"/>
      <c r="G40" s="106"/>
      <c r="H40" s="106"/>
    </row>
    <row r="41" spans="1:8" s="113" customFormat="1" ht="21">
      <c r="A41" s="118"/>
      <c r="B41" s="117"/>
      <c r="C41" s="116"/>
      <c r="D41" s="115"/>
      <c r="E41" s="114"/>
      <c r="F41" s="106"/>
      <c r="G41" s="106"/>
      <c r="H41" s="106"/>
    </row>
    <row r="42" spans="1:8" s="113" customFormat="1" ht="21">
      <c r="A42" s="120"/>
      <c r="B42" s="117"/>
      <c r="C42" s="116"/>
      <c r="D42" s="115"/>
      <c r="E42" s="119"/>
      <c r="F42" s="106"/>
      <c r="G42" s="106"/>
      <c r="H42" s="106"/>
    </row>
    <row r="43" spans="1:8" s="113" customFormat="1" ht="21">
      <c r="A43" s="118"/>
      <c r="B43" s="117"/>
      <c r="C43" s="116"/>
      <c r="D43" s="115"/>
      <c r="E43" s="114"/>
      <c r="F43" s="106"/>
      <c r="G43" s="106"/>
      <c r="H43" s="106"/>
    </row>
    <row r="44" spans="1:8" s="113" customFormat="1" ht="21">
      <c r="A44" s="120"/>
      <c r="B44" s="117"/>
      <c r="C44" s="116"/>
      <c r="D44" s="115"/>
      <c r="E44" s="119"/>
      <c r="F44" s="106"/>
      <c r="G44" s="106"/>
      <c r="H44" s="106"/>
    </row>
    <row r="45" spans="1:8" s="113" customFormat="1" ht="21">
      <c r="A45" s="118"/>
      <c r="B45" s="117"/>
      <c r="C45" s="116"/>
      <c r="D45" s="115"/>
      <c r="E45" s="114"/>
      <c r="F45" s="106"/>
      <c r="G45" s="106"/>
      <c r="H45" s="106"/>
    </row>
    <row r="46" spans="1:8" s="113" customFormat="1" ht="21">
      <c r="A46" s="120"/>
      <c r="B46" s="117"/>
      <c r="C46" s="116"/>
      <c r="D46" s="115"/>
      <c r="E46" s="119"/>
      <c r="F46" s="106"/>
      <c r="G46" s="106"/>
      <c r="H46" s="106"/>
    </row>
    <row r="47" spans="1:8" s="113" customFormat="1" ht="21">
      <c r="A47" s="118"/>
      <c r="B47" s="117"/>
      <c r="C47" s="116"/>
      <c r="D47" s="115"/>
      <c r="E47" s="114"/>
      <c r="F47" s="106"/>
      <c r="G47" s="106"/>
      <c r="H47" s="106"/>
    </row>
    <row r="48" spans="1:8" s="113" customFormat="1" ht="21">
      <c r="A48" s="120"/>
      <c r="B48" s="117"/>
      <c r="C48" s="116"/>
      <c r="D48" s="115"/>
      <c r="E48" s="119"/>
      <c r="F48" s="106"/>
      <c r="G48" s="106"/>
      <c r="H48" s="106"/>
    </row>
    <row r="49" spans="1:8" s="113" customFormat="1" ht="21">
      <c r="A49" s="118"/>
      <c r="B49" s="117"/>
      <c r="C49" s="116"/>
      <c r="D49" s="115"/>
      <c r="E49" s="114"/>
      <c r="F49" s="106"/>
      <c r="G49" s="106"/>
      <c r="H49" s="106"/>
    </row>
    <row r="50" spans="1:8" s="113" customFormat="1" ht="21">
      <c r="A50" s="120"/>
      <c r="B50" s="117"/>
      <c r="C50" s="116"/>
      <c r="D50" s="115"/>
      <c r="E50" s="119"/>
      <c r="F50" s="106"/>
      <c r="G50" s="106"/>
      <c r="H50" s="106"/>
    </row>
    <row r="51" spans="1:8" s="113" customFormat="1" ht="21">
      <c r="A51" s="118"/>
      <c r="B51" s="117"/>
      <c r="C51" s="116"/>
      <c r="D51" s="115"/>
      <c r="E51" s="114"/>
      <c r="F51" s="106"/>
      <c r="G51" s="106"/>
      <c r="H51" s="106"/>
    </row>
    <row r="52" spans="1:8" s="113" customFormat="1" ht="21">
      <c r="A52" s="120"/>
      <c r="B52" s="117"/>
      <c r="C52" s="116"/>
      <c r="D52" s="115"/>
      <c r="E52" s="119"/>
      <c r="F52" s="106"/>
      <c r="G52" s="106"/>
      <c r="H52" s="106"/>
    </row>
    <row r="53" spans="1:8" s="113" customFormat="1" ht="21">
      <c r="A53" s="118"/>
      <c r="B53" s="117"/>
      <c r="C53" s="116"/>
      <c r="D53" s="115"/>
      <c r="E53" s="114"/>
      <c r="F53" s="106"/>
      <c r="G53" s="106"/>
      <c r="H53" s="106"/>
    </row>
    <row r="54" spans="1:8" s="113" customFormat="1" ht="21">
      <c r="A54" s="120"/>
      <c r="B54" s="117"/>
      <c r="C54" s="116"/>
      <c r="D54" s="115"/>
      <c r="E54" s="119"/>
      <c r="F54" s="106"/>
      <c r="G54" s="106"/>
      <c r="H54" s="106"/>
    </row>
    <row r="55" spans="1:8" s="113" customFormat="1" ht="21">
      <c r="A55" s="118"/>
      <c r="B55" s="117"/>
      <c r="C55" s="116"/>
      <c r="D55" s="115"/>
      <c r="E55" s="114"/>
      <c r="F55" s="106"/>
      <c r="G55" s="106"/>
      <c r="H55" s="106"/>
    </row>
    <row r="56" spans="1:8" s="113" customFormat="1" ht="21">
      <c r="A56" s="120"/>
      <c r="B56" s="117"/>
      <c r="C56" s="116"/>
      <c r="D56" s="115"/>
      <c r="E56" s="119"/>
      <c r="F56" s="106"/>
      <c r="G56" s="106"/>
      <c r="H56" s="106"/>
    </row>
    <row r="57" spans="1:8" s="113" customFormat="1" ht="21">
      <c r="A57" s="118"/>
      <c r="B57" s="117"/>
      <c r="C57" s="116"/>
      <c r="D57" s="115"/>
      <c r="E57" s="114"/>
      <c r="F57" s="106"/>
      <c r="G57" s="106"/>
      <c r="H57" s="106"/>
    </row>
    <row r="58" spans="1:8" s="113" customFormat="1" ht="21">
      <c r="A58" s="120"/>
      <c r="B58" s="117"/>
      <c r="C58" s="116"/>
      <c r="D58" s="115"/>
      <c r="E58" s="119"/>
      <c r="F58" s="106"/>
      <c r="G58" s="106"/>
      <c r="H58" s="106"/>
    </row>
    <row r="59" spans="1:8" s="113" customFormat="1" ht="21">
      <c r="A59" s="118"/>
      <c r="B59" s="117"/>
      <c r="C59" s="116"/>
      <c r="D59" s="115"/>
      <c r="E59" s="114"/>
      <c r="F59" s="106"/>
      <c r="G59" s="106"/>
      <c r="H59" s="106"/>
    </row>
    <row r="60" spans="1:8" s="113" customFormat="1" ht="21">
      <c r="A60" s="120"/>
      <c r="B60" s="117"/>
      <c r="C60" s="116"/>
      <c r="D60" s="115"/>
      <c r="E60" s="119"/>
      <c r="F60" s="106"/>
      <c r="G60" s="106"/>
      <c r="H60" s="106"/>
    </row>
    <row r="61" spans="1:8" s="113" customFormat="1" ht="21">
      <c r="A61" s="118"/>
      <c r="B61" s="117"/>
      <c r="C61" s="116"/>
      <c r="D61" s="115"/>
      <c r="E61" s="114"/>
      <c r="F61" s="106"/>
      <c r="G61" s="106"/>
      <c r="H61" s="106"/>
    </row>
    <row r="62" spans="1:8" s="113" customFormat="1" ht="21">
      <c r="A62" s="120"/>
      <c r="B62" s="117"/>
      <c r="C62" s="116"/>
      <c r="D62" s="115"/>
      <c r="E62" s="119"/>
      <c r="F62" s="106"/>
      <c r="G62" s="106"/>
      <c r="H62" s="106"/>
    </row>
    <row r="63" spans="1:8" s="113" customFormat="1" ht="21">
      <c r="A63" s="118"/>
      <c r="B63" s="117"/>
      <c r="C63" s="116"/>
      <c r="D63" s="115"/>
      <c r="E63" s="114"/>
      <c r="F63" s="106"/>
      <c r="G63" s="106"/>
      <c r="H63" s="106"/>
    </row>
    <row r="64" spans="1:8" s="113" customFormat="1" ht="21">
      <c r="A64" s="120"/>
      <c r="B64" s="117"/>
      <c r="C64" s="116"/>
      <c r="D64" s="115"/>
      <c r="E64" s="119"/>
      <c r="F64" s="106"/>
      <c r="G64" s="106"/>
      <c r="H64" s="106"/>
    </row>
    <row r="65" spans="1:8" s="113" customFormat="1" ht="21">
      <c r="A65" s="118"/>
      <c r="B65" s="117"/>
      <c r="C65" s="116"/>
      <c r="D65" s="115"/>
      <c r="E65" s="114"/>
      <c r="F65" s="106"/>
      <c r="G65" s="106"/>
      <c r="H65" s="106"/>
    </row>
    <row r="66" spans="1:8" s="113" customFormat="1" ht="21">
      <c r="A66" s="120"/>
      <c r="B66" s="117"/>
      <c r="C66" s="116"/>
      <c r="D66" s="115"/>
      <c r="E66" s="119"/>
      <c r="F66" s="106"/>
      <c r="G66" s="106"/>
      <c r="H66" s="106"/>
    </row>
    <row r="67" spans="1:8" s="113" customFormat="1" ht="21">
      <c r="A67" s="118"/>
      <c r="B67" s="117"/>
      <c r="C67" s="116"/>
      <c r="D67" s="115"/>
      <c r="E67" s="114"/>
      <c r="F67" s="106"/>
      <c r="G67" s="106"/>
      <c r="H67" s="106"/>
    </row>
    <row r="68" spans="1:8" s="113" customFormat="1" ht="21">
      <c r="A68" s="120"/>
      <c r="B68" s="117"/>
      <c r="C68" s="116"/>
      <c r="D68" s="115"/>
      <c r="E68" s="119"/>
      <c r="F68" s="106"/>
      <c r="G68" s="106"/>
      <c r="H68" s="106"/>
    </row>
    <row r="69" spans="1:8" s="113" customFormat="1" ht="21">
      <c r="A69" s="118"/>
      <c r="B69" s="117"/>
      <c r="C69" s="116"/>
      <c r="D69" s="115"/>
      <c r="E69" s="114"/>
      <c r="F69" s="106"/>
      <c r="G69" s="106"/>
      <c r="H69" s="106"/>
    </row>
    <row r="70" spans="1:8" s="113" customFormat="1" ht="21">
      <c r="A70" s="120"/>
      <c r="B70" s="117"/>
      <c r="C70" s="116"/>
      <c r="D70" s="115"/>
      <c r="E70" s="119"/>
      <c r="F70" s="106"/>
      <c r="G70" s="106"/>
      <c r="H70" s="106"/>
    </row>
    <row r="71" spans="1:8" s="113" customFormat="1" ht="21">
      <c r="A71" s="118"/>
      <c r="B71" s="117"/>
      <c r="C71" s="116"/>
      <c r="D71" s="115"/>
      <c r="E71" s="114"/>
      <c r="F71" s="106"/>
      <c r="G71" s="106"/>
      <c r="H71" s="106"/>
    </row>
    <row r="72" spans="1:8" s="113" customFormat="1" ht="21">
      <c r="A72" s="120"/>
      <c r="B72" s="117"/>
      <c r="C72" s="116"/>
      <c r="D72" s="115"/>
      <c r="E72" s="119"/>
      <c r="F72" s="106"/>
      <c r="G72" s="106"/>
      <c r="H72" s="106"/>
    </row>
    <row r="73" spans="1:8" s="113" customFormat="1" ht="21">
      <c r="A73" s="118"/>
      <c r="B73" s="117"/>
      <c r="C73" s="116"/>
      <c r="D73" s="115"/>
      <c r="E73" s="114"/>
      <c r="F73" s="106"/>
      <c r="G73" s="106"/>
      <c r="H73" s="106"/>
    </row>
    <row r="74" spans="1:8" s="113" customFormat="1" ht="21">
      <c r="A74" s="120"/>
      <c r="B74" s="117"/>
      <c r="C74" s="116"/>
      <c r="D74" s="115"/>
      <c r="E74" s="119"/>
      <c r="F74" s="106"/>
      <c r="G74" s="106"/>
      <c r="H74" s="106"/>
    </row>
    <row r="75" spans="1:8" s="113" customFormat="1" ht="21">
      <c r="A75" s="118"/>
      <c r="B75" s="117"/>
      <c r="C75" s="116"/>
      <c r="D75" s="115"/>
      <c r="E75" s="114"/>
      <c r="F75" s="106"/>
      <c r="G75" s="106"/>
      <c r="H75" s="106"/>
    </row>
    <row r="76" spans="1:8" s="113" customFormat="1" ht="21">
      <c r="A76" s="120"/>
      <c r="B76" s="117"/>
      <c r="C76" s="116"/>
      <c r="D76" s="115"/>
      <c r="E76" s="119"/>
      <c r="F76" s="106"/>
      <c r="G76" s="106"/>
      <c r="H76" s="106"/>
    </row>
    <row r="77" spans="1:8" s="113" customFormat="1" ht="21">
      <c r="A77" s="118"/>
      <c r="B77" s="117"/>
      <c r="C77" s="116"/>
      <c r="D77" s="115"/>
      <c r="E77" s="114"/>
      <c r="F77" s="106"/>
      <c r="G77" s="106"/>
      <c r="H77" s="106"/>
    </row>
    <row r="78" spans="1:8" s="113" customFormat="1" ht="21">
      <c r="A78" s="120"/>
      <c r="B78" s="117"/>
      <c r="C78" s="116"/>
      <c r="D78" s="115"/>
      <c r="E78" s="119"/>
      <c r="F78" s="106"/>
      <c r="G78" s="106"/>
      <c r="H78" s="106"/>
    </row>
    <row r="79" spans="1:8" s="113" customFormat="1" ht="21">
      <c r="A79" s="118"/>
      <c r="B79" s="117"/>
      <c r="C79" s="116"/>
      <c r="D79" s="115"/>
      <c r="E79" s="114"/>
      <c r="F79" s="106"/>
      <c r="G79" s="106"/>
      <c r="H79" s="106"/>
    </row>
    <row r="80" spans="1:8" s="113" customFormat="1" ht="21">
      <c r="A80" s="120"/>
      <c r="B80" s="117"/>
      <c r="C80" s="116"/>
      <c r="D80" s="115"/>
      <c r="E80" s="119"/>
      <c r="F80" s="106"/>
      <c r="G80" s="106"/>
      <c r="H80" s="106"/>
    </row>
    <row r="81" spans="1:8" s="113" customFormat="1" ht="21">
      <c r="A81" s="118"/>
      <c r="B81" s="117"/>
      <c r="C81" s="116"/>
      <c r="D81" s="115"/>
      <c r="E81" s="114"/>
      <c r="F81" s="106"/>
      <c r="G81" s="106"/>
      <c r="H81" s="106"/>
    </row>
    <row r="82" spans="1:8" s="113" customFormat="1" ht="21">
      <c r="A82" s="120"/>
      <c r="B82" s="117"/>
      <c r="C82" s="116"/>
      <c r="D82" s="115"/>
      <c r="E82" s="119"/>
      <c r="F82" s="106"/>
      <c r="G82" s="106"/>
      <c r="H82" s="106"/>
    </row>
    <row r="83" spans="1:8" s="113" customFormat="1" ht="21">
      <c r="A83" s="118"/>
      <c r="B83" s="117"/>
      <c r="C83" s="116"/>
      <c r="D83" s="115"/>
      <c r="E83" s="114"/>
      <c r="F83" s="106"/>
      <c r="G83" s="106"/>
      <c r="H83" s="106"/>
    </row>
    <row r="84" spans="1:8" s="113" customFormat="1" ht="21">
      <c r="A84" s="120"/>
      <c r="B84" s="117"/>
      <c r="C84" s="116"/>
      <c r="D84" s="115"/>
      <c r="E84" s="119"/>
      <c r="F84" s="106"/>
      <c r="G84" s="106"/>
      <c r="H84" s="106"/>
    </row>
    <row r="85" spans="1:8" s="113" customFormat="1" ht="21">
      <c r="A85" s="118"/>
      <c r="B85" s="117"/>
      <c r="C85" s="116"/>
      <c r="D85" s="115"/>
      <c r="E85" s="114"/>
      <c r="F85" s="106"/>
      <c r="G85" s="106"/>
      <c r="H85" s="106"/>
    </row>
    <row r="86" spans="1:8" s="113" customFormat="1" ht="21">
      <c r="A86" s="120"/>
      <c r="B86" s="117"/>
      <c r="C86" s="116"/>
      <c r="D86" s="115"/>
      <c r="E86" s="119"/>
      <c r="F86" s="106"/>
      <c r="G86" s="106"/>
      <c r="H86" s="106"/>
    </row>
    <row r="87" spans="1:8" s="113" customFormat="1" ht="21">
      <c r="A87" s="118"/>
      <c r="B87" s="117"/>
      <c r="C87" s="116"/>
      <c r="D87" s="115"/>
      <c r="E87" s="114"/>
      <c r="F87" s="106"/>
      <c r="G87" s="106"/>
      <c r="H87" s="106"/>
    </row>
    <row r="88" spans="1:8" s="113" customFormat="1" ht="21">
      <c r="A88" s="120"/>
      <c r="B88" s="117"/>
      <c r="C88" s="116"/>
      <c r="D88" s="115"/>
      <c r="E88" s="119"/>
      <c r="F88" s="106"/>
      <c r="G88" s="106"/>
      <c r="H88" s="106"/>
    </row>
    <row r="89" spans="1:8" s="113" customFormat="1" ht="21">
      <c r="A89" s="118"/>
      <c r="B89" s="117"/>
      <c r="C89" s="116"/>
      <c r="D89" s="115"/>
      <c r="E89" s="114"/>
      <c r="F89" s="106"/>
      <c r="G89" s="106"/>
      <c r="H89" s="106"/>
    </row>
    <row r="90" spans="1:8" s="113" customFormat="1" ht="21">
      <c r="A90" s="120"/>
      <c r="B90" s="117"/>
      <c r="C90" s="116"/>
      <c r="D90" s="115"/>
      <c r="E90" s="119"/>
      <c r="F90" s="106"/>
      <c r="G90" s="106"/>
      <c r="H90" s="106"/>
    </row>
    <row r="91" spans="1:8" s="113" customFormat="1" ht="21">
      <c r="A91" s="118"/>
      <c r="B91" s="117"/>
      <c r="C91" s="116"/>
      <c r="D91" s="115"/>
      <c r="E91" s="114"/>
      <c r="F91" s="106"/>
      <c r="G91" s="106"/>
      <c r="H91" s="106"/>
    </row>
    <row r="92" spans="1:8" s="113" customFormat="1" ht="21">
      <c r="A92" s="120"/>
      <c r="B92" s="117"/>
      <c r="C92" s="116"/>
      <c r="D92" s="115"/>
      <c r="E92" s="119"/>
      <c r="F92" s="106"/>
      <c r="G92" s="106"/>
      <c r="H92" s="106"/>
    </row>
    <row r="93" spans="1:8" s="113" customFormat="1" ht="21">
      <c r="A93" s="118"/>
      <c r="B93" s="117"/>
      <c r="C93" s="116"/>
      <c r="D93" s="115"/>
      <c r="E93" s="114"/>
      <c r="F93" s="106"/>
      <c r="G93" s="106"/>
      <c r="H93" s="106"/>
    </row>
    <row r="94" spans="1:8" s="113" customFormat="1" ht="21">
      <c r="A94" s="120"/>
      <c r="B94" s="117"/>
      <c r="C94" s="116"/>
      <c r="D94" s="115"/>
      <c r="E94" s="119"/>
      <c r="F94" s="106"/>
      <c r="G94" s="106"/>
      <c r="H94" s="106"/>
    </row>
    <row r="95" spans="1:8" s="121" customFormat="1" ht="21">
      <c r="A95" s="118"/>
      <c r="B95" s="117"/>
      <c r="C95" s="116"/>
      <c r="D95" s="115"/>
      <c r="E95" s="114"/>
      <c r="F95" s="122"/>
      <c r="G95" s="122"/>
      <c r="H95" s="122"/>
    </row>
    <row r="96" spans="1:8" s="121" customFormat="1" ht="21">
      <c r="A96" s="120"/>
      <c r="B96" s="117"/>
      <c r="C96" s="116"/>
      <c r="D96" s="115"/>
      <c r="E96" s="119"/>
      <c r="F96" s="122"/>
      <c r="G96" s="122"/>
      <c r="H96" s="122"/>
    </row>
    <row r="97" spans="1:8" s="121" customFormat="1" ht="21">
      <c r="A97" s="118"/>
      <c r="B97" s="117"/>
      <c r="C97" s="116"/>
      <c r="D97" s="115"/>
      <c r="E97" s="114"/>
      <c r="F97" s="122"/>
      <c r="G97" s="122"/>
      <c r="H97" s="122"/>
    </row>
    <row r="98" spans="1:8" s="121" customFormat="1" ht="21">
      <c r="A98" s="120"/>
      <c r="B98" s="117"/>
      <c r="C98" s="116"/>
      <c r="D98" s="115"/>
      <c r="E98" s="119"/>
      <c r="F98" s="122"/>
      <c r="G98" s="122"/>
      <c r="H98" s="122"/>
    </row>
    <row r="99" spans="1:8" s="121" customFormat="1" ht="21">
      <c r="A99" s="118"/>
      <c r="B99" s="117"/>
      <c r="C99" s="116"/>
      <c r="D99" s="115"/>
      <c r="E99" s="114"/>
      <c r="F99" s="122"/>
      <c r="G99" s="122"/>
      <c r="H99" s="122"/>
    </row>
    <row r="100" spans="1:8" s="121" customFormat="1" ht="21">
      <c r="A100" s="120"/>
      <c r="B100" s="117"/>
      <c r="C100" s="116"/>
      <c r="D100" s="115"/>
      <c r="E100" s="119"/>
      <c r="F100" s="122"/>
      <c r="G100" s="122"/>
      <c r="H100" s="122"/>
    </row>
    <row r="101" spans="1:8" s="121" customFormat="1" ht="21">
      <c r="A101" s="118"/>
      <c r="B101" s="117"/>
      <c r="C101" s="116"/>
      <c r="D101" s="115"/>
      <c r="E101" s="114"/>
      <c r="F101" s="122"/>
      <c r="G101" s="122"/>
      <c r="H101" s="122"/>
    </row>
    <row r="102" spans="1:8" s="121" customFormat="1" ht="21">
      <c r="A102" s="120"/>
      <c r="B102" s="117"/>
      <c r="C102" s="116"/>
      <c r="D102" s="115"/>
      <c r="E102" s="119"/>
      <c r="F102" s="122"/>
      <c r="G102" s="122"/>
      <c r="H102" s="122"/>
    </row>
    <row r="103" spans="1:8" s="121" customFormat="1" ht="21">
      <c r="A103" s="118"/>
      <c r="B103" s="117"/>
      <c r="C103" s="116"/>
      <c r="D103" s="115"/>
      <c r="E103" s="114"/>
      <c r="F103" s="122"/>
      <c r="G103" s="122"/>
      <c r="H103" s="122"/>
    </row>
    <row r="104" spans="1:8" s="121" customFormat="1" ht="21">
      <c r="A104" s="120"/>
      <c r="B104" s="117"/>
      <c r="C104" s="116"/>
      <c r="D104" s="115"/>
      <c r="E104" s="119"/>
      <c r="F104" s="122"/>
      <c r="G104" s="122"/>
      <c r="H104" s="122"/>
    </row>
    <row r="105" spans="1:8" s="121" customFormat="1" ht="21">
      <c r="A105" s="118"/>
      <c r="B105" s="117"/>
      <c r="C105" s="116"/>
      <c r="D105" s="115"/>
      <c r="E105" s="114"/>
      <c r="F105" s="122"/>
      <c r="G105" s="122"/>
      <c r="H105" s="122"/>
    </row>
    <row r="106" spans="1:8" s="121" customFormat="1" ht="21">
      <c r="A106" s="120"/>
      <c r="B106" s="117"/>
      <c r="C106" s="116"/>
      <c r="D106" s="115"/>
      <c r="E106" s="119"/>
      <c r="F106" s="122"/>
      <c r="G106" s="122"/>
      <c r="H106" s="122"/>
    </row>
    <row r="107" spans="1:8" s="121" customFormat="1" ht="21">
      <c r="A107" s="118"/>
      <c r="B107" s="117"/>
      <c r="C107" s="116"/>
      <c r="D107" s="115"/>
      <c r="E107" s="114"/>
      <c r="F107" s="122"/>
      <c r="G107" s="122"/>
      <c r="H107" s="122"/>
    </row>
    <row r="108" spans="1:8" s="121" customFormat="1" ht="21">
      <c r="A108" s="120"/>
      <c r="B108" s="117"/>
      <c r="C108" s="116"/>
      <c r="D108" s="115"/>
      <c r="E108" s="119"/>
      <c r="F108" s="122"/>
      <c r="G108" s="122"/>
      <c r="H108" s="122"/>
    </row>
    <row r="109" spans="1:8" s="121" customFormat="1" ht="21">
      <c r="A109" s="118"/>
      <c r="B109" s="117"/>
      <c r="C109" s="116"/>
      <c r="D109" s="115"/>
      <c r="E109" s="114"/>
      <c r="F109" s="122"/>
      <c r="G109" s="122"/>
      <c r="H109" s="122"/>
    </row>
    <row r="110" spans="1:8" s="121" customFormat="1" ht="21">
      <c r="A110" s="120"/>
      <c r="B110" s="117"/>
      <c r="C110" s="116"/>
      <c r="D110" s="115"/>
      <c r="E110" s="119"/>
      <c r="F110" s="122"/>
      <c r="G110" s="122"/>
      <c r="H110" s="122"/>
    </row>
    <row r="111" spans="1:8" s="121" customFormat="1" ht="21">
      <c r="A111" s="118"/>
      <c r="B111" s="117"/>
      <c r="C111" s="116"/>
      <c r="D111" s="115"/>
      <c r="E111" s="114"/>
      <c r="F111" s="122"/>
      <c r="G111" s="122"/>
      <c r="H111" s="122"/>
    </row>
    <row r="112" spans="1:8" s="121" customFormat="1" ht="21">
      <c r="A112" s="120"/>
      <c r="B112" s="117"/>
      <c r="C112" s="116"/>
      <c r="D112" s="115"/>
      <c r="E112" s="119"/>
      <c r="F112" s="122"/>
      <c r="G112" s="122"/>
      <c r="H112" s="122"/>
    </row>
    <row r="113" spans="1:8" s="121" customFormat="1" ht="21">
      <c r="A113" s="118"/>
      <c r="B113" s="117"/>
      <c r="C113" s="116"/>
      <c r="D113" s="115"/>
      <c r="E113" s="114"/>
      <c r="F113" s="122"/>
      <c r="G113" s="122"/>
      <c r="H113" s="122"/>
    </row>
    <row r="114" spans="1:8" s="121" customFormat="1" ht="21">
      <c r="A114" s="120"/>
      <c r="B114" s="117"/>
      <c r="C114" s="116"/>
      <c r="D114" s="115"/>
      <c r="E114" s="119"/>
      <c r="F114" s="122"/>
      <c r="G114" s="122"/>
      <c r="H114" s="122"/>
    </row>
    <row r="115" spans="1:8" s="121" customFormat="1" ht="21">
      <c r="A115" s="118"/>
      <c r="B115" s="117"/>
      <c r="C115" s="116"/>
      <c r="D115" s="115"/>
      <c r="E115" s="114"/>
      <c r="F115" s="122"/>
      <c r="G115" s="122"/>
      <c r="H115" s="122"/>
    </row>
    <row r="116" spans="1:8" s="121" customFormat="1" ht="21">
      <c r="A116" s="120"/>
      <c r="B116" s="117"/>
      <c r="C116" s="116"/>
      <c r="D116" s="115"/>
      <c r="E116" s="119"/>
      <c r="F116" s="122"/>
      <c r="G116" s="122"/>
      <c r="H116" s="122"/>
    </row>
    <row r="117" spans="1:8" s="121" customFormat="1" ht="21">
      <c r="A117" s="118"/>
      <c r="B117" s="117"/>
      <c r="C117" s="116"/>
      <c r="D117" s="115"/>
      <c r="E117" s="114"/>
      <c r="F117" s="122"/>
      <c r="G117" s="122"/>
      <c r="H117" s="122"/>
    </row>
    <row r="118" spans="1:8" s="121" customFormat="1" ht="21">
      <c r="A118" s="120"/>
      <c r="B118" s="117"/>
      <c r="C118" s="116"/>
      <c r="D118" s="115"/>
      <c r="E118" s="119"/>
      <c r="F118" s="122"/>
      <c r="G118" s="122"/>
      <c r="H118" s="122"/>
    </row>
    <row r="119" spans="1:8" s="121" customFormat="1" ht="21">
      <c r="A119" s="118"/>
      <c r="B119" s="117"/>
      <c r="C119" s="116"/>
      <c r="D119" s="115"/>
      <c r="E119" s="114"/>
      <c r="F119" s="122"/>
      <c r="G119" s="122"/>
      <c r="H119" s="122"/>
    </row>
    <row r="120" spans="1:8" s="121" customFormat="1" ht="21">
      <c r="A120" s="120"/>
      <c r="B120" s="117"/>
      <c r="C120" s="116"/>
      <c r="D120" s="115"/>
      <c r="E120" s="119"/>
      <c r="F120" s="122"/>
      <c r="G120" s="122"/>
      <c r="H120" s="122"/>
    </row>
    <row r="121" spans="1:8" s="121" customFormat="1" ht="21">
      <c r="A121" s="118"/>
      <c r="B121" s="117"/>
      <c r="C121" s="116"/>
      <c r="D121" s="115"/>
      <c r="E121" s="114"/>
      <c r="F121" s="122"/>
      <c r="G121" s="122"/>
      <c r="H121" s="122"/>
    </row>
    <row r="122" spans="1:8" s="121" customFormat="1" ht="21">
      <c r="A122" s="120"/>
      <c r="B122" s="117"/>
      <c r="C122" s="116"/>
      <c r="D122" s="115"/>
      <c r="E122" s="119"/>
      <c r="F122" s="122"/>
      <c r="G122" s="122"/>
      <c r="H122" s="122"/>
    </row>
    <row r="123" spans="1:8" s="113" customFormat="1" ht="21">
      <c r="A123" s="118"/>
      <c r="B123" s="117"/>
      <c r="C123" s="116"/>
      <c r="D123" s="115"/>
      <c r="E123" s="114"/>
      <c r="F123" s="106"/>
      <c r="G123" s="106"/>
      <c r="H123" s="106"/>
    </row>
    <row r="124" spans="1:8" s="113" customFormat="1" ht="21">
      <c r="A124" s="120"/>
      <c r="B124" s="117"/>
      <c r="C124" s="116"/>
      <c r="D124" s="115"/>
      <c r="E124" s="119"/>
      <c r="F124" s="106"/>
      <c r="G124" s="106"/>
      <c r="H124" s="106"/>
    </row>
    <row r="125" spans="1:8" s="113" customFormat="1" ht="21">
      <c r="A125" s="118"/>
      <c r="B125" s="117"/>
      <c r="C125" s="116"/>
      <c r="D125" s="115"/>
      <c r="E125" s="114"/>
      <c r="F125" s="106"/>
      <c r="G125" s="106"/>
      <c r="H125" s="106"/>
    </row>
    <row r="126" spans="1:8" s="113" customFormat="1" ht="21">
      <c r="A126" s="120"/>
      <c r="B126" s="117"/>
      <c r="C126" s="116"/>
      <c r="D126" s="115"/>
      <c r="E126" s="119"/>
      <c r="F126" s="106"/>
      <c r="G126" s="106"/>
      <c r="H126" s="106"/>
    </row>
    <row r="127" spans="1:8" s="113" customFormat="1" ht="21">
      <c r="A127" s="118"/>
      <c r="B127" s="117"/>
      <c r="C127" s="116"/>
      <c r="D127" s="115"/>
      <c r="E127" s="114"/>
      <c r="F127" s="106"/>
      <c r="G127" s="106"/>
      <c r="H127" s="106"/>
    </row>
    <row r="128" spans="1:8" s="113" customFormat="1" ht="21">
      <c r="A128" s="120"/>
      <c r="B128" s="117"/>
      <c r="C128" s="116"/>
      <c r="D128" s="115"/>
      <c r="E128" s="119"/>
      <c r="F128" s="106"/>
      <c r="G128" s="106"/>
      <c r="H128" s="106"/>
    </row>
    <row r="129" spans="1:8" s="113" customFormat="1" ht="21">
      <c r="A129" s="118"/>
      <c r="B129" s="117"/>
      <c r="C129" s="116"/>
      <c r="D129" s="115"/>
      <c r="E129" s="114"/>
      <c r="F129" s="106"/>
      <c r="G129" s="106"/>
      <c r="H129" s="106"/>
    </row>
    <row r="130" spans="1:8" s="113" customFormat="1" ht="21">
      <c r="A130" s="120"/>
      <c r="B130" s="117"/>
      <c r="C130" s="116"/>
      <c r="D130" s="115"/>
      <c r="E130" s="119"/>
      <c r="F130" s="106"/>
      <c r="G130" s="106"/>
      <c r="H130" s="106"/>
    </row>
    <row r="131" spans="1:8" s="113" customFormat="1" ht="21">
      <c r="A131" s="118"/>
      <c r="B131" s="117"/>
      <c r="C131" s="116"/>
      <c r="D131" s="115"/>
      <c r="E131" s="114"/>
      <c r="F131" s="106"/>
      <c r="G131" s="106"/>
      <c r="H131" s="106"/>
    </row>
    <row r="132" spans="1:8" s="113" customFormat="1" ht="21">
      <c r="A132" s="120"/>
      <c r="B132" s="117"/>
      <c r="C132" s="116"/>
      <c r="D132" s="115"/>
      <c r="E132" s="119"/>
      <c r="F132" s="106"/>
      <c r="G132" s="106"/>
      <c r="H132" s="106"/>
    </row>
    <row r="133" spans="1:8" s="113" customFormat="1" ht="21">
      <c r="A133" s="118"/>
      <c r="B133" s="117"/>
      <c r="C133" s="116"/>
      <c r="D133" s="115"/>
      <c r="E133" s="114"/>
      <c r="F133" s="106"/>
      <c r="G133" s="106"/>
      <c r="H133" s="106"/>
    </row>
    <row r="134" spans="1:8" s="113" customFormat="1" ht="21">
      <c r="A134" s="120"/>
      <c r="B134" s="117"/>
      <c r="C134" s="116"/>
      <c r="D134" s="115"/>
      <c r="E134" s="119"/>
      <c r="F134" s="106"/>
      <c r="G134" s="106"/>
      <c r="H134" s="106"/>
    </row>
    <row r="135" spans="1:8" s="121" customFormat="1" ht="21">
      <c r="A135" s="118"/>
      <c r="B135" s="117"/>
      <c r="C135" s="116"/>
      <c r="D135" s="115"/>
      <c r="E135" s="114"/>
      <c r="F135" s="122"/>
      <c r="G135" s="122"/>
      <c r="H135" s="122"/>
    </row>
    <row r="136" spans="1:8" s="121" customFormat="1" ht="21">
      <c r="A136" s="120"/>
      <c r="B136" s="117"/>
      <c r="C136" s="116"/>
      <c r="D136" s="115"/>
      <c r="E136" s="119"/>
      <c r="F136" s="122"/>
      <c r="G136" s="122"/>
      <c r="H136" s="122"/>
    </row>
    <row r="137" spans="1:8" s="121" customFormat="1" ht="21">
      <c r="A137" s="118"/>
      <c r="B137" s="117"/>
      <c r="C137" s="116"/>
      <c r="D137" s="115"/>
      <c r="E137" s="114"/>
      <c r="F137" s="122"/>
      <c r="G137" s="122"/>
      <c r="H137" s="122"/>
    </row>
    <row r="138" spans="1:8" s="121" customFormat="1" ht="21">
      <c r="A138" s="120"/>
      <c r="B138" s="117"/>
      <c r="C138" s="116"/>
      <c r="D138" s="115"/>
      <c r="E138" s="119"/>
      <c r="F138" s="122"/>
      <c r="G138" s="122"/>
      <c r="H138" s="122"/>
    </row>
    <row r="139" spans="1:8" s="121" customFormat="1" ht="21">
      <c r="A139" s="118"/>
      <c r="B139" s="117"/>
      <c r="C139" s="116"/>
      <c r="D139" s="115"/>
      <c r="E139" s="114"/>
      <c r="F139" s="122"/>
      <c r="G139" s="122"/>
      <c r="H139" s="122"/>
    </row>
    <row r="140" spans="1:8" s="121" customFormat="1" ht="21">
      <c r="A140" s="120"/>
      <c r="B140" s="117"/>
      <c r="C140" s="116"/>
      <c r="D140" s="115"/>
      <c r="E140" s="119"/>
      <c r="F140" s="122"/>
      <c r="G140" s="122"/>
      <c r="H140" s="122"/>
    </row>
    <row r="141" spans="1:8" s="121" customFormat="1" ht="21">
      <c r="A141" s="118"/>
      <c r="B141" s="117"/>
      <c r="C141" s="116"/>
      <c r="D141" s="115"/>
      <c r="E141" s="114"/>
      <c r="F141" s="122"/>
      <c r="G141" s="122"/>
      <c r="H141" s="122"/>
    </row>
    <row r="142" spans="1:8" s="121" customFormat="1" ht="21">
      <c r="A142" s="120"/>
      <c r="B142" s="117"/>
      <c r="C142" s="116"/>
      <c r="D142" s="115"/>
      <c r="E142" s="119"/>
      <c r="F142" s="122"/>
      <c r="G142" s="122"/>
      <c r="H142" s="122"/>
    </row>
    <row r="143" spans="1:8" s="121" customFormat="1" ht="21">
      <c r="A143" s="118"/>
      <c r="B143" s="117"/>
      <c r="C143" s="116"/>
      <c r="D143" s="115"/>
      <c r="E143" s="114"/>
      <c r="F143" s="122"/>
      <c r="G143" s="122"/>
      <c r="H143" s="122"/>
    </row>
    <row r="144" spans="1:8" s="121" customFormat="1" ht="21">
      <c r="A144" s="120"/>
      <c r="B144" s="117"/>
      <c r="C144" s="116"/>
      <c r="D144" s="115"/>
      <c r="E144" s="119"/>
      <c r="F144" s="122"/>
      <c r="G144" s="122"/>
      <c r="H144" s="122"/>
    </row>
    <row r="145" spans="1:8" s="121" customFormat="1" ht="21">
      <c r="A145" s="118"/>
      <c r="B145" s="117"/>
      <c r="C145" s="116"/>
      <c r="D145" s="115"/>
      <c r="E145" s="114"/>
      <c r="F145" s="122"/>
      <c r="G145" s="122"/>
      <c r="H145" s="122"/>
    </row>
    <row r="146" spans="1:8" s="121" customFormat="1" ht="21">
      <c r="A146" s="120"/>
      <c r="B146" s="117"/>
      <c r="C146" s="116"/>
      <c r="D146" s="115"/>
      <c r="E146" s="119"/>
      <c r="F146" s="122"/>
      <c r="G146" s="122"/>
      <c r="H146" s="122"/>
    </row>
    <row r="147" spans="1:8" s="121" customFormat="1" ht="21">
      <c r="A147" s="118"/>
      <c r="B147" s="117"/>
      <c r="C147" s="116"/>
      <c r="D147" s="115"/>
      <c r="E147" s="114"/>
      <c r="F147" s="122"/>
      <c r="G147" s="122"/>
      <c r="H147" s="122"/>
    </row>
    <row r="148" spans="1:8" s="121" customFormat="1" ht="21">
      <c r="A148" s="120"/>
      <c r="B148" s="117"/>
      <c r="C148" s="116"/>
      <c r="D148" s="115"/>
      <c r="E148" s="119"/>
      <c r="F148" s="122"/>
      <c r="G148" s="122"/>
      <c r="H148" s="122"/>
    </row>
    <row r="149" spans="1:8" s="121" customFormat="1" ht="21">
      <c r="A149" s="118"/>
      <c r="B149" s="117"/>
      <c r="C149" s="116"/>
      <c r="D149" s="115"/>
      <c r="E149" s="114"/>
      <c r="F149" s="122"/>
      <c r="G149" s="122"/>
      <c r="H149" s="122"/>
    </row>
    <row r="150" spans="1:8" s="121" customFormat="1" ht="21">
      <c r="A150" s="120"/>
      <c r="B150" s="117"/>
      <c r="C150" s="116"/>
      <c r="D150" s="115"/>
      <c r="E150" s="119"/>
      <c r="F150" s="122"/>
      <c r="G150" s="122"/>
      <c r="H150" s="122"/>
    </row>
    <row r="151" spans="1:8" s="121" customFormat="1" ht="21">
      <c r="A151" s="118"/>
      <c r="B151" s="117"/>
      <c r="C151" s="116"/>
      <c r="D151" s="115"/>
      <c r="E151" s="114"/>
      <c r="F151" s="122"/>
      <c r="G151" s="122"/>
      <c r="H151" s="122"/>
    </row>
    <row r="152" spans="1:8" s="121" customFormat="1" ht="21">
      <c r="A152" s="120"/>
      <c r="B152" s="117"/>
      <c r="C152" s="116"/>
      <c r="D152" s="115"/>
      <c r="E152" s="119"/>
      <c r="F152" s="122"/>
      <c r="G152" s="122"/>
      <c r="H152" s="122"/>
    </row>
    <row r="153" spans="1:8" s="121" customFormat="1" ht="21">
      <c r="A153" s="118"/>
      <c r="B153" s="117"/>
      <c r="C153" s="116"/>
      <c r="D153" s="115"/>
      <c r="E153" s="114"/>
      <c r="F153" s="122"/>
      <c r="G153" s="122"/>
      <c r="H153" s="122"/>
    </row>
    <row r="154" spans="1:8" s="121" customFormat="1" ht="21">
      <c r="A154" s="120"/>
      <c r="B154" s="117"/>
      <c r="C154" s="116"/>
      <c r="D154" s="115"/>
      <c r="E154" s="119"/>
      <c r="F154" s="122"/>
      <c r="G154" s="122"/>
      <c r="H154" s="122"/>
    </row>
    <row r="155" spans="1:8" s="121" customFormat="1" ht="21">
      <c r="A155" s="118"/>
      <c r="B155" s="117"/>
      <c r="C155" s="116"/>
      <c r="D155" s="115"/>
      <c r="E155" s="114"/>
      <c r="F155" s="122"/>
      <c r="G155" s="122"/>
      <c r="H155" s="122"/>
    </row>
    <row r="156" spans="1:8" s="121" customFormat="1" ht="21">
      <c r="A156" s="120"/>
      <c r="B156" s="117"/>
      <c r="C156" s="116"/>
      <c r="D156" s="115"/>
      <c r="E156" s="119"/>
      <c r="F156" s="122"/>
      <c r="G156" s="122"/>
      <c r="H156" s="122"/>
    </row>
    <row r="157" spans="1:8" s="121" customFormat="1" ht="21">
      <c r="A157" s="118"/>
      <c r="B157" s="117"/>
      <c r="C157" s="116"/>
      <c r="D157" s="115"/>
      <c r="E157" s="114"/>
      <c r="F157" s="122"/>
      <c r="G157" s="122"/>
      <c r="H157" s="122"/>
    </row>
    <row r="158" spans="1:8" s="121" customFormat="1" ht="21">
      <c r="A158" s="120"/>
      <c r="B158" s="117"/>
      <c r="C158" s="116"/>
      <c r="D158" s="115"/>
      <c r="E158" s="119"/>
      <c r="F158" s="122"/>
      <c r="G158" s="122"/>
      <c r="H158" s="122"/>
    </row>
    <row r="159" spans="1:8" s="121" customFormat="1" ht="21">
      <c r="A159" s="118"/>
      <c r="B159" s="117"/>
      <c r="C159" s="116"/>
      <c r="D159" s="115"/>
      <c r="E159" s="114"/>
      <c r="F159" s="122"/>
      <c r="G159" s="122"/>
      <c r="H159" s="122"/>
    </row>
    <row r="160" spans="1:8" s="121" customFormat="1" ht="21">
      <c r="A160" s="120"/>
      <c r="B160" s="117"/>
      <c r="C160" s="116"/>
      <c r="D160" s="115"/>
      <c r="E160" s="119"/>
      <c r="F160" s="122"/>
      <c r="G160" s="122"/>
      <c r="H160" s="122"/>
    </row>
    <row r="161" spans="1:10" s="121" customFormat="1" ht="21">
      <c r="A161" s="118"/>
      <c r="B161" s="117"/>
      <c r="C161" s="116"/>
      <c r="D161" s="115"/>
      <c r="E161" s="114"/>
      <c r="F161" s="122"/>
      <c r="G161" s="122"/>
      <c r="H161" s="122"/>
    </row>
    <row r="162" spans="1:10" s="121" customFormat="1" ht="21">
      <c r="A162" s="120"/>
      <c r="B162" s="117"/>
      <c r="C162" s="116"/>
      <c r="D162" s="115"/>
      <c r="E162" s="119"/>
      <c r="F162" s="122"/>
      <c r="G162" s="122"/>
      <c r="H162" s="122"/>
    </row>
    <row r="163" spans="1:10" s="123" customFormat="1" ht="21">
      <c r="A163" s="118"/>
      <c r="B163" s="117"/>
      <c r="C163" s="116"/>
      <c r="D163" s="115"/>
      <c r="E163" s="114"/>
      <c r="F163" s="122"/>
      <c r="G163" s="122"/>
      <c r="H163" s="122"/>
      <c r="I163" s="121"/>
      <c r="J163" s="121"/>
    </row>
    <row r="164" spans="1:10" s="123" customFormat="1" ht="21">
      <c r="A164" s="120"/>
      <c r="B164" s="117"/>
      <c r="C164" s="116"/>
      <c r="D164" s="115"/>
      <c r="E164" s="119"/>
      <c r="F164" s="122"/>
      <c r="G164" s="122"/>
      <c r="H164" s="122"/>
      <c r="I164" s="121"/>
      <c r="J164" s="121"/>
    </row>
    <row r="165" spans="1:10" s="123" customFormat="1" ht="21">
      <c r="A165" s="118"/>
      <c r="B165" s="117"/>
      <c r="C165" s="116"/>
      <c r="D165" s="115"/>
      <c r="E165" s="114"/>
      <c r="F165" s="122"/>
      <c r="G165" s="122"/>
      <c r="H165" s="122"/>
      <c r="I165" s="121"/>
      <c r="J165" s="121"/>
    </row>
    <row r="166" spans="1:10" s="121" customFormat="1" ht="21">
      <c r="A166" s="120"/>
      <c r="B166" s="117"/>
      <c r="C166" s="116"/>
      <c r="D166" s="115"/>
      <c r="E166" s="119"/>
      <c r="F166" s="122"/>
      <c r="G166" s="122"/>
      <c r="H166" s="122"/>
    </row>
    <row r="167" spans="1:10" s="121" customFormat="1" ht="21">
      <c r="A167" s="118"/>
      <c r="B167" s="117"/>
      <c r="C167" s="116"/>
      <c r="D167" s="115"/>
      <c r="E167" s="114"/>
      <c r="F167" s="122"/>
      <c r="G167" s="122"/>
      <c r="H167" s="122"/>
    </row>
    <row r="168" spans="1:10" s="121" customFormat="1" ht="21">
      <c r="A168" s="120"/>
      <c r="B168" s="117"/>
      <c r="C168" s="116"/>
      <c r="D168" s="115"/>
      <c r="E168" s="119"/>
      <c r="F168" s="122"/>
      <c r="G168" s="122"/>
      <c r="H168" s="122"/>
    </row>
    <row r="169" spans="1:10" s="121" customFormat="1" ht="21">
      <c r="A169" s="118"/>
      <c r="B169" s="117"/>
      <c r="C169" s="116"/>
      <c r="D169" s="115"/>
      <c r="E169" s="114"/>
      <c r="F169" s="122"/>
      <c r="G169" s="122"/>
      <c r="H169" s="122"/>
    </row>
    <row r="170" spans="1:10" s="121" customFormat="1" ht="21">
      <c r="A170" s="120"/>
      <c r="B170" s="117"/>
      <c r="C170" s="116"/>
      <c r="D170" s="115"/>
      <c r="E170" s="119"/>
      <c r="F170" s="122"/>
      <c r="G170" s="122"/>
      <c r="H170" s="122"/>
    </row>
    <row r="171" spans="1:10" s="121" customFormat="1" ht="21">
      <c r="A171" s="118"/>
      <c r="B171" s="117"/>
      <c r="C171" s="116"/>
      <c r="D171" s="115"/>
      <c r="E171" s="114"/>
      <c r="F171" s="122"/>
      <c r="G171" s="122"/>
      <c r="H171" s="122"/>
    </row>
    <row r="172" spans="1:10" s="121" customFormat="1" ht="21">
      <c r="A172" s="120"/>
      <c r="B172" s="117"/>
      <c r="C172" s="116"/>
      <c r="D172" s="115"/>
      <c r="E172" s="119"/>
      <c r="F172" s="122"/>
      <c r="G172" s="122"/>
      <c r="H172" s="122"/>
    </row>
    <row r="173" spans="1:10" s="113" customFormat="1" ht="21">
      <c r="A173" s="118"/>
      <c r="B173" s="117"/>
      <c r="C173" s="116"/>
      <c r="D173" s="115"/>
      <c r="E173" s="114"/>
      <c r="F173" s="106"/>
      <c r="G173" s="106"/>
      <c r="H173" s="106"/>
    </row>
    <row r="174" spans="1:10" s="113" customFormat="1" ht="21">
      <c r="A174" s="120"/>
      <c r="B174" s="117"/>
      <c r="C174" s="116"/>
      <c r="D174" s="115"/>
      <c r="E174" s="119"/>
      <c r="F174" s="106"/>
      <c r="G174" s="106"/>
      <c r="H174" s="106"/>
    </row>
    <row r="175" spans="1:10" s="113" customFormat="1" ht="21">
      <c r="A175" s="118"/>
      <c r="B175" s="117"/>
      <c r="C175" s="116"/>
      <c r="D175" s="115"/>
      <c r="E175" s="114"/>
      <c r="F175" s="106"/>
      <c r="G175" s="106"/>
      <c r="H175" s="106"/>
    </row>
    <row r="176" spans="1:10" s="113" customFormat="1" ht="21">
      <c r="A176" s="120"/>
      <c r="B176" s="117"/>
      <c r="C176" s="116"/>
      <c r="D176" s="115"/>
      <c r="E176" s="119"/>
      <c r="F176" s="106"/>
      <c r="G176" s="106"/>
      <c r="H176" s="106"/>
    </row>
    <row r="177" spans="1:8" s="113" customFormat="1" ht="21">
      <c r="A177" s="118"/>
      <c r="B177" s="117"/>
      <c r="C177" s="116"/>
      <c r="D177" s="115"/>
      <c r="E177" s="114"/>
      <c r="F177" s="106"/>
      <c r="G177" s="106"/>
      <c r="H177" s="106"/>
    </row>
    <row r="178" spans="1:8" s="113" customFormat="1" ht="21">
      <c r="A178" s="120"/>
      <c r="B178" s="117"/>
      <c r="C178" s="116"/>
      <c r="D178" s="115"/>
      <c r="E178" s="119"/>
      <c r="F178" s="106"/>
      <c r="G178" s="106"/>
      <c r="H178" s="106"/>
    </row>
    <row r="179" spans="1:8" s="113" customFormat="1" ht="21">
      <c r="A179" s="118"/>
      <c r="B179" s="117"/>
      <c r="C179" s="116"/>
      <c r="D179" s="115"/>
      <c r="E179" s="114"/>
      <c r="F179" s="106"/>
      <c r="G179" s="106"/>
      <c r="H179" s="106"/>
    </row>
    <row r="180" spans="1:8" s="113" customFormat="1" ht="21">
      <c r="A180" s="120"/>
      <c r="B180" s="117"/>
      <c r="C180" s="116"/>
      <c r="D180" s="115"/>
      <c r="E180" s="119"/>
      <c r="F180" s="106"/>
      <c r="G180" s="106"/>
      <c r="H180" s="106"/>
    </row>
    <row r="181" spans="1:8" s="121" customFormat="1" ht="21">
      <c r="A181" s="118"/>
      <c r="B181" s="117"/>
      <c r="C181" s="116"/>
      <c r="D181" s="115"/>
      <c r="E181" s="114"/>
      <c r="F181" s="122"/>
      <c r="G181" s="122"/>
      <c r="H181" s="122"/>
    </row>
    <row r="182" spans="1:8" s="121" customFormat="1" ht="21">
      <c r="A182" s="120"/>
      <c r="B182" s="117"/>
      <c r="C182" s="116"/>
      <c r="D182" s="115"/>
      <c r="E182" s="119"/>
      <c r="F182" s="122"/>
      <c r="G182" s="122"/>
      <c r="H182" s="122"/>
    </row>
    <row r="183" spans="1:8" s="113" customFormat="1" ht="21">
      <c r="A183" s="118"/>
      <c r="B183" s="117"/>
      <c r="C183" s="116"/>
      <c r="D183" s="115"/>
      <c r="E183" s="114"/>
      <c r="F183" s="106"/>
      <c r="G183" s="106"/>
      <c r="H183" s="106"/>
    </row>
    <row r="184" spans="1:8" s="113" customFormat="1" ht="21">
      <c r="A184" s="120"/>
      <c r="B184" s="117"/>
      <c r="C184" s="116"/>
      <c r="D184" s="115"/>
      <c r="E184" s="119"/>
      <c r="F184" s="106"/>
      <c r="G184" s="106"/>
      <c r="H184" s="106"/>
    </row>
    <row r="185" spans="1:8" s="113" customFormat="1" ht="21">
      <c r="A185" s="118"/>
      <c r="B185" s="117"/>
      <c r="C185" s="116"/>
      <c r="D185" s="115"/>
      <c r="E185" s="114"/>
      <c r="F185" s="106"/>
      <c r="G185" s="106"/>
      <c r="H185" s="106"/>
    </row>
    <row r="186" spans="1:8" s="113" customFormat="1" ht="21">
      <c r="A186" s="120"/>
      <c r="B186" s="117"/>
      <c r="C186" s="116"/>
      <c r="D186" s="115"/>
      <c r="E186" s="119"/>
      <c r="F186" s="106"/>
      <c r="G186" s="106"/>
      <c r="H186" s="106"/>
    </row>
    <row r="187" spans="1:8" s="113" customFormat="1" ht="21">
      <c r="A187" s="118"/>
      <c r="B187" s="117"/>
      <c r="C187" s="116"/>
      <c r="D187" s="115"/>
      <c r="E187" s="114"/>
      <c r="F187" s="106"/>
      <c r="G187" s="106"/>
      <c r="H187" s="106"/>
    </row>
    <row r="188" spans="1:8" s="113" customFormat="1" ht="21">
      <c r="A188" s="120"/>
      <c r="B188" s="117"/>
      <c r="C188" s="116"/>
      <c r="D188" s="115"/>
      <c r="E188" s="119"/>
      <c r="F188" s="106"/>
      <c r="G188" s="106"/>
      <c r="H188" s="106"/>
    </row>
    <row r="189" spans="1:8" s="113" customFormat="1" ht="21">
      <c r="A189" s="118"/>
      <c r="B189" s="117"/>
      <c r="C189" s="116"/>
      <c r="D189" s="115"/>
      <c r="E189" s="114"/>
      <c r="F189" s="106"/>
      <c r="G189" s="106"/>
      <c r="H189" s="106"/>
    </row>
    <row r="190" spans="1:8" s="113" customFormat="1" ht="21">
      <c r="A190" s="120"/>
      <c r="B190" s="117"/>
      <c r="C190" s="116"/>
      <c r="D190" s="115"/>
      <c r="E190" s="119"/>
      <c r="F190" s="106"/>
      <c r="G190" s="106"/>
      <c r="H190" s="106"/>
    </row>
    <row r="191" spans="1:8" s="113" customFormat="1" ht="21">
      <c r="A191" s="118"/>
      <c r="B191" s="117"/>
      <c r="C191" s="116"/>
      <c r="D191" s="115"/>
      <c r="E191" s="114"/>
      <c r="F191" s="106"/>
      <c r="G191" s="106"/>
      <c r="H191" s="106"/>
    </row>
    <row r="192" spans="1:8" s="113" customFormat="1" ht="21">
      <c r="A192" s="120"/>
      <c r="B192" s="117"/>
      <c r="C192" s="116"/>
      <c r="D192" s="115"/>
      <c r="E192" s="119"/>
      <c r="F192" s="106"/>
      <c r="G192" s="106"/>
      <c r="H192" s="106"/>
    </row>
    <row r="193" spans="1:8" s="113" customFormat="1" ht="21">
      <c r="A193" s="118"/>
      <c r="B193" s="117"/>
      <c r="C193" s="116"/>
      <c r="D193" s="115"/>
      <c r="E193" s="114"/>
      <c r="F193" s="106"/>
      <c r="G193" s="106"/>
      <c r="H193" s="106"/>
    </row>
    <row r="194" spans="1:8" s="113" customFormat="1" ht="21">
      <c r="A194" s="120"/>
      <c r="B194" s="117"/>
      <c r="C194" s="116"/>
      <c r="D194" s="115"/>
      <c r="E194" s="119"/>
      <c r="F194" s="106"/>
      <c r="G194" s="106"/>
      <c r="H194" s="106"/>
    </row>
    <row r="195" spans="1:8" s="113" customFormat="1" ht="21">
      <c r="A195" s="118"/>
      <c r="B195" s="117"/>
      <c r="C195" s="116"/>
      <c r="D195" s="115"/>
      <c r="E195" s="114"/>
      <c r="F195" s="106"/>
      <c r="G195" s="106"/>
      <c r="H195" s="106"/>
    </row>
    <row r="196" spans="1:8" s="113" customFormat="1" ht="21">
      <c r="A196" s="120"/>
      <c r="B196" s="117"/>
      <c r="C196" s="116"/>
      <c r="D196" s="115"/>
      <c r="E196" s="119"/>
      <c r="F196" s="106"/>
      <c r="G196" s="106"/>
      <c r="H196" s="106"/>
    </row>
    <row r="197" spans="1:8" s="113" customFormat="1" ht="21">
      <c r="A197" s="118"/>
      <c r="B197" s="117"/>
      <c r="C197" s="116"/>
      <c r="D197" s="115"/>
      <c r="E197" s="114"/>
      <c r="F197" s="106"/>
      <c r="G197" s="106"/>
      <c r="H197" s="106"/>
    </row>
    <row r="198" spans="1:8" s="113" customFormat="1" ht="21">
      <c r="A198" s="120"/>
      <c r="B198" s="117"/>
      <c r="C198" s="116"/>
      <c r="D198" s="115"/>
      <c r="E198" s="119"/>
      <c r="F198" s="106"/>
      <c r="G198" s="106"/>
      <c r="H198" s="106"/>
    </row>
    <row r="199" spans="1:8" s="113" customFormat="1" ht="21">
      <c r="A199" s="118"/>
      <c r="B199" s="117"/>
      <c r="C199" s="116"/>
      <c r="D199" s="115"/>
      <c r="E199" s="114"/>
      <c r="F199" s="106"/>
      <c r="G199" s="106"/>
      <c r="H199" s="106"/>
    </row>
    <row r="200" spans="1:8" s="113" customFormat="1" ht="21">
      <c r="A200" s="120"/>
      <c r="B200" s="117"/>
      <c r="C200" s="116"/>
      <c r="D200" s="115"/>
      <c r="E200" s="119"/>
      <c r="F200" s="106"/>
      <c r="G200" s="106"/>
      <c r="H200" s="106"/>
    </row>
    <row r="201" spans="1:8" s="113" customFormat="1" ht="21">
      <c r="A201" s="118"/>
      <c r="B201" s="117"/>
      <c r="C201" s="116"/>
      <c r="D201" s="115"/>
      <c r="E201" s="114"/>
      <c r="F201" s="106"/>
      <c r="G201" s="106"/>
      <c r="H201" s="106"/>
    </row>
    <row r="202" spans="1:8" s="113" customFormat="1" ht="21">
      <c r="A202" s="120"/>
      <c r="B202" s="117"/>
      <c r="C202" s="116"/>
      <c r="D202" s="115"/>
      <c r="E202" s="119"/>
      <c r="F202" s="106"/>
      <c r="G202" s="106"/>
      <c r="H202" s="106"/>
    </row>
    <row r="203" spans="1:8" s="113" customFormat="1" ht="21">
      <c r="A203" s="118"/>
      <c r="B203" s="117"/>
      <c r="C203" s="116"/>
      <c r="D203" s="115"/>
      <c r="E203" s="114"/>
      <c r="F203" s="106"/>
      <c r="G203" s="106"/>
      <c r="H203" s="106"/>
    </row>
    <row r="204" spans="1:8" s="113" customFormat="1" ht="21">
      <c r="A204" s="120"/>
      <c r="B204" s="117"/>
      <c r="C204" s="116"/>
      <c r="D204" s="115"/>
      <c r="E204" s="119"/>
      <c r="F204" s="106"/>
      <c r="G204" s="106"/>
      <c r="H204" s="106"/>
    </row>
    <row r="205" spans="1:8" s="113" customFormat="1" ht="21">
      <c r="A205" s="118"/>
      <c r="B205" s="117"/>
      <c r="C205" s="116"/>
      <c r="D205" s="115"/>
      <c r="E205" s="114"/>
      <c r="F205" s="106"/>
      <c r="G205" s="106"/>
      <c r="H205" s="106"/>
    </row>
    <row r="206" spans="1:8" s="113" customFormat="1" ht="21">
      <c r="A206" s="120"/>
      <c r="B206" s="117"/>
      <c r="C206" s="116"/>
      <c r="D206" s="115"/>
      <c r="E206" s="119"/>
      <c r="F206" s="106"/>
      <c r="G206" s="106"/>
      <c r="H206" s="106"/>
    </row>
    <row r="207" spans="1:8" s="113" customFormat="1" ht="21">
      <c r="A207" s="118"/>
      <c r="B207" s="117"/>
      <c r="C207" s="116"/>
      <c r="D207" s="115"/>
      <c r="E207" s="114"/>
      <c r="F207" s="106"/>
      <c r="G207" s="106"/>
      <c r="H207" s="106"/>
    </row>
    <row r="208" spans="1:8" s="113" customFormat="1" ht="21">
      <c r="A208" s="120"/>
      <c r="B208" s="117"/>
      <c r="C208" s="116"/>
      <c r="D208" s="115"/>
      <c r="E208" s="119"/>
      <c r="F208" s="106"/>
      <c r="G208" s="106"/>
      <c r="H208" s="106"/>
    </row>
    <row r="209" spans="1:8" s="113" customFormat="1" ht="21">
      <c r="A209" s="118"/>
      <c r="B209" s="117"/>
      <c r="C209" s="116"/>
      <c r="D209" s="115"/>
      <c r="E209" s="114"/>
      <c r="F209" s="106"/>
      <c r="G209" s="106"/>
      <c r="H209" s="106"/>
    </row>
    <row r="210" spans="1:8" s="113" customFormat="1" ht="21">
      <c r="A210" s="120"/>
      <c r="B210" s="117"/>
      <c r="C210" s="116"/>
      <c r="D210" s="115"/>
      <c r="E210" s="119"/>
      <c r="F210" s="106"/>
      <c r="G210" s="106"/>
      <c r="H210" s="106"/>
    </row>
    <row r="211" spans="1:8" s="113" customFormat="1" ht="21">
      <c r="A211" s="118"/>
      <c r="B211" s="117"/>
      <c r="C211" s="116"/>
      <c r="D211" s="115"/>
      <c r="E211" s="114"/>
      <c r="F211" s="106"/>
      <c r="G211" s="106"/>
      <c r="H211" s="106"/>
    </row>
    <row r="212" spans="1:8" s="113" customFormat="1" ht="21">
      <c r="A212" s="120"/>
      <c r="B212" s="117"/>
      <c r="C212" s="116"/>
      <c r="D212" s="115"/>
      <c r="E212" s="119"/>
      <c r="F212" s="106"/>
      <c r="G212" s="106"/>
      <c r="H212" s="106"/>
    </row>
    <row r="213" spans="1:8" s="113" customFormat="1" ht="21">
      <c r="A213" s="118"/>
      <c r="B213" s="117"/>
      <c r="C213" s="116"/>
      <c r="D213" s="115"/>
      <c r="E213" s="114"/>
      <c r="F213" s="106"/>
      <c r="G213" s="106"/>
      <c r="H213" s="106"/>
    </row>
    <row r="214" spans="1:8" s="113" customFormat="1" ht="21">
      <c r="A214" s="120"/>
      <c r="B214" s="117"/>
      <c r="C214" s="116"/>
      <c r="D214" s="115"/>
      <c r="E214" s="119"/>
      <c r="F214" s="106"/>
      <c r="G214" s="106"/>
      <c r="H214" s="106"/>
    </row>
    <row r="215" spans="1:8" s="113" customFormat="1" ht="21">
      <c r="A215" s="118"/>
      <c r="B215" s="117"/>
      <c r="C215" s="116"/>
      <c r="D215" s="115"/>
      <c r="E215" s="114"/>
      <c r="F215" s="106"/>
      <c r="G215" s="106"/>
      <c r="H215" s="106"/>
    </row>
    <row r="216" spans="1:8" s="113" customFormat="1" ht="21">
      <c r="A216" s="120"/>
      <c r="B216" s="117"/>
      <c r="C216" s="116"/>
      <c r="D216" s="115"/>
      <c r="E216" s="119"/>
      <c r="F216" s="106"/>
      <c r="G216" s="106"/>
      <c r="H216" s="106"/>
    </row>
    <row r="217" spans="1:8" s="113" customFormat="1" ht="21">
      <c r="A217" s="118"/>
      <c r="B217" s="117"/>
      <c r="C217" s="116"/>
      <c r="D217" s="115"/>
      <c r="E217" s="114"/>
      <c r="F217" s="106"/>
      <c r="G217" s="106"/>
      <c r="H217" s="106"/>
    </row>
    <row r="218" spans="1:8" s="113" customFormat="1" ht="21">
      <c r="A218" s="120"/>
      <c r="B218" s="117"/>
      <c r="C218" s="116"/>
      <c r="D218" s="115"/>
      <c r="E218" s="119"/>
      <c r="F218" s="106"/>
      <c r="G218" s="106"/>
      <c r="H218" s="106"/>
    </row>
    <row r="219" spans="1:8" s="113" customFormat="1" ht="21">
      <c r="A219" s="118"/>
      <c r="B219" s="117"/>
      <c r="C219" s="116"/>
      <c r="D219" s="115"/>
      <c r="E219" s="114"/>
      <c r="F219" s="106"/>
      <c r="G219" s="106"/>
      <c r="H219" s="106"/>
    </row>
    <row r="220" spans="1:8" s="113" customFormat="1" ht="21">
      <c r="A220" s="120"/>
      <c r="B220" s="117"/>
      <c r="C220" s="116"/>
      <c r="D220" s="115"/>
      <c r="E220" s="119"/>
      <c r="F220" s="106"/>
      <c r="G220" s="106"/>
      <c r="H220" s="106"/>
    </row>
    <row r="221" spans="1:8" s="113" customFormat="1" ht="21">
      <c r="A221" s="118"/>
      <c r="B221" s="117"/>
      <c r="C221" s="116"/>
      <c r="D221" s="115"/>
      <c r="E221" s="114"/>
      <c r="F221" s="106"/>
      <c r="G221" s="106"/>
      <c r="H221" s="106"/>
    </row>
    <row r="222" spans="1:8" s="113" customFormat="1" ht="21">
      <c r="A222" s="120"/>
      <c r="B222" s="117"/>
      <c r="C222" s="116"/>
      <c r="D222" s="115"/>
      <c r="E222" s="119"/>
      <c r="F222" s="106"/>
      <c r="G222" s="106"/>
      <c r="H222" s="106"/>
    </row>
    <row r="223" spans="1:8" s="113" customFormat="1" ht="21">
      <c r="A223" s="118"/>
      <c r="B223" s="117"/>
      <c r="C223" s="116"/>
      <c r="D223" s="115"/>
      <c r="E223" s="114"/>
      <c r="F223" s="106"/>
      <c r="G223" s="106"/>
      <c r="H223" s="106"/>
    </row>
    <row r="224" spans="1:8" s="113" customFormat="1" ht="21">
      <c r="A224" s="120"/>
      <c r="B224" s="117"/>
      <c r="C224" s="116"/>
      <c r="D224" s="115"/>
      <c r="E224" s="119"/>
      <c r="F224" s="106"/>
      <c r="G224" s="106"/>
      <c r="H224" s="106"/>
    </row>
    <row r="225" spans="1:8" s="113" customFormat="1" ht="21">
      <c r="A225" s="118"/>
      <c r="B225" s="117"/>
      <c r="C225" s="116"/>
      <c r="D225" s="115"/>
      <c r="E225" s="114"/>
      <c r="F225" s="106"/>
      <c r="G225" s="106"/>
      <c r="H225" s="106"/>
    </row>
    <row r="226" spans="1:8" s="113" customFormat="1" ht="21">
      <c r="A226" s="120"/>
      <c r="B226" s="117"/>
      <c r="C226" s="116"/>
      <c r="D226" s="115"/>
      <c r="E226" s="119"/>
      <c r="F226" s="106"/>
      <c r="G226" s="106"/>
      <c r="H226" s="106"/>
    </row>
    <row r="227" spans="1:8" s="113" customFormat="1" ht="21">
      <c r="A227" s="118"/>
      <c r="B227" s="117"/>
      <c r="C227" s="116"/>
      <c r="D227" s="115"/>
      <c r="E227" s="114"/>
      <c r="F227" s="106"/>
      <c r="G227" s="106"/>
      <c r="H227" s="106"/>
    </row>
    <row r="228" spans="1:8" s="113" customFormat="1" ht="21">
      <c r="A228" s="120"/>
      <c r="B228" s="117"/>
      <c r="C228" s="116"/>
      <c r="D228" s="115"/>
      <c r="E228" s="119"/>
      <c r="F228" s="106"/>
      <c r="G228" s="106"/>
      <c r="H228" s="106"/>
    </row>
    <row r="229" spans="1:8" s="113" customFormat="1" ht="21">
      <c r="A229" s="118"/>
      <c r="B229" s="117"/>
      <c r="C229" s="116"/>
      <c r="D229" s="115"/>
      <c r="E229" s="114"/>
      <c r="F229" s="106"/>
      <c r="G229" s="106"/>
      <c r="H229" s="106"/>
    </row>
    <row r="230" spans="1:8" s="113" customFormat="1" ht="21">
      <c r="A230" s="120"/>
      <c r="B230" s="117"/>
      <c r="C230" s="116"/>
      <c r="D230" s="115"/>
      <c r="E230" s="119"/>
      <c r="F230" s="106"/>
      <c r="G230" s="106"/>
      <c r="H230" s="106"/>
    </row>
    <row r="231" spans="1:8" s="113" customFormat="1" ht="21">
      <c r="A231" s="118"/>
      <c r="B231" s="117"/>
      <c r="C231" s="116"/>
      <c r="D231" s="115"/>
      <c r="E231" s="114"/>
      <c r="F231" s="106"/>
      <c r="G231" s="106"/>
      <c r="H231" s="106"/>
    </row>
    <row r="232" spans="1:8" s="113" customFormat="1" ht="21">
      <c r="A232" s="120"/>
      <c r="B232" s="117"/>
      <c r="C232" s="116"/>
      <c r="D232" s="115"/>
      <c r="E232" s="119"/>
      <c r="F232" s="106"/>
      <c r="G232" s="106"/>
      <c r="H232" s="106"/>
    </row>
    <row r="233" spans="1:8" s="113" customFormat="1" ht="21">
      <c r="A233" s="118"/>
      <c r="B233" s="117"/>
      <c r="C233" s="116"/>
      <c r="D233" s="115"/>
      <c r="E233" s="114"/>
      <c r="F233" s="106"/>
      <c r="G233" s="106"/>
      <c r="H233" s="106"/>
    </row>
    <row r="234" spans="1:8" s="113" customFormat="1" ht="21">
      <c r="A234" s="120"/>
      <c r="B234" s="117"/>
      <c r="C234" s="116"/>
      <c r="D234" s="115"/>
      <c r="E234" s="119"/>
      <c r="F234" s="106"/>
      <c r="G234" s="106"/>
      <c r="H234" s="106"/>
    </row>
    <row r="235" spans="1:8" s="113" customFormat="1" ht="21">
      <c r="A235" s="118"/>
      <c r="B235" s="117"/>
      <c r="C235" s="116"/>
      <c r="D235" s="115"/>
      <c r="E235" s="114"/>
      <c r="F235" s="106"/>
      <c r="G235" s="106"/>
      <c r="H235" s="106"/>
    </row>
    <row r="236" spans="1:8" s="113" customFormat="1" ht="21">
      <c r="A236" s="120"/>
      <c r="B236" s="117"/>
      <c r="C236" s="116"/>
      <c r="D236" s="115"/>
      <c r="E236" s="119"/>
      <c r="F236" s="106"/>
      <c r="G236" s="106"/>
      <c r="H236" s="106"/>
    </row>
    <row r="237" spans="1:8" s="113" customFormat="1" ht="21">
      <c r="A237" s="118"/>
      <c r="B237" s="117"/>
      <c r="C237" s="116"/>
      <c r="D237" s="115"/>
      <c r="E237" s="114"/>
      <c r="F237" s="106"/>
      <c r="G237" s="106"/>
      <c r="H237" s="106"/>
    </row>
    <row r="238" spans="1:8" s="113" customFormat="1" ht="21">
      <c r="A238" s="120"/>
      <c r="B238" s="117"/>
      <c r="C238" s="116"/>
      <c r="D238" s="115"/>
      <c r="E238" s="119"/>
      <c r="F238" s="106"/>
      <c r="G238" s="106"/>
      <c r="H238" s="106"/>
    </row>
    <row r="239" spans="1:8" s="113" customFormat="1" ht="21">
      <c r="A239" s="118"/>
      <c r="B239" s="117"/>
      <c r="C239" s="116"/>
      <c r="D239" s="115"/>
      <c r="E239" s="114"/>
      <c r="F239" s="106"/>
      <c r="G239" s="106"/>
      <c r="H239" s="106"/>
    </row>
    <row r="240" spans="1:8" s="113" customFormat="1" ht="21">
      <c r="A240" s="120"/>
      <c r="B240" s="117"/>
      <c r="C240" s="116"/>
      <c r="D240" s="115"/>
      <c r="E240" s="119"/>
      <c r="F240" s="106"/>
      <c r="G240" s="106"/>
      <c r="H240" s="106"/>
    </row>
    <row r="241" spans="1:8" s="113" customFormat="1" ht="21">
      <c r="A241" s="118"/>
      <c r="B241" s="117"/>
      <c r="C241" s="116"/>
      <c r="D241" s="115"/>
      <c r="E241" s="114"/>
      <c r="F241" s="106"/>
      <c r="G241" s="106"/>
      <c r="H241" s="106"/>
    </row>
    <row r="242" spans="1:8" s="113" customFormat="1" ht="21">
      <c r="A242" s="120"/>
      <c r="B242" s="117"/>
      <c r="C242" s="116"/>
      <c r="D242" s="115"/>
      <c r="E242" s="119"/>
      <c r="F242" s="106"/>
      <c r="G242" s="106"/>
      <c r="H242" s="106"/>
    </row>
    <row r="243" spans="1:8" s="113" customFormat="1" ht="21">
      <c r="A243" s="118"/>
      <c r="B243" s="117"/>
      <c r="C243" s="116"/>
      <c r="D243" s="115"/>
      <c r="E243" s="114"/>
      <c r="F243" s="106"/>
      <c r="G243" s="106"/>
      <c r="H243" s="106"/>
    </row>
    <row r="244" spans="1:8" s="113" customFormat="1" ht="21">
      <c r="A244" s="120"/>
      <c r="B244" s="117"/>
      <c r="C244" s="116"/>
      <c r="D244" s="115"/>
      <c r="E244" s="119"/>
      <c r="F244" s="106"/>
      <c r="G244" s="106"/>
      <c r="H244" s="106"/>
    </row>
    <row r="245" spans="1:8" s="113" customFormat="1" ht="21">
      <c r="A245" s="118"/>
      <c r="B245" s="117"/>
      <c r="C245" s="116"/>
      <c r="D245" s="115"/>
      <c r="E245" s="114"/>
      <c r="F245" s="106"/>
      <c r="G245" s="106"/>
      <c r="H245" s="106"/>
    </row>
    <row r="246" spans="1:8" s="113" customFormat="1" ht="21">
      <c r="A246" s="120"/>
      <c r="B246" s="117"/>
      <c r="C246" s="116"/>
      <c r="D246" s="115"/>
      <c r="E246" s="119"/>
      <c r="F246" s="106"/>
      <c r="G246" s="106"/>
      <c r="H246" s="106"/>
    </row>
    <row r="247" spans="1:8" s="113" customFormat="1" ht="21">
      <c r="A247" s="118"/>
      <c r="B247" s="117"/>
      <c r="C247" s="116"/>
      <c r="D247" s="115"/>
      <c r="E247" s="114"/>
      <c r="F247" s="106"/>
      <c r="G247" s="106"/>
      <c r="H247" s="106"/>
    </row>
    <row r="248" spans="1:8" s="113" customFormat="1" ht="21">
      <c r="A248" s="120"/>
      <c r="B248" s="117"/>
      <c r="C248" s="116"/>
      <c r="D248" s="115"/>
      <c r="E248" s="119"/>
      <c r="F248" s="106"/>
      <c r="G248" s="106"/>
      <c r="H248" s="106"/>
    </row>
    <row r="249" spans="1:8" s="113" customFormat="1" ht="21">
      <c r="A249" s="118"/>
      <c r="B249" s="117"/>
      <c r="C249" s="116"/>
      <c r="D249" s="115"/>
      <c r="E249" s="114"/>
      <c r="F249" s="106"/>
      <c r="G249" s="106"/>
      <c r="H249" s="106"/>
    </row>
    <row r="250" spans="1:8" s="113" customFormat="1" ht="21">
      <c r="A250" s="120"/>
      <c r="B250" s="117"/>
      <c r="C250" s="116"/>
      <c r="D250" s="115"/>
      <c r="E250" s="119"/>
      <c r="F250" s="106"/>
      <c r="G250" s="106"/>
      <c r="H250" s="106"/>
    </row>
    <row r="251" spans="1:8" s="113" customFormat="1" ht="21">
      <c r="A251" s="118"/>
      <c r="B251" s="117"/>
      <c r="C251" s="116"/>
      <c r="D251" s="115"/>
      <c r="E251" s="114"/>
      <c r="F251" s="106"/>
      <c r="G251" s="106"/>
      <c r="H251" s="106"/>
    </row>
    <row r="252" spans="1:8" s="113" customFormat="1" ht="21">
      <c r="A252" s="120"/>
      <c r="B252" s="117"/>
      <c r="C252" s="116"/>
      <c r="D252" s="115"/>
      <c r="E252" s="119"/>
      <c r="F252" s="106"/>
      <c r="G252" s="106"/>
      <c r="H252" s="106"/>
    </row>
    <row r="253" spans="1:8" s="113" customFormat="1" ht="21">
      <c r="A253" s="118"/>
      <c r="B253" s="117"/>
      <c r="C253" s="116"/>
      <c r="D253" s="115"/>
      <c r="E253" s="114"/>
      <c r="F253" s="106"/>
      <c r="G253" s="106"/>
      <c r="H253" s="106"/>
    </row>
    <row r="254" spans="1:8" s="113" customFormat="1" ht="21">
      <c r="A254" s="120"/>
      <c r="B254" s="117"/>
      <c r="C254" s="116"/>
      <c r="D254" s="115"/>
      <c r="E254" s="119"/>
      <c r="F254" s="106"/>
      <c r="G254" s="106"/>
      <c r="H254" s="106"/>
    </row>
    <row r="255" spans="1:8" s="113" customFormat="1" ht="21">
      <c r="A255" s="118"/>
      <c r="B255" s="117"/>
      <c r="C255" s="116"/>
      <c r="D255" s="115"/>
      <c r="E255" s="114"/>
      <c r="F255" s="106"/>
      <c r="G255" s="106"/>
      <c r="H255" s="106"/>
    </row>
    <row r="256" spans="1:8" s="113" customFormat="1" ht="21">
      <c r="A256" s="120"/>
      <c r="B256" s="117"/>
      <c r="C256" s="116"/>
      <c r="D256" s="115"/>
      <c r="E256" s="119"/>
      <c r="F256" s="106"/>
      <c r="G256" s="106"/>
      <c r="H256" s="106"/>
    </row>
    <row r="257" spans="1:8" s="113" customFormat="1" ht="21">
      <c r="A257" s="118"/>
      <c r="B257" s="117"/>
      <c r="C257" s="116"/>
      <c r="D257" s="115"/>
      <c r="E257" s="114"/>
      <c r="F257" s="106"/>
      <c r="G257" s="106"/>
      <c r="H257" s="106"/>
    </row>
    <row r="258" spans="1:8" s="113" customFormat="1" ht="21">
      <c r="A258" s="120"/>
      <c r="B258" s="117"/>
      <c r="C258" s="116"/>
      <c r="D258" s="115"/>
      <c r="E258" s="119"/>
      <c r="F258" s="106"/>
      <c r="G258" s="106"/>
      <c r="H258" s="106"/>
    </row>
    <row r="259" spans="1:8" s="113" customFormat="1" ht="21">
      <c r="A259" s="118"/>
      <c r="B259" s="117"/>
      <c r="C259" s="116"/>
      <c r="D259" s="115"/>
      <c r="E259" s="114"/>
      <c r="F259" s="106"/>
      <c r="G259" s="106"/>
      <c r="H259" s="106"/>
    </row>
    <row r="260" spans="1:8" s="113" customFormat="1" ht="21">
      <c r="A260" s="120"/>
      <c r="B260" s="117"/>
      <c r="C260" s="116"/>
      <c r="D260" s="115"/>
      <c r="E260" s="119"/>
      <c r="F260" s="106"/>
      <c r="G260" s="106"/>
      <c r="H260" s="106"/>
    </row>
    <row r="261" spans="1:8" s="113" customFormat="1" ht="21">
      <c r="A261" s="118"/>
      <c r="B261" s="117"/>
      <c r="C261" s="116"/>
      <c r="D261" s="115"/>
      <c r="E261" s="114"/>
      <c r="F261" s="106"/>
      <c r="G261" s="106"/>
      <c r="H261" s="106"/>
    </row>
    <row r="262" spans="1:8" s="113" customFormat="1" ht="21">
      <c r="A262" s="120"/>
      <c r="B262" s="117"/>
      <c r="C262" s="116"/>
      <c r="D262" s="115"/>
      <c r="E262" s="119"/>
      <c r="F262" s="106"/>
      <c r="G262" s="106"/>
      <c r="H262" s="106"/>
    </row>
    <row r="263" spans="1:8" s="113" customFormat="1" ht="21">
      <c r="A263" s="118"/>
      <c r="B263" s="117"/>
      <c r="C263" s="116"/>
      <c r="D263" s="115"/>
      <c r="E263" s="114"/>
      <c r="F263" s="106"/>
      <c r="G263" s="106"/>
      <c r="H263" s="106"/>
    </row>
    <row r="264" spans="1:8" s="113" customFormat="1" ht="21">
      <c r="A264" s="120"/>
      <c r="B264" s="117"/>
      <c r="C264" s="116"/>
      <c r="D264" s="115"/>
      <c r="E264" s="119"/>
      <c r="F264" s="106"/>
      <c r="G264" s="106"/>
      <c r="H264" s="106"/>
    </row>
    <row r="265" spans="1:8" s="113" customFormat="1" ht="21">
      <c r="A265" s="118"/>
      <c r="B265" s="117"/>
      <c r="C265" s="116"/>
      <c r="D265" s="115"/>
      <c r="E265" s="114"/>
      <c r="F265" s="106"/>
      <c r="G265" s="106"/>
      <c r="H265" s="106"/>
    </row>
    <row r="266" spans="1:8" s="113" customFormat="1" ht="21">
      <c r="A266" s="120"/>
      <c r="B266" s="117"/>
      <c r="C266" s="116"/>
      <c r="D266" s="115"/>
      <c r="E266" s="119"/>
      <c r="F266" s="106"/>
      <c r="G266" s="106"/>
      <c r="H266" s="106"/>
    </row>
    <row r="267" spans="1:8" s="113" customFormat="1" ht="21">
      <c r="A267" s="118"/>
      <c r="B267" s="117"/>
      <c r="C267" s="116"/>
      <c r="D267" s="115"/>
      <c r="E267" s="114"/>
      <c r="F267" s="106"/>
      <c r="G267" s="106"/>
      <c r="H267" s="106"/>
    </row>
    <row r="268" spans="1:8" s="113" customFormat="1" ht="21">
      <c r="A268" s="120"/>
      <c r="B268" s="117"/>
      <c r="C268" s="116"/>
      <c r="D268" s="115"/>
      <c r="E268" s="119"/>
      <c r="F268" s="106"/>
      <c r="G268" s="106"/>
      <c r="H268" s="106"/>
    </row>
    <row r="269" spans="1:8" s="113" customFormat="1" ht="21">
      <c r="A269" s="118"/>
      <c r="B269" s="117"/>
      <c r="C269" s="116"/>
      <c r="D269" s="115"/>
      <c r="E269" s="114"/>
      <c r="F269" s="106"/>
      <c r="G269" s="106"/>
      <c r="H269" s="106"/>
    </row>
    <row r="270" spans="1:8" s="113" customFormat="1" ht="21">
      <c r="A270" s="120"/>
      <c r="B270" s="117"/>
      <c r="C270" s="116"/>
      <c r="D270" s="115"/>
      <c r="E270" s="119"/>
      <c r="F270" s="106"/>
      <c r="G270" s="106"/>
      <c r="H270" s="106"/>
    </row>
    <row r="271" spans="1:8" s="113" customFormat="1" ht="21">
      <c r="A271" s="118"/>
      <c r="B271" s="117"/>
      <c r="C271" s="116"/>
      <c r="D271" s="115"/>
      <c r="E271" s="114"/>
      <c r="F271" s="106"/>
      <c r="G271" s="106"/>
      <c r="H271" s="106"/>
    </row>
    <row r="272" spans="1:8" s="113" customFormat="1" ht="21">
      <c r="A272" s="120"/>
      <c r="B272" s="117"/>
      <c r="C272" s="116"/>
      <c r="D272" s="115"/>
      <c r="E272" s="119"/>
      <c r="F272" s="106"/>
      <c r="G272" s="106"/>
      <c r="H272" s="106"/>
    </row>
    <row r="273" spans="1:8" s="113" customFormat="1" ht="21">
      <c r="A273" s="118"/>
      <c r="B273" s="117"/>
      <c r="C273" s="116"/>
      <c r="D273" s="115"/>
      <c r="E273" s="114"/>
      <c r="F273" s="106"/>
      <c r="G273" s="106"/>
      <c r="H273" s="106"/>
    </row>
    <row r="274" spans="1:8" s="113" customFormat="1" ht="21">
      <c r="A274" s="120"/>
      <c r="B274" s="117"/>
      <c r="C274" s="116"/>
      <c r="D274" s="115"/>
      <c r="E274" s="119"/>
      <c r="F274" s="106"/>
      <c r="G274" s="106"/>
      <c r="H274" s="106"/>
    </row>
    <row r="275" spans="1:8" s="113" customFormat="1" ht="21">
      <c r="A275" s="118"/>
      <c r="B275" s="117"/>
      <c r="C275" s="116"/>
      <c r="D275" s="115"/>
      <c r="E275" s="114"/>
      <c r="F275" s="106"/>
      <c r="G275" s="106"/>
      <c r="H275" s="106"/>
    </row>
    <row r="276" spans="1:8" s="108" customFormat="1">
      <c r="A276" s="110"/>
      <c r="B276" s="112"/>
      <c r="C276" s="110"/>
      <c r="D276" s="111"/>
      <c r="E276" s="110"/>
      <c r="F276" s="109"/>
      <c r="G276" s="109"/>
      <c r="H276" s="109"/>
    </row>
  </sheetData>
  <mergeCells count="7">
    <mergeCell ref="H3:H4"/>
    <mergeCell ref="B17:C17"/>
    <mergeCell ref="A1:E1"/>
    <mergeCell ref="A3:C4"/>
    <mergeCell ref="D3:D4"/>
    <mergeCell ref="E3:E4"/>
    <mergeCell ref="F3:G3"/>
  </mergeCells>
  <pageMargins left="0.2" right="0.21" top="0.75" bottom="0.75" header="0.3" footer="0.3"/>
  <pageSetup paperSize="9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เครื่องจักรกล Interface</vt:lpstr>
      <vt:lpstr>กีฬา Interface</vt:lpstr>
      <vt:lpstr>โรงงานเครื่องมือ Interface</vt:lpstr>
      <vt:lpstr>ดนตรี Interface)</vt:lpstr>
      <vt:lpstr>การศึกษา Interface</vt:lpstr>
      <vt:lpstr>สิ่งก่อสร้างเครื่องจักรกลInf</vt:lpstr>
      <vt:lpstr>'การศึกษา Interface'!Print_Area</vt:lpstr>
      <vt:lpstr>'กีฬา Interface'!Print_Area</vt:lpstr>
      <vt:lpstr>'เครื่องจักรกล Interface'!Print_Area</vt:lpstr>
      <vt:lpstr>'ดนตรี Interface)'!Print_Area</vt:lpstr>
      <vt:lpstr>'โรงงานเครื่องมือ Interface'!Print_Area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2026-10-08T07:27:32Z</dcterms:created>
  <dcterms:modified xsi:type="dcterms:W3CDTF">2026-10-10T08:18:14Z</dcterms:modified>
</cp:coreProperties>
</file>