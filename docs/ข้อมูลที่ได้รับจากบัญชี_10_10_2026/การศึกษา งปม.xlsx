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การศึกษา งปม." sheetId="1" r:id="rId1"/>
  </sheets>
  <definedNames>
    <definedName name="_xlnm._FilterDatabase" localSheetId="0" hidden="1">'การศึกษา งปม.'!$A$5:$F$5</definedName>
    <definedName name="_xlnm.Print_Area" localSheetId="0">'การศึกษา งปม.'!$A$2:$M$19</definedName>
  </definedNames>
  <calcPr calcId="124519"/>
</workbook>
</file>

<file path=xl/calcChain.xml><?xml version="1.0" encoding="utf-8"?>
<calcChain xmlns="http://schemas.openxmlformats.org/spreadsheetml/2006/main">
  <c r="J6" i="1"/>
  <c r="K6"/>
  <c r="L6" s="1"/>
  <c r="M6"/>
  <c r="J7"/>
  <c r="K7"/>
  <c r="L7" s="1"/>
  <c r="M7"/>
  <c r="J8"/>
  <c r="K8"/>
  <c r="L8" s="1"/>
  <c r="M8"/>
  <c r="J9"/>
  <c r="K9"/>
  <c r="L9" s="1"/>
  <c r="M9"/>
  <c r="J10"/>
  <c r="K10"/>
  <c r="L10" s="1"/>
  <c r="M10"/>
  <c r="J11"/>
  <c r="K11"/>
  <c r="L11" s="1"/>
  <c r="M11"/>
  <c r="J12"/>
  <c r="K12"/>
  <c r="L12" s="1"/>
  <c r="M12"/>
  <c r="J13"/>
  <c r="K13"/>
  <c r="L13" s="1"/>
  <c r="M13"/>
  <c r="J14"/>
  <c r="K14"/>
  <c r="L14" s="1"/>
  <c r="M14"/>
  <c r="J15"/>
  <c r="K15"/>
  <c r="L15" s="1"/>
  <c r="M15"/>
  <c r="J16"/>
  <c r="K16"/>
  <c r="L16" s="1"/>
  <c r="M16"/>
  <c r="J17"/>
  <c r="K17"/>
  <c r="L17" s="1"/>
  <c r="M17"/>
  <c r="J18"/>
  <c r="K18"/>
  <c r="L18" s="1"/>
  <c r="M18"/>
  <c r="J19"/>
  <c r="K19"/>
  <c r="L19" s="1"/>
  <c r="M19"/>
  <c r="E38"/>
  <c r="F38"/>
  <c r="G38"/>
  <c r="H38"/>
  <c r="I38"/>
  <c r="E42"/>
  <c r="F42"/>
  <c r="G42"/>
  <c r="H42"/>
</calcChain>
</file>

<file path=xl/sharedStrings.xml><?xml version="1.0" encoding="utf-8"?>
<sst xmlns="http://schemas.openxmlformats.org/spreadsheetml/2006/main" count="106" uniqueCount="99">
  <si>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</si>
  <si>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</si>
  <si>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</si>
  <si>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</si>
  <si>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</si>
  <si>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6530-001-1318/24(69)</t>
  </si>
  <si>
    <t>หุ่นจำลองการฝึกการช่วยผู้ป่วยสำลัก ผู้ใหญ่</t>
  </si>
  <si>
    <t>6530-001-1318/23(69)</t>
  </si>
  <si>
    <t>6530-001-1318/26(69)</t>
  </si>
  <si>
    <t>หุ่นจำลองการฝึกการช่วยผู้ป่วยสำลัก เด็ก</t>
  </si>
  <si>
    <t>6530-001-1318/25(69)</t>
  </si>
  <si>
    <t>6530-001-1318/29(69)</t>
  </si>
  <si>
    <t>หุ่นฝึกการฉีดยาชาบริเวณนิ้วการและการถอดเล็บ</t>
  </si>
  <si>
    <t>6530-001-1318/28(69)</t>
  </si>
  <si>
    <t>ALS with evaluation and feedback ระบบจำลองสถานการณ์ทางการแพทย์เสมือนจริงเพื่อฝึกทักษะชนิดไร้สาย</t>
  </si>
  <si>
    <t>6530-001-1318/27(69)</t>
  </si>
  <si>
    <t>หุ่นฝึกการตรวจต่อมลูกหมากและทวารหนัก</t>
  </si>
  <si>
    <t>6530-001-1318/4(68)</t>
  </si>
  <si>
    <t>110000481788</t>
  </si>
  <si>
    <t>6530-001-1318/3(68)</t>
  </si>
  <si>
    <t>110000449025</t>
  </si>
  <si>
    <t>หุ่นฝึกการกู้ชีพขั้นพื้นฐานทารก(Resusci Baby First Aid)</t>
  </si>
  <si>
    <t>6530-001-1318/1(68)</t>
  </si>
  <si>
    <t>110000385269</t>
  </si>
  <si>
    <t>หุ่นฝึกฟังเสียงหัวใจและปอด</t>
  </si>
  <si>
    <t>6530-001-1318/2(68)</t>
  </si>
  <si>
    <t>110000385279</t>
  </si>
  <si>
    <t>หุ่นจำลองการวินิฉัยความผิดปกติในรูหูแบบดิจิตอล</t>
  </si>
  <si>
    <t>6530-001-1318/6(67)</t>
  </si>
  <si>
    <t>110000278647</t>
  </si>
  <si>
    <t>หุ่นฝึกสายสวนหลอดเลือดดำส่วนกลาง</t>
  </si>
  <si>
    <t>6530-001-1318/5(67)</t>
  </si>
  <si>
    <t>110000278633</t>
  </si>
  <si>
    <t>หุ่นฝึกการใส่ท่อช่วยหายใจผู้ใหญ่</t>
  </si>
  <si>
    <t>6530-001-1318/4(67)</t>
  </si>
  <si>
    <t>110000195295</t>
  </si>
  <si>
    <t>หุ่นฝึกเจาะข้อเข่า Aspiration</t>
  </si>
  <si>
    <t>6530-001-1318/1(67)</t>
  </si>
  <si>
    <t>หุ่นฝึกการดูแลความผิดปกติของผนังหน้าท้องทารก(Gastroschisis และ Omphalocele)</t>
  </si>
  <si>
    <t>6530-001-1318/9(66)</t>
  </si>
  <si>
    <t>110000058383</t>
  </si>
  <si>
    <t>หุ่นจำลองฝึกฟังเสียงหัวใจและเสียงหายใจ แบบฝึกใส่ท่อช่วยหายใจได้</t>
  </si>
  <si>
    <t>6530-001-1318/1(64)</t>
  </si>
  <si>
    <t>100000423806</t>
  </si>
  <si>
    <t>หุ่นฝึกทักษะด้านการตรวจวินิจฉัยโรคด้วยเครื่องอัลตร้าซาวน์จำลอง ยี่ห้อ Sonosim รุ่น SonoSim</t>
  </si>
  <si>
    <t>6530-001-1318/9(62)</t>
  </si>
  <si>
    <t>100000314948</t>
  </si>
  <si>
    <t>ชนิด 1200044 ระบบจำลองสถานการณ์ทางการแพทย์เสมือนจริงเพื่อฝึกทักษะชนิดไร้สาย</t>
  </si>
  <si>
    <t>6530-001-1318/2(61)</t>
  </si>
  <si>
    <t>100000257404</t>
  </si>
  <si>
    <t>ชนิด 1200044 หุ่นฝึกการตรวจภายใน ยี่ห้อ Model-med รุ่น MM-02 (งปม.)</t>
  </si>
  <si>
    <t>6530-001-1318/1(61)</t>
  </si>
  <si>
    <t>100000257403</t>
  </si>
  <si>
    <t>ชนิด 1200044 หุ่นฝึกการตรวจด้วยเครื่องอัลตราซาวด์ (งปม.)</t>
  </si>
  <si>
    <t>6530-001-1318/25(60)</t>
  </si>
  <si>
    <t>100000234546</t>
  </si>
  <si>
    <t>ชนิด 1200044 หุ่นเจาะหลังสำหรับเด็ก ยี่ห้อ NASCO/SIMULAIDS รุ่น R11031</t>
  </si>
  <si>
    <t>6530-001-1318/24(60)</t>
  </si>
  <si>
    <t>100000233545</t>
  </si>
  <si>
    <t>ชนิด 1200044 หุ่นสอนฝึกตรวจต่อมลูกหมากและตรวจทวารหนัก</t>
  </si>
  <si>
    <t>6530-001-1318/20(58)</t>
  </si>
  <si>
    <t>1000002202558</t>
  </si>
  <si>
    <t>ชนิด 1200044 หุ่นจำลองกะโหลกศีรษะใสและสมอง 3B BONELKE Sys Skul-Didactic Deluxe Skull,7 pa (งปม.28/1/2558)</t>
  </si>
  <si>
    <t>6530-001-1318/8(57)</t>
  </si>
  <si>
    <t>100000179468</t>
  </si>
  <si>
    <t>ชนิด 1200071 หุ่นฝึกทำคลอดพร้อมอุปกรณ์ดันศีรษะเด็ก (งปม.3/3/2557)</t>
  </si>
  <si>
    <t>6530-001-1318/9(57)</t>
  </si>
  <si>
    <t>100000179467</t>
  </si>
  <si>
    <t>ชนิด 1200071 หุ่นฝึกใส่ท่อ NG (งปม.3/3/2557)</t>
  </si>
  <si>
    <t>6530-001-1318/15(57)</t>
  </si>
  <si>
    <t>100000179459</t>
  </si>
  <si>
    <t>ชนิด 1200071 หุ่นฝึกการตรวจเต้านมมีพยาธิ (งปม.3/3/2557)</t>
  </si>
  <si>
    <t>6530-001-1318/14(57)</t>
  </si>
  <si>
    <t>100000179458</t>
  </si>
  <si>
    <t>ชนิด 1200071 หุ่นฝึกการตรวจข้อมือ (งปม.3/3/2557)</t>
  </si>
  <si>
    <t>6530-001-1318/13(57)</t>
  </si>
  <si>
    <t>100000179457</t>
  </si>
  <si>
    <t>ชนิด 1200071 หุ่นฝึกการช่วยชีวิตพื้นฐาน (BLS) ผู้ใหญ่ ชนิดเต็มตัว (งปม.3/3/2557)</t>
  </si>
  <si>
    <t>6530-001-1318/12(57)</t>
  </si>
  <si>
    <t>100000179456</t>
  </si>
  <si>
    <t>ชนิด 1200071 หุ่นจำลองเชิงกรานสตรี (งปม.3/3/2557)</t>
  </si>
  <si>
    <t>6530-001-1318/11(57)</t>
  </si>
  <si>
    <t>100000179462</t>
  </si>
  <si>
    <t>ชนิด 1200071 หุ่นจำลองกล้ามเนื้อแขนและรอบหัวไหล่ (งปม.3/3/2557)</t>
  </si>
  <si>
    <t>6530-001-1318/10(57)</t>
  </si>
  <si>
    <t>100000179461</t>
  </si>
  <si>
    <t>ชนิด 1200071 หุ่นจำลองกล้ามเนื้อขาและกระดูกเชิงกราน (งปม.3/3/2557)</t>
  </si>
  <si>
    <t>6730-002-0005/1(55)</t>
  </si>
  <si>
    <t>ชนิด 1400001 กระดานอิเล็คทรอนิกส์ (งปม.1/10/2555)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</si>
  <si>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</si>
  <si>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</si>
  <si>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</si>
  <si>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</si>
  <si>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</si>
  <si>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</si>
  <si>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</si>
  <si>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</si>
  <si>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ประเภทครุภัณฑ์ การศึกษา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</si>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</sst>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3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sz val="10"/>
      <color indexed="8"/>
      <name val="Arial"/>
      <family val="2"/>
    </font>
    <font>
      <b/>
      <sz val="14"/>
      <name val="Angsana New"/>
      <family val="1"/>
    </font>
    <font>
      <sz val="14"/>
      <name val="Angsana New"/>
      <family val="1"/>
    </font>
    <font>
      <sz val="14"/>
      <color rgb="FFFF0000"/>
      <name val="Angsana New"/>
      <family val="1"/>
    </font>
    <font>
      <sz val="14"/>
      <color theme="1"/>
      <name val="Angsana New"/>
      <family val="1"/>
    </font>
    <font>
      <b/>
      <sz val="14"/>
      <color rgb="FFFF000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7" fillId="0" borderId="0">
      <alignment vertical="top"/>
    </xf>
    <xf numFmtId="0" fontId="7" fillId="0" borderId="0">
      <alignment vertical="top"/>
    </xf>
    <xf numFmtId="0" fontId="1" fillId="0" borderId="0"/>
    <xf numFmtId="0" fontId="1" fillId="0" borderId="0"/>
  </cellStyleXfs>
  <cellXfs count="52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1" applyFont="1" applyFill="1"/>
    <xf numFmtId="0" fontId="2" fillId="0" borderId="0" xfId="0" applyFont="1" applyAlignment="1">
      <alignment horizontal="center"/>
    </xf>
    <xf numFmtId="0" fontId="2" fillId="0" borderId="0" xfId="0" applyFont="1" applyAlignment="1"/>
    <xf numFmtId="43" fontId="3" fillId="0" borderId="0" xfId="1" applyFont="1"/>
    <xf numFmtId="43" fontId="3" fillId="0" borderId="0" xfId="0" applyNumberFormat="1" applyFont="1"/>
    <xf numFmtId="43" fontId="3" fillId="0" borderId="0" xfId="1" applyFont="1" applyFill="1"/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1" xfId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/>
    <xf numFmtId="0" fontId="5" fillId="0" borderId="1" xfId="3" applyFont="1" applyFill="1" applyBorder="1" applyAlignment="1">
      <alignment horizontal="center"/>
    </xf>
    <xf numFmtId="43" fontId="6" fillId="0" borderId="1" xfId="4" applyFont="1" applyFill="1" applyBorder="1"/>
    <xf numFmtId="0" fontId="5" fillId="0" borderId="1" xfId="3" applyFont="1" applyFill="1" applyBorder="1"/>
    <xf numFmtId="0" fontId="5" fillId="0" borderId="2" xfId="3" applyFont="1" applyFill="1" applyBorder="1" applyAlignment="1"/>
    <xf numFmtId="0" fontId="8" fillId="0" borderId="1" xfId="5" applyFont="1" applyFill="1" applyBorder="1" applyAlignment="1">
      <alignment horizontal="left" vertical="top"/>
    </xf>
    <xf numFmtId="43" fontId="6" fillId="0" borderId="1" xfId="6" applyFont="1" applyFill="1" applyBorder="1"/>
    <xf numFmtId="0" fontId="2" fillId="0" borderId="1" xfId="3" applyFont="1" applyFill="1" applyBorder="1"/>
    <xf numFmtId="43" fontId="2" fillId="0" borderId="1" xfId="1" quotePrefix="1" applyFont="1" applyFill="1" applyBorder="1" applyAlignment="1">
      <alignment horizontal="left"/>
    </xf>
    <xf numFmtId="43" fontId="6" fillId="0" borderId="1" xfId="7" applyFont="1" applyFill="1" applyBorder="1"/>
    <xf numFmtId="43" fontId="6" fillId="0" borderId="1" xfId="8" applyFont="1" applyFill="1" applyBorder="1"/>
    <xf numFmtId="0" fontId="5" fillId="0" borderId="1" xfId="9" applyFont="1" applyFill="1" applyBorder="1" applyAlignment="1">
      <alignment horizontal="center"/>
    </xf>
    <xf numFmtId="43" fontId="6" fillId="0" borderId="1" xfId="10" applyFont="1" applyFill="1" applyBorder="1"/>
    <xf numFmtId="0" fontId="2" fillId="0" borderId="1" xfId="9" applyFont="1" applyFill="1" applyBorder="1"/>
    <xf numFmtId="43" fontId="6" fillId="0" borderId="1" xfId="11" applyFont="1" applyFill="1" applyBorder="1"/>
    <xf numFmtId="43" fontId="6" fillId="0" borderId="1" xfId="12" applyFont="1" applyFill="1" applyBorder="1"/>
    <xf numFmtId="0" fontId="2" fillId="0" borderId="1" xfId="13" applyFont="1" applyFill="1" applyBorder="1"/>
    <xf numFmtId="0" fontId="9" fillId="0" borderId="1" xfId="14" applyFont="1" applyFill="1" applyBorder="1" applyAlignment="1">
      <alignment horizontal="center"/>
    </xf>
    <xf numFmtId="43" fontId="10" fillId="0" borderId="1" xfId="4" applyFont="1" applyFill="1" applyBorder="1" applyAlignment="1">
      <alignment vertical="center"/>
    </xf>
    <xf numFmtId="0" fontId="11" fillId="0" borderId="1" xfId="14" applyFont="1" applyFill="1" applyBorder="1" applyAlignment="1">
      <alignment vertical="center"/>
    </xf>
    <xf numFmtId="43" fontId="6" fillId="0" borderId="1" xfId="15" applyFont="1" applyFill="1" applyBorder="1"/>
    <xf numFmtId="0" fontId="8" fillId="0" borderId="1" xfId="14" applyFont="1" applyFill="1" applyBorder="1" applyAlignment="1">
      <alignment horizontal="center"/>
    </xf>
    <xf numFmtId="4" fontId="12" fillId="0" borderId="1" xfId="14" applyNumberFormat="1" applyFont="1" applyFill="1" applyBorder="1"/>
    <xf numFmtId="0" fontId="8" fillId="0" borderId="1" xfId="14" applyFont="1" applyFill="1" applyBorder="1" applyAlignment="1">
      <alignment horizontal="left"/>
    </xf>
    <xf numFmtId="43" fontId="2" fillId="0" borderId="1" xfId="0" applyNumberFormat="1" applyFont="1" applyBorder="1"/>
    <xf numFmtId="43" fontId="2" fillId="0" borderId="2" xfId="0" applyNumberFormat="1" applyFont="1" applyBorder="1"/>
    <xf numFmtId="0" fontId="5" fillId="0" borderId="1" xfId="1" applyNumberFormat="1" applyFont="1" applyFill="1" applyBorder="1" applyAlignment="1">
      <alignment horizontal="center"/>
    </xf>
    <xf numFmtId="43" fontId="5" fillId="0" borderId="1" xfId="1" applyFont="1" applyFill="1" applyBorder="1"/>
    <xf numFmtId="43" fontId="2" fillId="0" borderId="1" xfId="1" applyFont="1" applyFill="1" applyBorder="1" applyAlignment="1">
      <alignment horizontal="left"/>
    </xf>
    <xf numFmtId="4" fontId="5" fillId="0" borderId="1" xfId="0" applyNumberFormat="1" applyFont="1" applyFill="1" applyBorder="1"/>
    <xf numFmtId="43" fontId="2" fillId="0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43" fontId="2" fillId="2" borderId="0" xfId="2" applyFont="1" applyFill="1" applyBorder="1" applyAlignment="1">
      <alignment horizontal="center"/>
    </xf>
  </cellXfs>
  <cellStyles count="26">
    <cellStyle name="Comma" xfId="1" builtinId="3"/>
    <cellStyle name="Comma 2" xfId="15"/>
    <cellStyle name="Comma 3" xfId="16"/>
    <cellStyle name="Comma 5" xfId="6"/>
    <cellStyle name="Comma 6" xfId="10"/>
    <cellStyle name="Normal" xfId="0" builtinId="0"/>
    <cellStyle name="Normal 2" xfId="9"/>
    <cellStyle name="Normal 2 2" xfId="17"/>
    <cellStyle name="เครื่องหมายจุลภาค 2" xfId="2"/>
    <cellStyle name="จุลภาค 11 3" xfId="11"/>
    <cellStyle name="จุลภาค 13" xfId="18"/>
    <cellStyle name="จุลภาค 2" xfId="4"/>
    <cellStyle name="จุลภาค 2 2" xfId="12"/>
    <cellStyle name="จุลภาค 3" xfId="19"/>
    <cellStyle name="จุลภาค 4" xfId="8"/>
    <cellStyle name="จุลภาค 7" xfId="7"/>
    <cellStyle name="ปกติ 11" xfId="20"/>
    <cellStyle name="ปกติ 12" xfId="21"/>
    <cellStyle name="ปกติ 2" xfId="5"/>
    <cellStyle name="ปกติ 2 2" xfId="22"/>
    <cellStyle name="ปกติ 3" xfId="23"/>
    <cellStyle name="ปกติ 3 2" xfId="3"/>
    <cellStyle name="ปกติ 3 2 2" xfId="24"/>
    <cellStyle name="ปกติ 4" xfId="14"/>
    <cellStyle name="ปกติ 7" xfId="13"/>
    <cellStyle name="ปกติ 8" xf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Q42"/>
  <sheetViews>
    <sheetView tabSelected="1" topLeftCell="A23" zoomScaleSheetLayoutView="90" workbookViewId="0">
      <selection activeCell="E42" sqref="E42"/>
    </sheetView>
  </sheetViews>
  <sheetFormatPr defaultColWidth="9" defaultRowHeight="23.25"/>
  <cols>
    <col min="1" max="1" width="9" style="1"/>
    <col min="2" max="2" width="48.25" style="1" customWidth="1"/>
    <col min="3" max="3" width="17.75" style="5" customWidth="1"/>
    <col min="4" max="4" width="22.5" style="4" customWidth="1"/>
    <col min="5" max="5" width="14.875" style="3" customWidth="1"/>
    <col min="6" max="6" width="13.125" style="1" customWidth="1"/>
    <col min="7" max="7" width="12.25" style="2" customWidth="1"/>
    <col min="8" max="8" width="12.625" style="2" customWidth="1"/>
    <col min="9" max="9" width="11.875" style="2" customWidth="1"/>
    <col min="10" max="10" width="11.875" style="1" hidden="1" customWidth="1"/>
    <col min="11" max="12" width="12" style="1" hidden="1" customWidth="1"/>
    <col min="13" max="13" width="9" style="1" hidden="1" customWidth="1"/>
    <col min="14" max="16384" width="9" style="1"/>
  </cols>
  <sheetData>
    <row r="1" spans="1:13" hidden="1"/>
    <row r="2" spans="1:13">
      <c r="A2" s="50" t="s">
        <v>98</v>
      </c>
      <c r="B2" s="50"/>
      <c r="C2" s="50"/>
      <c r="D2" s="50"/>
      <c r="E2" s="50"/>
      <c r="F2" s="50"/>
    </row>
    <row r="3" spans="1:13">
      <c r="A3" s="4"/>
      <c r="B3" s="4"/>
      <c r="E3" s="4"/>
      <c r="F3" s="4"/>
    </row>
    <row r="4" spans="1:13">
      <c r="B4" s="1" t="s">
        <v>97</v>
      </c>
      <c r="E4" s="1"/>
    </row>
    <row r="5" spans="1:13">
      <c r="A5" s="48" t="s">
        <v>96</v>
      </c>
      <c r="B5" s="48" t="s">
        <v>95</v>
      </c>
      <c r="C5" s="49"/>
      <c r="D5" s="48" t="s">
        <v>94</v>
      </c>
      <c r="E5" s="44" t="s">
        <v>4</v>
      </c>
      <c r="F5" s="47" t="s">
        <v>93</v>
      </c>
      <c r="G5" s="46" t="s">
        <v>92</v>
      </c>
      <c r="H5" s="46" t="s">
        <v>91</v>
      </c>
      <c r="I5" s="46" t="s">
        <v>90</v>
      </c>
      <c r="J5" s="45" t="s">
        <v>92</v>
      </c>
      <c r="K5" s="45" t="s">
        <v>91</v>
      </c>
      <c r="L5" s="45" t="s">
        <v>90</v>
      </c>
      <c r="M5" s="45" t="s">
        <v>89</v>
      </c>
    </row>
    <row r="6" spans="1:13">
      <c r="A6" s="12">
        <v>1</v>
      </c>
      <c r="B6" s="19" t="s">
        <v>88</v>
      </c>
      <c r="C6" s="14"/>
      <c r="D6" s="42" t="s">
        <v>87</v>
      </c>
      <c r="E6" s="11">
        <v>89000</v>
      </c>
      <c r="F6" s="40">
        <v>3</v>
      </c>
      <c r="G6" s="11">
        <v>0</v>
      </c>
      <c r="H6" s="11">
        <v>88999</v>
      </c>
      <c r="I6" s="11">
        <v>1</v>
      </c>
      <c r="J6" s="39">
        <f t="shared" ref="J6:J15" si="0">G6</f>
        <v>0</v>
      </c>
      <c r="K6" s="38">
        <f t="shared" ref="K6:K15" si="1">H6-G6</f>
        <v>88999</v>
      </c>
      <c r="L6" s="38" t="e">
        <f>#REF!-K6</f>
        <v>#REF!</v>
      </c>
      <c r="M6" s="38">
        <f t="shared" ref="M6:M19" si="2">J6</f>
        <v>0</v>
      </c>
    </row>
    <row r="7" spans="1:13">
      <c r="A7" s="12">
        <v>2</v>
      </c>
      <c r="B7" s="19" t="s">
        <v>86</v>
      </c>
      <c r="C7" s="22" t="s">
        <v>85</v>
      </c>
      <c r="D7" s="42" t="s">
        <v>84</v>
      </c>
      <c r="E7" s="44">
        <v>40000</v>
      </c>
      <c r="F7" s="40">
        <v>3</v>
      </c>
      <c r="G7" s="11">
        <v>0</v>
      </c>
      <c r="H7" s="11">
        <v>39999</v>
      </c>
      <c r="I7" s="11">
        <v>1</v>
      </c>
      <c r="J7" s="39">
        <f t="shared" si="0"/>
        <v>0</v>
      </c>
      <c r="K7" s="38">
        <f t="shared" si="1"/>
        <v>39999</v>
      </c>
      <c r="L7" s="38">
        <f t="shared" ref="L7:L15" si="3">E7-K7</f>
        <v>1</v>
      </c>
      <c r="M7" s="38">
        <f t="shared" si="2"/>
        <v>0</v>
      </c>
    </row>
    <row r="8" spans="1:13">
      <c r="A8" s="12">
        <v>3</v>
      </c>
      <c r="B8" s="19" t="s">
        <v>83</v>
      </c>
      <c r="C8" s="22" t="s">
        <v>82</v>
      </c>
      <c r="D8" s="42" t="s">
        <v>81</v>
      </c>
      <c r="E8" s="44">
        <v>45000</v>
      </c>
      <c r="F8" s="40">
        <v>3</v>
      </c>
      <c r="G8" s="11">
        <v>0</v>
      </c>
      <c r="H8" s="11">
        <v>44999</v>
      </c>
      <c r="I8" s="11">
        <v>1</v>
      </c>
      <c r="J8" s="39">
        <f t="shared" si="0"/>
        <v>0</v>
      </c>
      <c r="K8" s="38">
        <f t="shared" si="1"/>
        <v>44999</v>
      </c>
      <c r="L8" s="38">
        <f t="shared" si="3"/>
        <v>1</v>
      </c>
      <c r="M8" s="38">
        <f t="shared" si="2"/>
        <v>0</v>
      </c>
    </row>
    <row r="9" spans="1:13">
      <c r="A9" s="12">
        <v>4</v>
      </c>
      <c r="B9" s="19" t="s">
        <v>80</v>
      </c>
      <c r="C9" s="22" t="s">
        <v>79</v>
      </c>
      <c r="D9" s="42" t="s">
        <v>78</v>
      </c>
      <c r="E9" s="44">
        <v>30000</v>
      </c>
      <c r="F9" s="40">
        <v>3</v>
      </c>
      <c r="G9" s="11">
        <v>0</v>
      </c>
      <c r="H9" s="11">
        <v>29999</v>
      </c>
      <c r="I9" s="11">
        <v>1</v>
      </c>
      <c r="J9" s="39">
        <f t="shared" si="0"/>
        <v>0</v>
      </c>
      <c r="K9" s="38">
        <f t="shared" si="1"/>
        <v>29999</v>
      </c>
      <c r="L9" s="38">
        <f t="shared" si="3"/>
        <v>1</v>
      </c>
      <c r="M9" s="38">
        <f t="shared" si="2"/>
        <v>0</v>
      </c>
    </row>
    <row r="10" spans="1:13">
      <c r="A10" s="12">
        <v>5</v>
      </c>
      <c r="B10" s="19" t="s">
        <v>77</v>
      </c>
      <c r="C10" s="22" t="s">
        <v>76</v>
      </c>
      <c r="D10" s="42" t="s">
        <v>75</v>
      </c>
      <c r="E10" s="44">
        <v>94500</v>
      </c>
      <c r="F10" s="40">
        <v>3</v>
      </c>
      <c r="G10" s="11">
        <v>0</v>
      </c>
      <c r="H10" s="11">
        <v>94499</v>
      </c>
      <c r="I10" s="11">
        <v>1</v>
      </c>
      <c r="J10" s="39">
        <f t="shared" si="0"/>
        <v>0</v>
      </c>
      <c r="K10" s="38">
        <f t="shared" si="1"/>
        <v>94499</v>
      </c>
      <c r="L10" s="38">
        <f t="shared" si="3"/>
        <v>1</v>
      </c>
      <c r="M10" s="38">
        <f t="shared" si="2"/>
        <v>0</v>
      </c>
    </row>
    <row r="11" spans="1:13">
      <c r="A11" s="12">
        <v>6</v>
      </c>
      <c r="B11" s="19" t="s">
        <v>74</v>
      </c>
      <c r="C11" s="22" t="s">
        <v>73</v>
      </c>
      <c r="D11" s="42" t="s">
        <v>72</v>
      </c>
      <c r="E11" s="44">
        <v>34500</v>
      </c>
      <c r="F11" s="40">
        <v>3</v>
      </c>
      <c r="G11" s="11">
        <v>0</v>
      </c>
      <c r="H11" s="11">
        <v>34499</v>
      </c>
      <c r="I11" s="11">
        <v>1</v>
      </c>
      <c r="J11" s="39">
        <f t="shared" si="0"/>
        <v>0</v>
      </c>
      <c r="K11" s="38">
        <f t="shared" si="1"/>
        <v>34499</v>
      </c>
      <c r="L11" s="38">
        <f t="shared" si="3"/>
        <v>1</v>
      </c>
      <c r="M11" s="38">
        <f t="shared" si="2"/>
        <v>0</v>
      </c>
    </row>
    <row r="12" spans="1:13">
      <c r="A12" s="12">
        <v>7</v>
      </c>
      <c r="B12" s="19" t="s">
        <v>71</v>
      </c>
      <c r="C12" s="22" t="s">
        <v>70</v>
      </c>
      <c r="D12" s="42" t="s">
        <v>69</v>
      </c>
      <c r="E12" s="44">
        <v>42500</v>
      </c>
      <c r="F12" s="40">
        <v>3</v>
      </c>
      <c r="G12" s="11">
        <v>0</v>
      </c>
      <c r="H12" s="11">
        <v>42499</v>
      </c>
      <c r="I12" s="11">
        <v>1</v>
      </c>
      <c r="J12" s="39">
        <f t="shared" si="0"/>
        <v>0</v>
      </c>
      <c r="K12" s="38">
        <f t="shared" si="1"/>
        <v>42499</v>
      </c>
      <c r="L12" s="38">
        <f t="shared" si="3"/>
        <v>1</v>
      </c>
      <c r="M12" s="38">
        <f t="shared" si="2"/>
        <v>0</v>
      </c>
    </row>
    <row r="13" spans="1:13">
      <c r="A13" s="12">
        <v>8</v>
      </c>
      <c r="B13" s="19" t="s">
        <v>68</v>
      </c>
      <c r="C13" s="22" t="s">
        <v>67</v>
      </c>
      <c r="D13" s="42" t="s">
        <v>66</v>
      </c>
      <c r="E13" s="44">
        <v>35500</v>
      </c>
      <c r="F13" s="40">
        <v>3</v>
      </c>
      <c r="G13" s="11">
        <v>0</v>
      </c>
      <c r="H13" s="11">
        <v>35499</v>
      </c>
      <c r="I13" s="11">
        <v>1</v>
      </c>
      <c r="J13" s="39">
        <f t="shared" si="0"/>
        <v>0</v>
      </c>
      <c r="K13" s="38">
        <f t="shared" si="1"/>
        <v>35499</v>
      </c>
      <c r="L13" s="38">
        <f t="shared" si="3"/>
        <v>1</v>
      </c>
      <c r="M13" s="38">
        <f t="shared" si="2"/>
        <v>0</v>
      </c>
    </row>
    <row r="14" spans="1:13">
      <c r="A14" s="12">
        <v>9</v>
      </c>
      <c r="B14" s="19" t="s">
        <v>65</v>
      </c>
      <c r="C14" s="22" t="s">
        <v>64</v>
      </c>
      <c r="D14" s="42" t="s">
        <v>63</v>
      </c>
      <c r="E14" s="44">
        <v>187000</v>
      </c>
      <c r="F14" s="40">
        <v>3</v>
      </c>
      <c r="G14" s="11">
        <v>0</v>
      </c>
      <c r="H14" s="11">
        <v>186999</v>
      </c>
      <c r="I14" s="11">
        <v>1</v>
      </c>
      <c r="J14" s="39">
        <f t="shared" si="0"/>
        <v>0</v>
      </c>
      <c r="K14" s="38">
        <f t="shared" si="1"/>
        <v>186999</v>
      </c>
      <c r="L14" s="38">
        <f t="shared" si="3"/>
        <v>1</v>
      </c>
      <c r="M14" s="38">
        <f t="shared" si="2"/>
        <v>0</v>
      </c>
    </row>
    <row r="15" spans="1:13">
      <c r="A15" s="12">
        <v>10</v>
      </c>
      <c r="B15" s="19" t="s">
        <v>62</v>
      </c>
      <c r="C15" s="22" t="s">
        <v>61</v>
      </c>
      <c r="D15" s="42" t="s">
        <v>60</v>
      </c>
      <c r="E15" s="11">
        <v>56311.96</v>
      </c>
      <c r="F15" s="40">
        <v>3</v>
      </c>
      <c r="G15" s="11">
        <v>0</v>
      </c>
      <c r="H15" s="11">
        <v>56310.960000000006</v>
      </c>
      <c r="I15" s="11">
        <v>0.99999999999272404</v>
      </c>
      <c r="J15" s="39">
        <f t="shared" si="0"/>
        <v>0</v>
      </c>
      <c r="K15" s="38">
        <f t="shared" si="1"/>
        <v>56310.960000000006</v>
      </c>
      <c r="L15" s="38">
        <f t="shared" si="3"/>
        <v>0.99999999999272404</v>
      </c>
      <c r="M15" s="38">
        <f t="shared" si="2"/>
        <v>0</v>
      </c>
    </row>
    <row r="16" spans="1:13">
      <c r="A16" s="12">
        <v>11</v>
      </c>
      <c r="B16" s="19" t="s">
        <v>59</v>
      </c>
      <c r="C16" s="22" t="s">
        <v>58</v>
      </c>
      <c r="D16" s="42" t="s">
        <v>57</v>
      </c>
      <c r="E16" s="43">
        <v>69500</v>
      </c>
      <c r="F16" s="40">
        <v>3</v>
      </c>
      <c r="G16" s="11">
        <v>0</v>
      </c>
      <c r="H16" s="11">
        <v>69499</v>
      </c>
      <c r="I16" s="11">
        <v>1</v>
      </c>
      <c r="J16" s="39">
        <f>F16</f>
        <v>3</v>
      </c>
      <c r="K16" s="38">
        <f>H16-F16</f>
        <v>69496</v>
      </c>
      <c r="L16" s="38" t="e">
        <f>#REF!-K16</f>
        <v>#REF!</v>
      </c>
      <c r="M16" s="38">
        <f t="shared" si="2"/>
        <v>3</v>
      </c>
    </row>
    <row r="17" spans="1:17">
      <c r="A17" s="12">
        <v>12</v>
      </c>
      <c r="B17" s="19" t="s">
        <v>56</v>
      </c>
      <c r="C17" s="22" t="s">
        <v>55</v>
      </c>
      <c r="D17" s="42" t="s">
        <v>54</v>
      </c>
      <c r="E17" s="43">
        <v>44000</v>
      </c>
      <c r="F17" s="40">
        <v>3</v>
      </c>
      <c r="G17" s="11">
        <v>0</v>
      </c>
      <c r="H17" s="11">
        <v>43999</v>
      </c>
      <c r="I17" s="11">
        <v>1</v>
      </c>
      <c r="J17" s="39">
        <f>F17</f>
        <v>3</v>
      </c>
      <c r="K17" s="38">
        <f>H17-F17</f>
        <v>43996</v>
      </c>
      <c r="L17" s="38" t="e">
        <f>#REF!-K17</f>
        <v>#REF!</v>
      </c>
      <c r="M17" s="38">
        <f t="shared" si="2"/>
        <v>3</v>
      </c>
    </row>
    <row r="18" spans="1:17">
      <c r="A18" s="12">
        <v>13</v>
      </c>
      <c r="B18" s="19" t="s">
        <v>53</v>
      </c>
      <c r="C18" s="22" t="s">
        <v>52</v>
      </c>
      <c r="D18" s="42" t="s">
        <v>51</v>
      </c>
      <c r="E18" s="41">
        <v>749800</v>
      </c>
      <c r="F18" s="40">
        <v>3</v>
      </c>
      <c r="G18" s="11">
        <v>0</v>
      </c>
      <c r="H18" s="11">
        <v>749799</v>
      </c>
      <c r="I18" s="11">
        <v>1</v>
      </c>
      <c r="J18" s="39">
        <f>G18</f>
        <v>0</v>
      </c>
      <c r="K18" s="38">
        <f>H18-G18</f>
        <v>749799</v>
      </c>
      <c r="L18" s="38">
        <f>E18-K18</f>
        <v>1</v>
      </c>
      <c r="M18" s="38">
        <f t="shared" si="2"/>
        <v>0</v>
      </c>
    </row>
    <row r="19" spans="1:17">
      <c r="A19" s="12">
        <v>14</v>
      </c>
      <c r="B19" s="19" t="s">
        <v>50</v>
      </c>
      <c r="C19" s="22" t="s">
        <v>49</v>
      </c>
      <c r="D19" s="42" t="s">
        <v>48</v>
      </c>
      <c r="E19" s="41">
        <v>170000</v>
      </c>
      <c r="F19" s="40">
        <v>3</v>
      </c>
      <c r="G19" s="11">
        <v>0</v>
      </c>
      <c r="H19" s="11">
        <v>169999</v>
      </c>
      <c r="I19" s="11">
        <v>1</v>
      </c>
      <c r="J19" s="39">
        <f>G19</f>
        <v>0</v>
      </c>
      <c r="K19" s="38">
        <f>H19-G19</f>
        <v>169999</v>
      </c>
      <c r="L19" s="38">
        <f>E19-K19</f>
        <v>1</v>
      </c>
      <c r="M19" s="38">
        <f t="shared" si="2"/>
        <v>0</v>
      </c>
      <c r="Q19" s="4"/>
    </row>
    <row r="20" spans="1:17">
      <c r="A20" s="12">
        <v>15</v>
      </c>
      <c r="B20" s="19" t="s">
        <v>47</v>
      </c>
      <c r="C20" s="22" t="s">
        <v>46</v>
      </c>
      <c r="D20" s="37" t="s">
        <v>45</v>
      </c>
      <c r="E20" s="36">
        <v>1199000</v>
      </c>
      <c r="F20" s="35">
        <v>3</v>
      </c>
      <c r="G20" s="11">
        <v>0</v>
      </c>
      <c r="H20" s="11">
        <v>1198999</v>
      </c>
      <c r="I20" s="11">
        <v>1</v>
      </c>
    </row>
    <row r="21" spans="1:17">
      <c r="A21" s="12">
        <v>16</v>
      </c>
      <c r="B21" s="19" t="s">
        <v>44</v>
      </c>
      <c r="C21" s="22" t="s">
        <v>43</v>
      </c>
      <c r="D21" s="27" t="s">
        <v>42</v>
      </c>
      <c r="E21" s="34">
        <v>450000</v>
      </c>
      <c r="F21" s="25">
        <v>3</v>
      </c>
      <c r="G21" s="11">
        <v>0</v>
      </c>
      <c r="H21" s="11">
        <v>449999</v>
      </c>
      <c r="I21" s="11">
        <v>1</v>
      </c>
    </row>
    <row r="22" spans="1:17">
      <c r="A22" s="12">
        <v>17</v>
      </c>
      <c r="B22" s="19" t="s">
        <v>41</v>
      </c>
      <c r="C22" s="22" t="s">
        <v>40</v>
      </c>
      <c r="D22" s="33" t="s">
        <v>39</v>
      </c>
      <c r="E22" s="32">
        <v>165000</v>
      </c>
      <c r="F22" s="31">
        <v>3</v>
      </c>
      <c r="G22" s="11">
        <v>18332.359999999986</v>
      </c>
      <c r="H22" s="11">
        <v>164999</v>
      </c>
      <c r="I22" s="11">
        <v>1</v>
      </c>
    </row>
    <row r="23" spans="1:17">
      <c r="A23" s="12">
        <v>18</v>
      </c>
      <c r="B23" s="19" t="s">
        <v>38</v>
      </c>
      <c r="C23" s="22"/>
      <c r="D23" s="30" t="s">
        <v>37</v>
      </c>
      <c r="E23" s="29">
        <v>30000</v>
      </c>
      <c r="F23" s="15">
        <v>3</v>
      </c>
      <c r="G23" s="11">
        <v>10000</v>
      </c>
      <c r="H23" s="11">
        <v>26666.639999999999</v>
      </c>
      <c r="I23" s="11">
        <v>3333.3600000000006</v>
      </c>
    </row>
    <row r="24" spans="1:17">
      <c r="A24" s="12">
        <v>19</v>
      </c>
      <c r="B24" s="19" t="s">
        <v>36</v>
      </c>
      <c r="C24" s="22" t="s">
        <v>35</v>
      </c>
      <c r="D24" s="27" t="s">
        <v>34</v>
      </c>
      <c r="E24" s="28">
        <v>120000</v>
      </c>
      <c r="F24" s="25">
        <v>3</v>
      </c>
      <c r="G24" s="11">
        <v>40000</v>
      </c>
      <c r="H24" s="11">
        <v>89999.989999999991</v>
      </c>
      <c r="I24" s="11">
        <v>30000.010000000009</v>
      </c>
    </row>
    <row r="25" spans="1:17">
      <c r="A25" s="12">
        <v>20</v>
      </c>
      <c r="B25" s="19" t="s">
        <v>33</v>
      </c>
      <c r="C25" s="22" t="s">
        <v>32</v>
      </c>
      <c r="D25" s="27" t="s">
        <v>31</v>
      </c>
      <c r="E25" s="26">
        <v>110000</v>
      </c>
      <c r="F25" s="25">
        <v>3</v>
      </c>
      <c r="G25" s="11">
        <v>36666.67</v>
      </c>
      <c r="H25" s="11">
        <v>76388.899999999994</v>
      </c>
      <c r="I25" s="11">
        <v>33611.100000000006</v>
      </c>
    </row>
    <row r="26" spans="1:17">
      <c r="A26" s="12">
        <v>21</v>
      </c>
      <c r="B26" s="19" t="s">
        <v>30</v>
      </c>
      <c r="C26" s="22" t="s">
        <v>29</v>
      </c>
      <c r="D26" s="27" t="s">
        <v>28</v>
      </c>
      <c r="E26" s="26">
        <v>120000</v>
      </c>
      <c r="F26" s="25">
        <v>3</v>
      </c>
      <c r="G26" s="11">
        <v>40000</v>
      </c>
      <c r="H26" s="11">
        <v>83333.33</v>
      </c>
      <c r="I26" s="11">
        <v>36666.67</v>
      </c>
    </row>
    <row r="27" spans="1:17">
      <c r="A27" s="12">
        <v>22</v>
      </c>
      <c r="B27" s="19" t="s">
        <v>27</v>
      </c>
      <c r="C27" s="22" t="s">
        <v>26</v>
      </c>
      <c r="D27" s="21" t="s">
        <v>25</v>
      </c>
      <c r="E27" s="20">
        <v>97500</v>
      </c>
      <c r="F27" s="15">
        <v>3</v>
      </c>
      <c r="G27" s="11">
        <v>32500</v>
      </c>
      <c r="H27" s="11">
        <v>48749.979999999996</v>
      </c>
      <c r="I27" s="11">
        <v>48750.020000000004</v>
      </c>
    </row>
    <row r="28" spans="1:17">
      <c r="A28" s="12">
        <v>23</v>
      </c>
      <c r="B28" s="19" t="s">
        <v>24</v>
      </c>
      <c r="C28" s="22" t="s">
        <v>23</v>
      </c>
      <c r="D28" s="21" t="s">
        <v>22</v>
      </c>
      <c r="E28" s="20">
        <v>168500</v>
      </c>
      <c r="F28" s="15">
        <v>3</v>
      </c>
      <c r="G28" s="11">
        <v>56166.67</v>
      </c>
      <c r="H28" s="11">
        <v>84250.03</v>
      </c>
      <c r="I28" s="11">
        <v>84249.97</v>
      </c>
    </row>
    <row r="29" spans="1:17">
      <c r="A29" s="12">
        <v>24</v>
      </c>
      <c r="B29" s="19" t="s">
        <v>21</v>
      </c>
      <c r="C29" s="22" t="s">
        <v>20</v>
      </c>
      <c r="D29" s="21" t="s">
        <v>19</v>
      </c>
      <c r="E29" s="24">
        <v>360000</v>
      </c>
      <c r="F29" s="15">
        <v>3</v>
      </c>
      <c r="G29" s="11">
        <v>120000</v>
      </c>
      <c r="H29" s="11">
        <v>150000</v>
      </c>
      <c r="I29" s="11">
        <v>210000</v>
      </c>
    </row>
    <row r="30" spans="1:17">
      <c r="A30" s="12">
        <v>25</v>
      </c>
      <c r="B30" s="19" t="s">
        <v>14</v>
      </c>
      <c r="C30" s="22" t="s">
        <v>18</v>
      </c>
      <c r="D30" s="21" t="s">
        <v>17</v>
      </c>
      <c r="E30" s="23">
        <v>1399500</v>
      </c>
      <c r="F30" s="15">
        <v>3</v>
      </c>
      <c r="G30" s="11">
        <v>466500</v>
      </c>
      <c r="H30" s="11">
        <v>544250</v>
      </c>
      <c r="I30" s="11">
        <v>855250</v>
      </c>
    </row>
    <row r="31" spans="1:17">
      <c r="A31" s="12">
        <v>26</v>
      </c>
      <c r="B31" s="19" t="s">
        <v>16</v>
      </c>
      <c r="C31" s="22"/>
      <c r="D31" s="21" t="s">
        <v>15</v>
      </c>
      <c r="E31" s="16">
        <v>80000</v>
      </c>
      <c r="F31" s="15">
        <v>3</v>
      </c>
      <c r="G31" s="11">
        <v>17777.759999999998</v>
      </c>
      <c r="H31" s="11">
        <v>17777.759999999998</v>
      </c>
      <c r="I31" s="11">
        <v>62222.240000000005</v>
      </c>
    </row>
    <row r="32" spans="1:17">
      <c r="A32" s="12">
        <v>27</v>
      </c>
      <c r="B32" s="19" t="s">
        <v>14</v>
      </c>
      <c r="C32" s="22"/>
      <c r="D32" s="21" t="s">
        <v>13</v>
      </c>
      <c r="E32" s="16">
        <v>1400000</v>
      </c>
      <c r="F32" s="15">
        <v>3</v>
      </c>
      <c r="G32" s="11">
        <v>311111.12</v>
      </c>
      <c r="H32" s="11">
        <v>311111.12</v>
      </c>
      <c r="I32" s="11">
        <v>1088888.8799999999</v>
      </c>
    </row>
    <row r="33" spans="1:9">
      <c r="A33" s="12">
        <v>28</v>
      </c>
      <c r="B33" s="19" t="s">
        <v>12</v>
      </c>
      <c r="C33" s="21"/>
      <c r="D33" s="21" t="s">
        <v>11</v>
      </c>
      <c r="E33" s="20">
        <v>15000</v>
      </c>
      <c r="F33" s="15">
        <v>3</v>
      </c>
      <c r="G33" s="11">
        <v>833.34</v>
      </c>
      <c r="H33" s="11">
        <v>833.34</v>
      </c>
      <c r="I33" s="11">
        <v>14166.66</v>
      </c>
    </row>
    <row r="34" spans="1:9">
      <c r="A34" s="12">
        <v>29</v>
      </c>
      <c r="B34" s="19" t="s">
        <v>9</v>
      </c>
      <c r="C34" s="18"/>
      <c r="D34" s="17" t="s">
        <v>10</v>
      </c>
      <c r="E34" s="16">
        <v>12800</v>
      </c>
      <c r="F34" s="15">
        <v>3</v>
      </c>
      <c r="G34" s="11">
        <v>3555.6</v>
      </c>
      <c r="H34" s="11">
        <v>3555.6</v>
      </c>
      <c r="I34" s="11">
        <v>9244.4</v>
      </c>
    </row>
    <row r="35" spans="1:9">
      <c r="A35" s="12">
        <v>30</v>
      </c>
      <c r="B35" s="19" t="s">
        <v>9</v>
      </c>
      <c r="C35" s="18"/>
      <c r="D35" s="17" t="s">
        <v>8</v>
      </c>
      <c r="E35" s="16">
        <v>12800</v>
      </c>
      <c r="F35" s="15">
        <v>3</v>
      </c>
      <c r="G35" s="11">
        <v>3555.6</v>
      </c>
      <c r="H35" s="11">
        <v>3555.6</v>
      </c>
      <c r="I35" s="11">
        <v>9244.4</v>
      </c>
    </row>
    <row r="36" spans="1:9">
      <c r="A36" s="12">
        <v>31</v>
      </c>
      <c r="B36" s="19" t="s">
        <v>6</v>
      </c>
      <c r="C36" s="18"/>
      <c r="D36" s="17" t="s">
        <v>7</v>
      </c>
      <c r="E36" s="16">
        <v>16050</v>
      </c>
      <c r="F36" s="15">
        <v>3</v>
      </c>
      <c r="G36" s="11">
        <v>4458.3</v>
      </c>
      <c r="H36" s="11">
        <v>4458.3</v>
      </c>
      <c r="I36" s="11">
        <v>11591.7</v>
      </c>
    </row>
    <row r="37" spans="1:9">
      <c r="A37" s="12">
        <v>32</v>
      </c>
      <c r="B37" s="19" t="s">
        <v>6</v>
      </c>
      <c r="C37" s="18"/>
      <c r="D37" s="17" t="s">
        <v>5</v>
      </c>
      <c r="E37" s="16">
        <v>16050</v>
      </c>
      <c r="F37" s="15">
        <v>3</v>
      </c>
      <c r="G37" s="11">
        <v>4458.3</v>
      </c>
      <c r="H37" s="11">
        <v>4458.3</v>
      </c>
      <c r="I37" s="11">
        <v>11591.7</v>
      </c>
    </row>
    <row r="38" spans="1:9">
      <c r="A38" s="14"/>
      <c r="B38" s="14"/>
      <c r="C38" s="13"/>
      <c r="D38" s="12"/>
      <c r="E38" s="11">
        <f>SUM(E6:E37)</f>
        <v>7459811.96</v>
      </c>
      <c r="F38" s="11">
        <f>SUM(F6:F37)</f>
        <v>96</v>
      </c>
      <c r="G38" s="11">
        <f>SUM(G6:G37)</f>
        <v>1165915.7200000004</v>
      </c>
      <c r="H38" s="11">
        <f>SUM(H6:H37)</f>
        <v>4950983.8499999987</v>
      </c>
      <c r="I38" s="11">
        <f>SUM(I6:I37)</f>
        <v>2508828.1100000003</v>
      </c>
    </row>
    <row r="41" spans="1:9">
      <c r="E41" s="9" t="s">
        <v>4</v>
      </c>
      <c r="F41" s="10" t="s">
        <v>3</v>
      </c>
      <c r="G41" s="9" t="s">
        <v>2</v>
      </c>
      <c r="H41" s="9" t="s">
        <v>1</v>
      </c>
    </row>
    <row r="42" spans="1:9" ht="25.5">
      <c r="C42" s="51" t="s">
        <v>0</v>
      </c>
      <c r="D42" s="51"/>
      <c r="E42" s="8">
        <f>E38</f>
        <v>7459811.96</v>
      </c>
      <c r="F42" s="7">
        <f>G38</f>
        <v>1165915.7200000004</v>
      </c>
      <c r="G42" s="6">
        <f>H38</f>
        <v>4950983.8499999987</v>
      </c>
      <c r="H42" s="6">
        <f>I38</f>
        <v>2508828.1100000003</v>
      </c>
    </row>
  </sheetData>
  <autoFilter ref="A5:F5"/>
  <mergeCells count="2">
    <mergeCell ref="A2:F2"/>
    <mergeCell ref="C42:D4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การศึกษา งปม.</vt:lpstr>
      <vt:lpstr>'การศึกษา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2026-10-08T09:01:57Z</dcterms:created>
  <dcterms:modified xsi:type="dcterms:W3CDTF">2026-10-10T04:12:52Z</dcterms:modified>
</cp:coreProperties>
</file>